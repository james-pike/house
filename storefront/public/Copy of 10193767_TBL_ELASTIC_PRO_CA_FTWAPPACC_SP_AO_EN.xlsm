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37E998C4-C9E5-D4B9-71C8-EB1FF731991C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53687539-632E-4D99-B978-A7C8929BD8C9}" xr6:coauthVersionLast="47" xr6:coauthVersionMax="47" xr10:uidLastSave="{00000000-0000-0000-0000-000000000000}"/>
  <bookViews>
    <workbookView xWindow="-120" yWindow="-120" windowWidth="29040" windowHeight="15720" activeTab="13" xr2:uid="{00000000-000D-0000-FFFF-FFFF00000000}"/>
  </bookViews>
  <sheets>
    <sheet name="WebSKU" sheetId="7" state="hidden" r:id="rId1"/>
    <sheet name="WholesalePrice" sheetId="8" state="hidden" r:id="rId2"/>
    <sheet name="CellFormats" sheetId="9" state="hidden" r:id="rId3"/>
    <sheet name="ATPDate" sheetId="10" state="hidden" r:id="rId4"/>
    <sheet name="OrderMultiple" sheetId="11" state="hidden" r:id="rId5"/>
    <sheet name="SoldToShipTo" sheetId="12" state="hidden" r:id="rId6"/>
    <sheet name="GlobalVariables" sheetId="13" state="hidden" r:id="rId7"/>
    <sheet name="GENERAL TERMS &amp; CONDITIONS" sheetId="3" state="hidden" r:id="rId8"/>
    <sheet name="Summary" sheetId="1" r:id="rId9"/>
    <sheet name="SKU Summary" sheetId="2" r:id="rId10"/>
    <sheet name="Order Template" sheetId="4" state="hidden" r:id="rId11"/>
    <sheet name="Import" sheetId="5" state="hidden" r:id="rId12"/>
    <sheet name="09Mar2026" sheetId="14" r:id="rId13"/>
    <sheet name="UPC List" sheetId="6" r:id="rId14"/>
    <sheet name="Loading" sheetId="15" r:id="rId15"/>
  </sheets>
  <definedNames>
    <definedName name="_xlnm._FilterDatabase" localSheetId="12">'Order Template'!$A$14:$AD$137</definedName>
    <definedName name="_xlnm._FilterDatabase" localSheetId="10" hidden="1">'Order Template'!$A$14:$AD$137</definedName>
    <definedName name="_xlnm._FilterDatabase" localSheetId="13" hidden="1">'UPC List'!$A$1:$N$1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7" i="14" l="1"/>
  <c r="I133" i="14"/>
  <c r="H133" i="14"/>
  <c r="B133" i="14"/>
  <c r="B131" i="14"/>
  <c r="I130" i="14"/>
  <c r="H130" i="14"/>
  <c r="B130" i="14"/>
  <c r="I129" i="14"/>
  <c r="H129" i="14"/>
  <c r="B129" i="14"/>
  <c r="I127" i="14"/>
  <c r="H127" i="14"/>
  <c r="B127" i="14"/>
  <c r="I126" i="14"/>
  <c r="H126" i="14"/>
  <c r="B126" i="14"/>
  <c r="I124" i="14"/>
  <c r="H124" i="14"/>
  <c r="B124" i="14"/>
  <c r="I122" i="14"/>
  <c r="H122" i="14"/>
  <c r="B122" i="14"/>
  <c r="I121" i="14"/>
  <c r="H121" i="14"/>
  <c r="B121" i="14"/>
  <c r="I120" i="14"/>
  <c r="H120" i="14"/>
  <c r="B120" i="14"/>
  <c r="I119" i="14"/>
  <c r="H119" i="14"/>
  <c r="B119" i="14"/>
  <c r="B117" i="14"/>
  <c r="I115" i="14"/>
  <c r="H115" i="14"/>
  <c r="B115" i="14"/>
  <c r="I113" i="14"/>
  <c r="H113" i="14"/>
  <c r="B113" i="14"/>
  <c r="I111" i="14"/>
  <c r="H111" i="14"/>
  <c r="B111" i="14"/>
  <c r="I110" i="14"/>
  <c r="H110" i="14"/>
  <c r="B110" i="14"/>
  <c r="I109" i="14"/>
  <c r="H109" i="14"/>
  <c r="B109" i="14"/>
  <c r="I108" i="14"/>
  <c r="H108" i="14"/>
  <c r="B108" i="14"/>
  <c r="I106" i="14"/>
  <c r="H106" i="14"/>
  <c r="B106" i="14"/>
  <c r="I104" i="14"/>
  <c r="H104" i="14"/>
  <c r="B104" i="14"/>
  <c r="I103" i="14"/>
  <c r="H103" i="14"/>
  <c r="B103" i="14"/>
  <c r="I101" i="14"/>
  <c r="H101" i="14"/>
  <c r="B101" i="14"/>
  <c r="I99" i="14"/>
  <c r="H99" i="14"/>
  <c r="B99" i="14"/>
  <c r="I98" i="14"/>
  <c r="H98" i="14"/>
  <c r="B98" i="14"/>
  <c r="I97" i="14"/>
  <c r="H97" i="14"/>
  <c r="B97" i="14"/>
  <c r="I95" i="14"/>
  <c r="H95" i="14"/>
  <c r="B95" i="14"/>
  <c r="I94" i="14"/>
  <c r="H94" i="14"/>
  <c r="B94" i="14"/>
  <c r="I93" i="14"/>
  <c r="H93" i="14"/>
  <c r="B93" i="14"/>
  <c r="I92" i="14"/>
  <c r="H92" i="14"/>
  <c r="B92" i="14"/>
  <c r="I91" i="14"/>
  <c r="H91" i="14"/>
  <c r="B91" i="14"/>
  <c r="I90" i="14"/>
  <c r="H90" i="14"/>
  <c r="B90" i="14"/>
  <c r="I89" i="14"/>
  <c r="H89" i="14"/>
  <c r="B89" i="14"/>
  <c r="I87" i="14"/>
  <c r="H87" i="14"/>
  <c r="B87" i="14"/>
  <c r="I86" i="14"/>
  <c r="H86" i="14"/>
  <c r="B86" i="14"/>
  <c r="I85" i="14"/>
  <c r="H85" i="14"/>
  <c r="B85" i="14"/>
  <c r="I83" i="14"/>
  <c r="H83" i="14"/>
  <c r="B83" i="14"/>
  <c r="I82" i="14"/>
  <c r="H82" i="14"/>
  <c r="B82" i="14"/>
  <c r="I81" i="14"/>
  <c r="H81" i="14"/>
  <c r="B81" i="14"/>
  <c r="I80" i="14"/>
  <c r="H80" i="14"/>
  <c r="B80" i="14"/>
  <c r="I78" i="14"/>
  <c r="H78" i="14"/>
  <c r="B78" i="14"/>
  <c r="I77" i="14"/>
  <c r="H77" i="14"/>
  <c r="B77" i="14"/>
  <c r="I76" i="14"/>
  <c r="H76" i="14"/>
  <c r="B76" i="14"/>
  <c r="I75" i="14"/>
  <c r="H75" i="14"/>
  <c r="B75" i="14"/>
  <c r="I74" i="14"/>
  <c r="H74" i="14"/>
  <c r="B74" i="14"/>
  <c r="I73" i="14"/>
  <c r="H73" i="14"/>
  <c r="B73" i="14"/>
  <c r="I72" i="14"/>
  <c r="H72" i="14"/>
  <c r="B72" i="14"/>
  <c r="I71" i="14"/>
  <c r="H71" i="14"/>
  <c r="B71" i="14"/>
  <c r="I70" i="14"/>
  <c r="H70" i="14"/>
  <c r="B70" i="14"/>
  <c r="I69" i="14"/>
  <c r="H69" i="14"/>
  <c r="B69" i="14"/>
  <c r="I68" i="14"/>
  <c r="H68" i="14"/>
  <c r="B68" i="14"/>
  <c r="I67" i="14"/>
  <c r="H67" i="14"/>
  <c r="B67" i="14"/>
  <c r="I65" i="14"/>
  <c r="H65" i="14"/>
  <c r="B65" i="14"/>
  <c r="I64" i="14"/>
  <c r="H64" i="14"/>
  <c r="B64" i="14"/>
  <c r="I63" i="14"/>
  <c r="H63" i="14"/>
  <c r="B63" i="14"/>
  <c r="I62" i="14"/>
  <c r="H62" i="14"/>
  <c r="B62" i="14"/>
  <c r="I61" i="14"/>
  <c r="H61" i="14"/>
  <c r="B61" i="14"/>
  <c r="I59" i="14"/>
  <c r="H59" i="14"/>
  <c r="B59" i="14"/>
  <c r="I58" i="14"/>
  <c r="H58" i="14"/>
  <c r="B58" i="14"/>
  <c r="I57" i="14"/>
  <c r="H57" i="14"/>
  <c r="B57" i="14"/>
  <c r="I56" i="14"/>
  <c r="H56" i="14"/>
  <c r="B56" i="14"/>
  <c r="I55" i="14"/>
  <c r="H55" i="14"/>
  <c r="B55" i="14"/>
  <c r="I54" i="14"/>
  <c r="H54" i="14"/>
  <c r="B54" i="14"/>
  <c r="I53" i="14"/>
  <c r="H53" i="14"/>
  <c r="B53" i="14"/>
  <c r="I52" i="14"/>
  <c r="H52" i="14"/>
  <c r="B52" i="14"/>
  <c r="I51" i="14"/>
  <c r="H51" i="14"/>
  <c r="B51" i="14"/>
  <c r="I50" i="14"/>
  <c r="H50" i="14"/>
  <c r="B50" i="14"/>
  <c r="I49" i="14"/>
  <c r="H49" i="14"/>
  <c r="B49" i="14"/>
  <c r="I48" i="14"/>
  <c r="H48" i="14"/>
  <c r="B48" i="14"/>
  <c r="I47" i="14"/>
  <c r="H47" i="14"/>
  <c r="B47" i="14"/>
  <c r="I46" i="14"/>
  <c r="H46" i="14"/>
  <c r="B46" i="14"/>
  <c r="I45" i="14"/>
  <c r="H45" i="14"/>
  <c r="B45" i="14"/>
  <c r="I44" i="14"/>
  <c r="H44" i="14"/>
  <c r="B44" i="14"/>
  <c r="I43" i="14"/>
  <c r="H43" i="14"/>
  <c r="B43" i="14"/>
  <c r="I42" i="14"/>
  <c r="H42" i="14"/>
  <c r="B42" i="14"/>
  <c r="I41" i="14"/>
  <c r="H41" i="14"/>
  <c r="B41" i="14"/>
  <c r="I40" i="14"/>
  <c r="H40" i="14"/>
  <c r="B40" i="14"/>
  <c r="I39" i="14"/>
  <c r="H39" i="14"/>
  <c r="B39" i="14"/>
  <c r="I38" i="14"/>
  <c r="H38" i="14"/>
  <c r="B38" i="14"/>
  <c r="I37" i="14"/>
  <c r="H37" i="14"/>
  <c r="B37" i="14"/>
  <c r="I36" i="14"/>
  <c r="H36" i="14"/>
  <c r="B36" i="14"/>
  <c r="I35" i="14"/>
  <c r="H35" i="14"/>
  <c r="B35" i="14"/>
  <c r="I34" i="14"/>
  <c r="H34" i="14"/>
  <c r="B34" i="14"/>
  <c r="I33" i="14"/>
  <c r="H33" i="14"/>
  <c r="B33" i="14"/>
  <c r="I32" i="14"/>
  <c r="H32" i="14"/>
  <c r="B32" i="14"/>
  <c r="I31" i="14"/>
  <c r="H31" i="14"/>
  <c r="B31" i="14"/>
  <c r="I30" i="14"/>
  <c r="H30" i="14"/>
  <c r="B30" i="14"/>
  <c r="I29" i="14"/>
  <c r="H29" i="14"/>
  <c r="B29" i="14"/>
  <c r="I28" i="14"/>
  <c r="H28" i="14"/>
  <c r="B28" i="14"/>
  <c r="I27" i="14"/>
  <c r="H27" i="14"/>
  <c r="B27" i="14"/>
  <c r="I26" i="14"/>
  <c r="H26" i="14"/>
  <c r="B26" i="14"/>
  <c r="I25" i="14"/>
  <c r="H25" i="14"/>
  <c r="B25" i="14"/>
  <c r="I24" i="14"/>
  <c r="H24" i="14"/>
  <c r="B24" i="14"/>
  <c r="I22" i="14"/>
  <c r="H22" i="14"/>
  <c r="B22" i="14"/>
  <c r="I21" i="14"/>
  <c r="H21" i="14"/>
  <c r="B21" i="14"/>
  <c r="I20" i="14"/>
  <c r="H20" i="14"/>
  <c r="B20" i="14"/>
  <c r="I19" i="14"/>
  <c r="H19" i="14"/>
  <c r="B19" i="14"/>
  <c r="I18" i="14"/>
  <c r="H18" i="14"/>
  <c r="B18" i="14"/>
  <c r="I17" i="14"/>
  <c r="H17" i="14"/>
  <c r="B17" i="14"/>
  <c r="I16" i="14"/>
  <c r="I134" i="14" s="1"/>
  <c r="H16" i="14"/>
  <c r="H134" i="14" s="1"/>
  <c r="B16" i="14"/>
  <c r="G9" i="14"/>
  <c r="G8" i="14"/>
  <c r="G7" i="14"/>
  <c r="B1195" i="5"/>
  <c r="B1194" i="5"/>
  <c r="B1193" i="5"/>
  <c r="B1192" i="5"/>
  <c r="B1191" i="5"/>
  <c r="B1190" i="5"/>
  <c r="B1189" i="5"/>
  <c r="B1188" i="5"/>
  <c r="B1187" i="5"/>
  <c r="B1186" i="5"/>
  <c r="B1185" i="5"/>
  <c r="B1184" i="5"/>
  <c r="B1183" i="5"/>
  <c r="B1182" i="5"/>
  <c r="B1181" i="5"/>
  <c r="B1180" i="5"/>
  <c r="B1179" i="5"/>
  <c r="B1178" i="5"/>
  <c r="B1177" i="5"/>
  <c r="B1176" i="5"/>
  <c r="B1175" i="5"/>
  <c r="B1174" i="5"/>
  <c r="B1173" i="5"/>
  <c r="B1172" i="5"/>
  <c r="B1171" i="5"/>
  <c r="B1170" i="5"/>
  <c r="B1169" i="5"/>
  <c r="B1168" i="5"/>
  <c r="B1167" i="5"/>
  <c r="B1166" i="5"/>
  <c r="B1165" i="5"/>
  <c r="B1164" i="5"/>
  <c r="B1163" i="5"/>
  <c r="B1162" i="5"/>
  <c r="B1161" i="5"/>
  <c r="B1160" i="5"/>
  <c r="B1159" i="5"/>
  <c r="B1158" i="5"/>
  <c r="B1157" i="5"/>
  <c r="B1156" i="5"/>
  <c r="B1155" i="5"/>
  <c r="B1154" i="5"/>
  <c r="B1153" i="5"/>
  <c r="B1152" i="5"/>
  <c r="B1151" i="5"/>
  <c r="B1150" i="5"/>
  <c r="B1149" i="5"/>
  <c r="B1148" i="5"/>
  <c r="B1147" i="5"/>
  <c r="B1146" i="5"/>
  <c r="B1145" i="5"/>
  <c r="B1144" i="5"/>
  <c r="B1143" i="5"/>
  <c r="B1142" i="5"/>
  <c r="B1141" i="5"/>
  <c r="B1140" i="5"/>
  <c r="B1139" i="5"/>
  <c r="B1138" i="5"/>
  <c r="B1137" i="5"/>
  <c r="B1136" i="5"/>
  <c r="B1135" i="5"/>
  <c r="B1134" i="5"/>
  <c r="B1133" i="5"/>
  <c r="B1132" i="5"/>
  <c r="B1131" i="5"/>
  <c r="B1130" i="5"/>
  <c r="B1129" i="5"/>
  <c r="B1128" i="5"/>
  <c r="B1127" i="5"/>
  <c r="B1126" i="5"/>
  <c r="B1125" i="5"/>
  <c r="B1124" i="5"/>
  <c r="B1123" i="5"/>
  <c r="B1122" i="5"/>
  <c r="B1121" i="5"/>
  <c r="B1120" i="5"/>
  <c r="B1119" i="5"/>
  <c r="B1118" i="5"/>
  <c r="B1117" i="5"/>
  <c r="B1116" i="5"/>
  <c r="B1115" i="5"/>
  <c r="B1114" i="5"/>
  <c r="B1113" i="5"/>
  <c r="B1112" i="5"/>
  <c r="B1111" i="5"/>
  <c r="B1110" i="5"/>
  <c r="B1109" i="5"/>
  <c r="B1108" i="5"/>
  <c r="B1107" i="5"/>
  <c r="B1106" i="5"/>
  <c r="B1105" i="5"/>
  <c r="B1104" i="5"/>
  <c r="B1103" i="5"/>
  <c r="B1102" i="5"/>
  <c r="B1101" i="5"/>
  <c r="B1100" i="5"/>
  <c r="B1099" i="5"/>
  <c r="B1098" i="5"/>
  <c r="B1097" i="5"/>
  <c r="B1096" i="5"/>
  <c r="B1095" i="5"/>
  <c r="B1094" i="5"/>
  <c r="B1093" i="5"/>
  <c r="B1092" i="5"/>
  <c r="B1091" i="5"/>
  <c r="B1090" i="5"/>
  <c r="B1089" i="5"/>
  <c r="B1088" i="5"/>
  <c r="B1087" i="5"/>
  <c r="B1086" i="5"/>
  <c r="B1085" i="5"/>
  <c r="B1084" i="5"/>
  <c r="B1083" i="5"/>
  <c r="B1082" i="5"/>
  <c r="B1081" i="5"/>
  <c r="B1080" i="5"/>
  <c r="B1079" i="5"/>
  <c r="B1078" i="5"/>
  <c r="B1077" i="5"/>
  <c r="B1076" i="5"/>
  <c r="B1075" i="5"/>
  <c r="B1074" i="5"/>
  <c r="B1073" i="5"/>
  <c r="B1072" i="5"/>
  <c r="B1071" i="5"/>
  <c r="B1070" i="5"/>
  <c r="B1069" i="5"/>
  <c r="B1068" i="5"/>
  <c r="B1067" i="5"/>
  <c r="B1066" i="5"/>
  <c r="B1065" i="5"/>
  <c r="B1064" i="5"/>
  <c r="B1063" i="5"/>
  <c r="B1062" i="5"/>
  <c r="B1061" i="5"/>
  <c r="B1060" i="5"/>
  <c r="B1059" i="5"/>
  <c r="B1058" i="5"/>
  <c r="B1057" i="5"/>
  <c r="B1056" i="5"/>
  <c r="B1055" i="5"/>
  <c r="B1054" i="5"/>
  <c r="B1053" i="5"/>
  <c r="B1052" i="5"/>
  <c r="B1051" i="5"/>
  <c r="B1050" i="5"/>
  <c r="B1049" i="5"/>
  <c r="B1048" i="5"/>
  <c r="B1047" i="5"/>
  <c r="B1046" i="5"/>
  <c r="B1045" i="5"/>
  <c r="B1044" i="5"/>
  <c r="B1043" i="5"/>
  <c r="B1042" i="5"/>
  <c r="B1041" i="5"/>
  <c r="B1040" i="5"/>
  <c r="B1039" i="5"/>
  <c r="B1038" i="5"/>
  <c r="B1037" i="5"/>
  <c r="B1036" i="5"/>
  <c r="B1035" i="5"/>
  <c r="B1034" i="5"/>
  <c r="B1033" i="5"/>
  <c r="B1032" i="5"/>
  <c r="B1031" i="5"/>
  <c r="B1030" i="5"/>
  <c r="B1029" i="5"/>
  <c r="B1028" i="5"/>
  <c r="B1027" i="5"/>
  <c r="B1026" i="5"/>
  <c r="B1025" i="5"/>
  <c r="B1024" i="5"/>
  <c r="B1023" i="5"/>
  <c r="B1022" i="5"/>
  <c r="B1021" i="5"/>
  <c r="B1020" i="5"/>
  <c r="B1019" i="5"/>
  <c r="B1018" i="5"/>
  <c r="B1017" i="5"/>
  <c r="B1016" i="5"/>
  <c r="B1015" i="5"/>
  <c r="B1014" i="5"/>
  <c r="B1013" i="5"/>
  <c r="B1012" i="5"/>
  <c r="B1011" i="5"/>
  <c r="B1010" i="5"/>
  <c r="B1009" i="5"/>
  <c r="B1008" i="5"/>
  <c r="B1007" i="5"/>
  <c r="B1006" i="5"/>
  <c r="B1005" i="5"/>
  <c r="B1004" i="5"/>
  <c r="B1003" i="5"/>
  <c r="B1002" i="5"/>
  <c r="B1001" i="5"/>
  <c r="B1000" i="5"/>
  <c r="B999" i="5"/>
  <c r="B998" i="5"/>
  <c r="B997" i="5"/>
  <c r="B996" i="5"/>
  <c r="B995" i="5"/>
  <c r="B994" i="5"/>
  <c r="B993" i="5"/>
  <c r="B992" i="5"/>
  <c r="B991" i="5"/>
  <c r="B990" i="5"/>
  <c r="B989" i="5"/>
  <c r="B988" i="5"/>
  <c r="B987" i="5"/>
  <c r="B986" i="5"/>
  <c r="B985" i="5"/>
  <c r="B984" i="5"/>
  <c r="B983" i="5"/>
  <c r="B982" i="5"/>
  <c r="B981" i="5"/>
  <c r="B980" i="5"/>
  <c r="B979" i="5"/>
  <c r="B978" i="5"/>
  <c r="B977" i="5"/>
  <c r="B976" i="5"/>
  <c r="B975" i="5"/>
  <c r="B974" i="5"/>
  <c r="B973" i="5"/>
  <c r="B972" i="5"/>
  <c r="B971" i="5"/>
  <c r="B970" i="5"/>
  <c r="B969" i="5"/>
  <c r="B968" i="5"/>
  <c r="B967" i="5"/>
  <c r="B966" i="5"/>
  <c r="B965" i="5"/>
  <c r="B964" i="5"/>
  <c r="B963" i="5"/>
  <c r="B962" i="5"/>
  <c r="B961" i="5"/>
  <c r="B960" i="5"/>
  <c r="B959" i="5"/>
  <c r="B958" i="5"/>
  <c r="B957" i="5"/>
  <c r="B956" i="5"/>
  <c r="B955" i="5"/>
  <c r="B954" i="5"/>
  <c r="B953" i="5"/>
  <c r="B952" i="5"/>
  <c r="B951" i="5"/>
  <c r="B950" i="5"/>
  <c r="B949" i="5"/>
  <c r="B948" i="5"/>
  <c r="B947" i="5"/>
  <c r="B946" i="5"/>
  <c r="B945" i="5"/>
  <c r="B944" i="5"/>
  <c r="B943" i="5"/>
  <c r="B942" i="5"/>
  <c r="B941" i="5"/>
  <c r="B940" i="5"/>
  <c r="B939" i="5"/>
  <c r="B938" i="5"/>
  <c r="B937" i="5"/>
  <c r="B936" i="5"/>
  <c r="B935" i="5"/>
  <c r="B934" i="5"/>
  <c r="B933" i="5"/>
  <c r="B932" i="5"/>
  <c r="B931" i="5"/>
  <c r="B930" i="5"/>
  <c r="B929" i="5"/>
  <c r="B928" i="5"/>
  <c r="B927" i="5"/>
  <c r="B926" i="5"/>
  <c r="B925" i="5"/>
  <c r="B924" i="5"/>
  <c r="B923" i="5"/>
  <c r="B922" i="5"/>
  <c r="B921" i="5"/>
  <c r="B920" i="5"/>
  <c r="B919" i="5"/>
  <c r="B918" i="5"/>
  <c r="B917" i="5"/>
  <c r="B916" i="5"/>
  <c r="B915" i="5"/>
  <c r="B914" i="5"/>
  <c r="B913" i="5"/>
  <c r="B912" i="5"/>
  <c r="B911" i="5"/>
  <c r="B910" i="5"/>
  <c r="B909" i="5"/>
  <c r="B908" i="5"/>
  <c r="B907" i="5"/>
  <c r="B906" i="5"/>
  <c r="B905" i="5"/>
  <c r="B904" i="5"/>
  <c r="B903" i="5"/>
  <c r="B902" i="5"/>
  <c r="B901" i="5"/>
  <c r="B900" i="5"/>
  <c r="B899" i="5"/>
  <c r="B898" i="5"/>
  <c r="B897" i="5"/>
  <c r="B896" i="5"/>
  <c r="B895" i="5"/>
  <c r="B894" i="5"/>
  <c r="B893" i="5"/>
  <c r="B892" i="5"/>
  <c r="B891" i="5"/>
  <c r="B890" i="5"/>
  <c r="B889" i="5"/>
  <c r="B888" i="5"/>
  <c r="B887" i="5"/>
  <c r="B886" i="5"/>
  <c r="B885" i="5"/>
  <c r="B884" i="5"/>
  <c r="B883" i="5"/>
  <c r="B882" i="5"/>
  <c r="B881" i="5"/>
  <c r="B880" i="5"/>
  <c r="B879" i="5"/>
  <c r="B878" i="5"/>
  <c r="B877" i="5"/>
  <c r="B876" i="5"/>
  <c r="B875" i="5"/>
  <c r="B874" i="5"/>
  <c r="B873" i="5"/>
  <c r="B872" i="5"/>
  <c r="B871" i="5"/>
  <c r="B870" i="5"/>
  <c r="B869" i="5"/>
  <c r="B868" i="5"/>
  <c r="B867" i="5"/>
  <c r="B866" i="5"/>
  <c r="B865" i="5"/>
  <c r="B864" i="5"/>
  <c r="B863" i="5"/>
  <c r="B862" i="5"/>
  <c r="B861" i="5"/>
  <c r="B860" i="5"/>
  <c r="B859" i="5"/>
  <c r="B858" i="5"/>
  <c r="B857" i="5"/>
  <c r="B856" i="5"/>
  <c r="B855" i="5"/>
  <c r="B854" i="5"/>
  <c r="B853" i="5"/>
  <c r="B852" i="5"/>
  <c r="B851" i="5"/>
  <c r="B850" i="5"/>
  <c r="B849" i="5"/>
  <c r="B848" i="5"/>
  <c r="B847" i="5"/>
  <c r="B846" i="5"/>
  <c r="B845" i="5"/>
  <c r="B844" i="5"/>
  <c r="B843" i="5"/>
  <c r="B842" i="5"/>
  <c r="B841" i="5"/>
  <c r="B840" i="5"/>
  <c r="B839" i="5"/>
  <c r="B838" i="5"/>
  <c r="B837" i="5"/>
  <c r="B836" i="5"/>
  <c r="B835" i="5"/>
  <c r="B834" i="5"/>
  <c r="B833" i="5"/>
  <c r="B832" i="5"/>
  <c r="B831" i="5"/>
  <c r="B830" i="5"/>
  <c r="B829" i="5"/>
  <c r="B828" i="5"/>
  <c r="B827" i="5"/>
  <c r="B826" i="5"/>
  <c r="B825" i="5"/>
  <c r="B824" i="5"/>
  <c r="B823" i="5"/>
  <c r="B822" i="5"/>
  <c r="B821" i="5"/>
  <c r="B820" i="5"/>
  <c r="B819" i="5"/>
  <c r="B818" i="5"/>
  <c r="B817" i="5"/>
  <c r="B816" i="5"/>
  <c r="B815" i="5"/>
  <c r="B814" i="5"/>
  <c r="B813" i="5"/>
  <c r="B812" i="5"/>
  <c r="B811" i="5"/>
  <c r="B810" i="5"/>
  <c r="B809" i="5"/>
  <c r="B808" i="5"/>
  <c r="B807" i="5"/>
  <c r="B806" i="5"/>
  <c r="B805" i="5"/>
  <c r="B804" i="5"/>
  <c r="B803" i="5"/>
  <c r="B802" i="5"/>
  <c r="B801" i="5"/>
  <c r="B800" i="5"/>
  <c r="B799" i="5"/>
  <c r="B798" i="5"/>
  <c r="B797" i="5"/>
  <c r="B796" i="5"/>
  <c r="B795" i="5"/>
  <c r="B794" i="5"/>
  <c r="B793" i="5"/>
  <c r="B792" i="5"/>
  <c r="B791" i="5"/>
  <c r="B790" i="5"/>
  <c r="B789" i="5"/>
  <c r="B788" i="5"/>
  <c r="B787" i="5"/>
  <c r="B786" i="5"/>
  <c r="B785" i="5"/>
  <c r="B784" i="5"/>
  <c r="B783" i="5"/>
  <c r="B782" i="5"/>
  <c r="B781" i="5"/>
  <c r="B780" i="5"/>
  <c r="B779" i="5"/>
  <c r="B778" i="5"/>
  <c r="B777" i="5"/>
  <c r="B776" i="5"/>
  <c r="B775" i="5"/>
  <c r="B774" i="5"/>
  <c r="B773" i="5"/>
  <c r="B772" i="5"/>
  <c r="B771" i="5"/>
  <c r="B770" i="5"/>
  <c r="B769" i="5"/>
  <c r="B768" i="5"/>
  <c r="B767" i="5"/>
  <c r="B766" i="5"/>
  <c r="B765" i="5"/>
  <c r="B764" i="5"/>
  <c r="B763" i="5"/>
  <c r="B762" i="5"/>
  <c r="B761" i="5"/>
  <c r="B760" i="5"/>
  <c r="B759" i="5"/>
  <c r="B758" i="5"/>
  <c r="B757" i="5"/>
  <c r="B756" i="5"/>
  <c r="B755" i="5"/>
  <c r="B754" i="5"/>
  <c r="B753" i="5"/>
  <c r="B752" i="5"/>
  <c r="B751" i="5"/>
  <c r="B750" i="5"/>
  <c r="B749" i="5"/>
  <c r="B748" i="5"/>
  <c r="B747" i="5"/>
  <c r="B746" i="5"/>
  <c r="B745" i="5"/>
  <c r="B744" i="5"/>
  <c r="B743" i="5"/>
  <c r="B742" i="5"/>
  <c r="B741" i="5"/>
  <c r="B740" i="5"/>
  <c r="B739" i="5"/>
  <c r="B738" i="5"/>
  <c r="B737" i="5"/>
  <c r="B736" i="5"/>
  <c r="B735" i="5"/>
  <c r="B734" i="5"/>
  <c r="B733" i="5"/>
  <c r="B732" i="5"/>
  <c r="B731" i="5"/>
  <c r="B730" i="5"/>
  <c r="B729" i="5"/>
  <c r="B728" i="5"/>
  <c r="B727" i="5"/>
  <c r="B726" i="5"/>
  <c r="B725" i="5"/>
  <c r="B724" i="5"/>
  <c r="B723" i="5"/>
  <c r="B722" i="5"/>
  <c r="B721" i="5"/>
  <c r="B720" i="5"/>
  <c r="B719" i="5"/>
  <c r="B718" i="5"/>
  <c r="B717" i="5"/>
  <c r="B716" i="5"/>
  <c r="B715" i="5"/>
  <c r="B714" i="5"/>
  <c r="B713" i="5"/>
  <c r="B712" i="5"/>
  <c r="B711" i="5"/>
  <c r="B710" i="5"/>
  <c r="B709" i="5"/>
  <c r="B708" i="5"/>
  <c r="B707" i="5"/>
  <c r="B706" i="5"/>
  <c r="B705" i="5"/>
  <c r="B704" i="5"/>
  <c r="B703" i="5"/>
  <c r="B702" i="5"/>
  <c r="B701" i="5"/>
  <c r="B700" i="5"/>
  <c r="B699" i="5"/>
  <c r="B698" i="5"/>
  <c r="B697" i="5"/>
  <c r="B696" i="5"/>
  <c r="B695" i="5"/>
  <c r="B694" i="5"/>
  <c r="B693" i="5"/>
  <c r="B692" i="5"/>
  <c r="B691" i="5"/>
  <c r="B690" i="5"/>
  <c r="B689" i="5"/>
  <c r="B688" i="5"/>
  <c r="B687" i="5"/>
  <c r="B686" i="5"/>
  <c r="B685" i="5"/>
  <c r="B684" i="5"/>
  <c r="B683" i="5"/>
  <c r="B682" i="5"/>
  <c r="B681" i="5"/>
  <c r="B680" i="5"/>
  <c r="B679" i="5"/>
  <c r="B678" i="5"/>
  <c r="B677" i="5"/>
  <c r="B676" i="5"/>
  <c r="B675" i="5"/>
  <c r="B674" i="5"/>
  <c r="B673" i="5"/>
  <c r="B672" i="5"/>
  <c r="B671" i="5"/>
  <c r="B670" i="5"/>
  <c r="B669" i="5"/>
  <c r="B668" i="5"/>
  <c r="B667" i="5"/>
  <c r="B666" i="5"/>
  <c r="B665" i="5"/>
  <c r="B664" i="5"/>
  <c r="B663" i="5"/>
  <c r="B662" i="5"/>
  <c r="B661" i="5"/>
  <c r="B660" i="5"/>
  <c r="B659" i="5"/>
  <c r="B658" i="5"/>
  <c r="B657" i="5"/>
  <c r="B656" i="5"/>
  <c r="B655" i="5"/>
  <c r="B654" i="5"/>
  <c r="B653" i="5"/>
  <c r="B652" i="5"/>
  <c r="B651" i="5"/>
  <c r="B650" i="5"/>
  <c r="B649" i="5"/>
  <c r="B648" i="5"/>
  <c r="B647" i="5"/>
  <c r="B646" i="5"/>
  <c r="B645" i="5"/>
  <c r="B644" i="5"/>
  <c r="B643" i="5"/>
  <c r="B642" i="5"/>
  <c r="B641" i="5"/>
  <c r="B640" i="5"/>
  <c r="B639" i="5"/>
  <c r="B638" i="5"/>
  <c r="B637" i="5"/>
  <c r="B636" i="5"/>
  <c r="B635" i="5"/>
  <c r="B634" i="5"/>
  <c r="B633" i="5"/>
  <c r="B632" i="5"/>
  <c r="B631" i="5"/>
  <c r="B630" i="5"/>
  <c r="B629" i="5"/>
  <c r="B628" i="5"/>
  <c r="B627" i="5"/>
  <c r="B626" i="5"/>
  <c r="B625" i="5"/>
  <c r="B624" i="5"/>
  <c r="B623" i="5"/>
  <c r="B622" i="5"/>
  <c r="B621" i="5"/>
  <c r="B620" i="5"/>
  <c r="B619" i="5"/>
  <c r="B618" i="5"/>
  <c r="B617" i="5"/>
  <c r="B616" i="5"/>
  <c r="B615" i="5"/>
  <c r="B614" i="5"/>
  <c r="B613" i="5"/>
  <c r="B612" i="5"/>
  <c r="B611" i="5"/>
  <c r="B610" i="5"/>
  <c r="B609" i="5"/>
  <c r="B608" i="5"/>
  <c r="B607" i="5"/>
  <c r="B606" i="5"/>
  <c r="B605" i="5"/>
  <c r="B604" i="5"/>
  <c r="B603" i="5"/>
  <c r="B602" i="5"/>
  <c r="B601" i="5"/>
  <c r="B600" i="5"/>
  <c r="B599" i="5"/>
  <c r="B598" i="5"/>
  <c r="B597" i="5"/>
  <c r="B596" i="5"/>
  <c r="B595" i="5"/>
  <c r="B594" i="5"/>
  <c r="B593" i="5"/>
  <c r="B592" i="5"/>
  <c r="B591" i="5"/>
  <c r="B590" i="5"/>
  <c r="B589" i="5"/>
  <c r="B588" i="5"/>
  <c r="B587" i="5"/>
  <c r="B586" i="5"/>
  <c r="B585" i="5"/>
  <c r="B584" i="5"/>
  <c r="B583" i="5"/>
  <c r="B582" i="5"/>
  <c r="B581" i="5"/>
  <c r="B580" i="5"/>
  <c r="B579" i="5"/>
  <c r="B578" i="5"/>
  <c r="B577" i="5"/>
  <c r="B576" i="5"/>
  <c r="B575" i="5"/>
  <c r="B574" i="5"/>
  <c r="B573" i="5"/>
  <c r="B572" i="5"/>
  <c r="B571" i="5"/>
  <c r="B570" i="5"/>
  <c r="B569" i="5"/>
  <c r="B568" i="5"/>
  <c r="B567" i="5"/>
  <c r="B566" i="5"/>
  <c r="B565" i="5"/>
  <c r="B564" i="5"/>
  <c r="B563" i="5"/>
  <c r="B562" i="5"/>
  <c r="B561" i="5"/>
  <c r="B560" i="5"/>
  <c r="B559" i="5"/>
  <c r="B558" i="5"/>
  <c r="B557" i="5"/>
  <c r="B556" i="5"/>
  <c r="B555" i="5"/>
  <c r="B554" i="5"/>
  <c r="B553" i="5"/>
  <c r="B552" i="5"/>
  <c r="B551" i="5"/>
  <c r="B550" i="5"/>
  <c r="B549" i="5"/>
  <c r="B548" i="5"/>
  <c r="B547" i="5"/>
  <c r="B546" i="5"/>
  <c r="B545" i="5"/>
  <c r="B544" i="5"/>
  <c r="B543" i="5"/>
  <c r="B542" i="5"/>
  <c r="B541" i="5"/>
  <c r="B540" i="5"/>
  <c r="B539" i="5"/>
  <c r="B538" i="5"/>
  <c r="B537" i="5"/>
  <c r="B536" i="5"/>
  <c r="B535" i="5"/>
  <c r="B534" i="5"/>
  <c r="B533" i="5"/>
  <c r="B532" i="5"/>
  <c r="B531" i="5"/>
  <c r="B530" i="5"/>
  <c r="B529" i="5"/>
  <c r="B528" i="5"/>
  <c r="B527" i="5"/>
  <c r="B526" i="5"/>
  <c r="B525" i="5"/>
  <c r="B524" i="5"/>
  <c r="B523" i="5"/>
  <c r="B522" i="5"/>
  <c r="B521" i="5"/>
  <c r="B520" i="5"/>
  <c r="B519" i="5"/>
  <c r="B518" i="5"/>
  <c r="B517" i="5"/>
  <c r="B516" i="5"/>
  <c r="B515" i="5"/>
  <c r="B514" i="5"/>
  <c r="B513" i="5"/>
  <c r="B512" i="5"/>
  <c r="B511" i="5"/>
  <c r="B510" i="5"/>
  <c r="B509" i="5"/>
  <c r="B508" i="5"/>
  <c r="B507" i="5"/>
  <c r="B506" i="5"/>
  <c r="B505" i="5"/>
  <c r="B504" i="5"/>
  <c r="B503" i="5"/>
  <c r="B502" i="5"/>
  <c r="B501" i="5"/>
  <c r="B500" i="5"/>
  <c r="B499" i="5"/>
  <c r="B498" i="5"/>
  <c r="B497" i="5"/>
  <c r="B496" i="5"/>
  <c r="B495" i="5"/>
  <c r="B494" i="5"/>
  <c r="B493" i="5"/>
  <c r="B492" i="5"/>
  <c r="B491" i="5"/>
  <c r="B490" i="5"/>
  <c r="B489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B474" i="5"/>
  <c r="B473" i="5"/>
  <c r="B472" i="5"/>
  <c r="B471" i="5"/>
  <c r="B470" i="5"/>
  <c r="B469" i="5"/>
  <c r="B468" i="5"/>
  <c r="B467" i="5"/>
  <c r="B466" i="5"/>
  <c r="B465" i="5"/>
  <c r="B464" i="5"/>
  <c r="B463" i="5"/>
  <c r="B462" i="5"/>
  <c r="B461" i="5"/>
  <c r="B460" i="5"/>
  <c r="B459" i="5"/>
  <c r="B458" i="5"/>
  <c r="B457" i="5"/>
  <c r="B456" i="5"/>
  <c r="B455" i="5"/>
  <c r="B454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6" i="5"/>
  <c r="B5" i="5"/>
  <c r="B4" i="5"/>
  <c r="B3" i="5"/>
  <c r="B2" i="5"/>
  <c r="K137" i="4"/>
  <c r="H134" i="4"/>
  <c r="J136" i="4" s="1"/>
  <c r="H11" i="4" s="1"/>
  <c r="I133" i="4"/>
  <c r="H133" i="4"/>
  <c r="B133" i="4"/>
  <c r="B131" i="4"/>
  <c r="I130" i="4"/>
  <c r="H130" i="4"/>
  <c r="B130" i="4"/>
  <c r="I129" i="4"/>
  <c r="H129" i="4"/>
  <c r="B129" i="4"/>
  <c r="I127" i="4"/>
  <c r="H127" i="4"/>
  <c r="B127" i="4"/>
  <c r="I126" i="4"/>
  <c r="H126" i="4"/>
  <c r="B126" i="4"/>
  <c r="I124" i="4"/>
  <c r="H124" i="4"/>
  <c r="B124" i="4"/>
  <c r="I122" i="4"/>
  <c r="H122" i="4"/>
  <c r="B122" i="4"/>
  <c r="I121" i="4"/>
  <c r="H121" i="4"/>
  <c r="B121" i="4"/>
  <c r="I120" i="4"/>
  <c r="H120" i="4"/>
  <c r="B120" i="4"/>
  <c r="I119" i="4"/>
  <c r="H119" i="4"/>
  <c r="B119" i="4"/>
  <c r="B117" i="4"/>
  <c r="I115" i="4"/>
  <c r="H115" i="4"/>
  <c r="B115" i="4"/>
  <c r="I113" i="4"/>
  <c r="H113" i="4"/>
  <c r="B113" i="4"/>
  <c r="I111" i="4"/>
  <c r="H111" i="4"/>
  <c r="B111" i="4"/>
  <c r="I110" i="4"/>
  <c r="H110" i="4"/>
  <c r="B110" i="4"/>
  <c r="I109" i="4"/>
  <c r="H109" i="4"/>
  <c r="B109" i="4"/>
  <c r="I108" i="4"/>
  <c r="H108" i="4"/>
  <c r="B108" i="4"/>
  <c r="I106" i="4"/>
  <c r="H106" i="4"/>
  <c r="B106" i="4"/>
  <c r="I104" i="4"/>
  <c r="H104" i="4"/>
  <c r="B104" i="4"/>
  <c r="I103" i="4"/>
  <c r="H103" i="4"/>
  <c r="B103" i="4"/>
  <c r="I101" i="4"/>
  <c r="H101" i="4"/>
  <c r="B101" i="4"/>
  <c r="I99" i="4"/>
  <c r="H99" i="4"/>
  <c r="B99" i="4"/>
  <c r="I98" i="4"/>
  <c r="H98" i="4"/>
  <c r="B98" i="4"/>
  <c r="I97" i="4"/>
  <c r="H97" i="4"/>
  <c r="B97" i="4"/>
  <c r="I95" i="4"/>
  <c r="H95" i="4"/>
  <c r="B95" i="4"/>
  <c r="I94" i="4"/>
  <c r="H94" i="4"/>
  <c r="B94" i="4"/>
  <c r="I93" i="4"/>
  <c r="H93" i="4"/>
  <c r="B93" i="4"/>
  <c r="I92" i="4"/>
  <c r="H92" i="4"/>
  <c r="B92" i="4"/>
  <c r="I91" i="4"/>
  <c r="H91" i="4"/>
  <c r="B91" i="4"/>
  <c r="I90" i="4"/>
  <c r="H90" i="4"/>
  <c r="B90" i="4"/>
  <c r="I89" i="4"/>
  <c r="H89" i="4"/>
  <c r="B89" i="4"/>
  <c r="I87" i="4"/>
  <c r="H87" i="4"/>
  <c r="B87" i="4"/>
  <c r="I86" i="4"/>
  <c r="H86" i="4"/>
  <c r="B86" i="4"/>
  <c r="I85" i="4"/>
  <c r="H85" i="4"/>
  <c r="B85" i="4"/>
  <c r="I83" i="4"/>
  <c r="H83" i="4"/>
  <c r="B83" i="4"/>
  <c r="I82" i="4"/>
  <c r="H82" i="4"/>
  <c r="B82" i="4"/>
  <c r="I81" i="4"/>
  <c r="H81" i="4"/>
  <c r="B81" i="4"/>
  <c r="I80" i="4"/>
  <c r="H80" i="4"/>
  <c r="B80" i="4"/>
  <c r="I78" i="4"/>
  <c r="H78" i="4"/>
  <c r="B78" i="4"/>
  <c r="I77" i="4"/>
  <c r="H77" i="4"/>
  <c r="B77" i="4"/>
  <c r="I76" i="4"/>
  <c r="H76" i="4"/>
  <c r="B76" i="4"/>
  <c r="I75" i="4"/>
  <c r="H75" i="4"/>
  <c r="B75" i="4"/>
  <c r="I74" i="4"/>
  <c r="H74" i="4"/>
  <c r="B74" i="4"/>
  <c r="I73" i="4"/>
  <c r="H73" i="4"/>
  <c r="B73" i="4"/>
  <c r="I72" i="4"/>
  <c r="H72" i="4"/>
  <c r="B72" i="4"/>
  <c r="I71" i="4"/>
  <c r="H71" i="4"/>
  <c r="B71" i="4"/>
  <c r="I70" i="4"/>
  <c r="H70" i="4"/>
  <c r="B70" i="4"/>
  <c r="I69" i="4"/>
  <c r="H69" i="4"/>
  <c r="B69" i="4"/>
  <c r="I68" i="4"/>
  <c r="H68" i="4"/>
  <c r="B68" i="4"/>
  <c r="I67" i="4"/>
  <c r="H67" i="4"/>
  <c r="B67" i="4"/>
  <c r="I65" i="4"/>
  <c r="H65" i="4"/>
  <c r="B65" i="4"/>
  <c r="I64" i="4"/>
  <c r="H64" i="4"/>
  <c r="B64" i="4"/>
  <c r="I63" i="4"/>
  <c r="H63" i="4"/>
  <c r="B63" i="4"/>
  <c r="I62" i="4"/>
  <c r="H62" i="4"/>
  <c r="B62" i="4"/>
  <c r="I61" i="4"/>
  <c r="H61" i="4"/>
  <c r="B61" i="4"/>
  <c r="I59" i="4"/>
  <c r="H59" i="4"/>
  <c r="B59" i="4"/>
  <c r="I58" i="4"/>
  <c r="H58" i="4"/>
  <c r="B58" i="4"/>
  <c r="I57" i="4"/>
  <c r="H57" i="4"/>
  <c r="B57" i="4"/>
  <c r="I56" i="4"/>
  <c r="H56" i="4"/>
  <c r="B56" i="4"/>
  <c r="I55" i="4"/>
  <c r="H55" i="4"/>
  <c r="B55" i="4"/>
  <c r="I54" i="4"/>
  <c r="H54" i="4"/>
  <c r="B54" i="4"/>
  <c r="I53" i="4"/>
  <c r="H53" i="4"/>
  <c r="B53" i="4"/>
  <c r="I52" i="4"/>
  <c r="H52" i="4"/>
  <c r="B52" i="4"/>
  <c r="I51" i="4"/>
  <c r="H51" i="4"/>
  <c r="B51" i="4"/>
  <c r="I50" i="4"/>
  <c r="H50" i="4"/>
  <c r="B50" i="4"/>
  <c r="I49" i="4"/>
  <c r="H49" i="4"/>
  <c r="B49" i="4"/>
  <c r="I48" i="4"/>
  <c r="H48" i="4"/>
  <c r="B48" i="4"/>
  <c r="I47" i="4"/>
  <c r="H47" i="4"/>
  <c r="B47" i="4"/>
  <c r="I46" i="4"/>
  <c r="H46" i="4"/>
  <c r="B46" i="4"/>
  <c r="I45" i="4"/>
  <c r="H45" i="4"/>
  <c r="B45" i="4"/>
  <c r="I44" i="4"/>
  <c r="H44" i="4"/>
  <c r="B44" i="4"/>
  <c r="I43" i="4"/>
  <c r="H43" i="4"/>
  <c r="B43" i="4"/>
  <c r="I42" i="4"/>
  <c r="H42" i="4"/>
  <c r="B42" i="4"/>
  <c r="I41" i="4"/>
  <c r="H41" i="4"/>
  <c r="B41" i="4"/>
  <c r="I40" i="4"/>
  <c r="H40" i="4"/>
  <c r="B40" i="4"/>
  <c r="I39" i="4"/>
  <c r="H39" i="4"/>
  <c r="B39" i="4"/>
  <c r="I38" i="4"/>
  <c r="H38" i="4"/>
  <c r="B38" i="4"/>
  <c r="I37" i="4"/>
  <c r="H37" i="4"/>
  <c r="B37" i="4"/>
  <c r="I36" i="4"/>
  <c r="H36" i="4"/>
  <c r="B36" i="4"/>
  <c r="I35" i="4"/>
  <c r="H35" i="4"/>
  <c r="B35" i="4"/>
  <c r="I34" i="4"/>
  <c r="H34" i="4"/>
  <c r="B34" i="4"/>
  <c r="I33" i="4"/>
  <c r="H33" i="4"/>
  <c r="B33" i="4"/>
  <c r="I32" i="4"/>
  <c r="H32" i="4"/>
  <c r="B32" i="4"/>
  <c r="I31" i="4"/>
  <c r="H31" i="4"/>
  <c r="B31" i="4"/>
  <c r="I30" i="4"/>
  <c r="H30" i="4"/>
  <c r="B30" i="4"/>
  <c r="I29" i="4"/>
  <c r="H29" i="4"/>
  <c r="B29" i="4"/>
  <c r="I28" i="4"/>
  <c r="H28" i="4"/>
  <c r="B28" i="4"/>
  <c r="I27" i="4"/>
  <c r="H27" i="4"/>
  <c r="B27" i="4"/>
  <c r="I26" i="4"/>
  <c r="H26" i="4"/>
  <c r="B26" i="4"/>
  <c r="I25" i="4"/>
  <c r="H25" i="4"/>
  <c r="B25" i="4"/>
  <c r="I24" i="4"/>
  <c r="H24" i="4"/>
  <c r="B24" i="4"/>
  <c r="I22" i="4"/>
  <c r="H22" i="4"/>
  <c r="B22" i="4"/>
  <c r="I21" i="4"/>
  <c r="H21" i="4"/>
  <c r="B21" i="4"/>
  <c r="I20" i="4"/>
  <c r="H20" i="4"/>
  <c r="B20" i="4"/>
  <c r="I19" i="4"/>
  <c r="H19" i="4"/>
  <c r="B19" i="4"/>
  <c r="I18" i="4"/>
  <c r="H18" i="4"/>
  <c r="B18" i="4"/>
  <c r="I17" i="4"/>
  <c r="I134" i="4" s="1"/>
  <c r="H17" i="4"/>
  <c r="B17" i="4"/>
  <c r="I16" i="4"/>
  <c r="H16" i="4"/>
  <c r="B16" i="4"/>
  <c r="G9" i="4"/>
  <c r="G8" i="4"/>
  <c r="G7" i="4"/>
  <c r="AH7" i="2"/>
  <c r="AH6" i="2" s="1"/>
  <c r="AH5" i="2"/>
  <c r="AH4" i="2"/>
  <c r="AH3" i="2"/>
  <c r="H34" i="1"/>
  <c r="G34" i="1"/>
  <c r="F34" i="1"/>
  <c r="E25" i="1"/>
  <c r="D25" i="1"/>
  <c r="B25" i="1"/>
  <c r="C17" i="1"/>
  <c r="C12" i="1"/>
  <c r="H11" i="14" l="1"/>
  <c r="G25" i="1" s="1"/>
  <c r="J136" i="14"/>
  <c r="F25" i="1"/>
  <c r="F22" i="1" s="1"/>
  <c r="I11" i="14"/>
  <c r="H25" i="1" s="1"/>
  <c r="J137" i="14"/>
  <c r="K136" i="14"/>
  <c r="K136" i="4"/>
  <c r="J137" i="4"/>
  <c r="I11" i="4" s="1"/>
  <c r="H22" i="1" l="1"/>
  <c r="C10" i="1"/>
  <c r="G22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Plumriver</author>
  </authors>
  <commentList>
    <comment ref="K16" authorId="0" shapeId="0" xr:uid="{00000000-0006-0000-0C00-000001000000}">
      <text>
        <r>
          <rPr>
            <sz val="11"/>
            <rFont val="Calibri"/>
          </rPr>
          <t>1</t>
        </r>
      </text>
    </comment>
    <comment ref="L16" authorId="0" shapeId="0" xr:uid="{00000000-0006-0000-0C00-00000A000000}">
      <text>
        <r>
          <rPr>
            <sz val="11"/>
            <rFont val="Calibri"/>
          </rPr>
          <t>74</t>
        </r>
      </text>
    </comment>
    <comment ref="M16" authorId="0" shapeId="0" xr:uid="{00000000-0006-0000-0C00-000002000000}">
      <text>
        <r>
          <rPr>
            <sz val="11"/>
            <rFont val="Calibri"/>
          </rPr>
          <t>21</t>
        </r>
      </text>
    </comment>
    <comment ref="N16" authorId="0" shapeId="0" xr:uid="{00000000-0006-0000-0C00-000003000000}">
      <text>
        <r>
          <rPr>
            <sz val="11"/>
            <rFont val="Calibri"/>
          </rPr>
          <t>99+</t>
        </r>
      </text>
    </comment>
    <comment ref="O16" authorId="0" shapeId="0" xr:uid="{00000000-0006-0000-0C00-000004000000}">
      <text>
        <r>
          <rPr>
            <sz val="11"/>
            <rFont val="Calibri"/>
          </rPr>
          <t>99+</t>
        </r>
      </text>
    </comment>
    <comment ref="P16" authorId="0" shapeId="0" xr:uid="{00000000-0006-0000-0C00-000005000000}">
      <text>
        <r>
          <rPr>
            <sz val="11"/>
            <rFont val="Calibri"/>
          </rPr>
          <t>99+</t>
        </r>
      </text>
    </comment>
    <comment ref="Q16" authorId="0" shapeId="0" xr:uid="{00000000-0006-0000-0C00-000006000000}">
      <text>
        <r>
          <rPr>
            <sz val="11"/>
            <rFont val="Calibri"/>
          </rPr>
          <t>99+</t>
        </r>
      </text>
    </comment>
    <comment ref="R16" authorId="0" shapeId="0" xr:uid="{00000000-0006-0000-0C00-000007000000}">
      <text>
        <r>
          <rPr>
            <sz val="11"/>
            <rFont val="Calibri"/>
          </rPr>
          <t>99+</t>
        </r>
      </text>
    </comment>
    <comment ref="S16" authorId="0" shapeId="0" xr:uid="{00000000-0006-0000-0C00-000008000000}">
      <text>
        <r>
          <rPr>
            <sz val="11"/>
            <rFont val="Calibri"/>
          </rPr>
          <t>85</t>
        </r>
      </text>
    </comment>
    <comment ref="V16" authorId="0" shapeId="0" xr:uid="{00000000-0006-0000-0C00-000009000000}">
      <text>
        <r>
          <rPr>
            <sz val="11"/>
            <rFont val="Calibri"/>
          </rPr>
          <t>1</t>
        </r>
      </text>
    </comment>
    <comment ref="L17" authorId="0" shapeId="0" xr:uid="{00000000-0006-0000-0C00-00000B000000}">
      <text>
        <r>
          <rPr>
            <sz val="11"/>
            <rFont val="Calibri"/>
          </rPr>
          <t>99+</t>
        </r>
      </text>
    </comment>
    <comment ref="M17" authorId="0" shapeId="0" xr:uid="{00000000-0006-0000-0C00-00000C000000}">
      <text>
        <r>
          <rPr>
            <sz val="11"/>
            <rFont val="Calibri"/>
          </rPr>
          <t>44</t>
        </r>
      </text>
    </comment>
    <comment ref="N17" authorId="0" shapeId="0" xr:uid="{00000000-0006-0000-0C00-00000D000000}">
      <text>
        <r>
          <rPr>
            <sz val="11"/>
            <rFont val="Calibri"/>
          </rPr>
          <t>99+</t>
        </r>
      </text>
    </comment>
    <comment ref="O17" authorId="0" shapeId="0" xr:uid="{00000000-0006-0000-0C00-00000E000000}">
      <text>
        <r>
          <rPr>
            <sz val="11"/>
            <rFont val="Calibri"/>
          </rPr>
          <t>99+</t>
        </r>
      </text>
    </comment>
    <comment ref="P17" authorId="0" shapeId="0" xr:uid="{00000000-0006-0000-0C00-00000F000000}">
      <text>
        <r>
          <rPr>
            <sz val="11"/>
            <rFont val="Calibri"/>
          </rPr>
          <t>99+</t>
        </r>
      </text>
    </comment>
    <comment ref="Q17" authorId="0" shapeId="0" xr:uid="{00000000-0006-0000-0C00-000010000000}">
      <text>
        <r>
          <rPr>
            <sz val="11"/>
            <rFont val="Calibri"/>
          </rPr>
          <t>99+</t>
        </r>
      </text>
    </comment>
    <comment ref="R17" authorId="0" shapeId="0" xr:uid="{00000000-0006-0000-0C00-000011000000}">
      <text>
        <r>
          <rPr>
            <sz val="11"/>
            <rFont val="Calibri"/>
          </rPr>
          <t>99+</t>
        </r>
      </text>
    </comment>
    <comment ref="S17" authorId="0" shapeId="0" xr:uid="{00000000-0006-0000-0C00-000012000000}">
      <text>
        <r>
          <rPr>
            <sz val="11"/>
            <rFont val="Calibri"/>
          </rPr>
          <t>99+</t>
        </r>
      </text>
    </comment>
    <comment ref="U17" authorId="0" shapeId="0" xr:uid="{00000000-0006-0000-0C00-000013000000}">
      <text>
        <r>
          <rPr>
            <sz val="11"/>
            <rFont val="Calibri"/>
          </rPr>
          <t>4</t>
        </r>
      </text>
    </comment>
    <comment ref="V17" authorId="0" shapeId="0" xr:uid="{00000000-0006-0000-0C00-000014000000}">
      <text>
        <r>
          <rPr>
            <sz val="11"/>
            <rFont val="Calibri"/>
          </rPr>
          <t>1</t>
        </r>
      </text>
    </comment>
    <comment ref="J18" authorId="0" shapeId="0" xr:uid="{00000000-0006-0000-0C00-000015000000}">
      <text>
        <r>
          <rPr>
            <sz val="11"/>
            <rFont val="Calibri"/>
          </rPr>
          <t>59</t>
        </r>
      </text>
    </comment>
    <comment ref="K18" authorId="0" shapeId="0" xr:uid="{00000000-0006-0000-0C00-000016000000}">
      <text>
        <r>
          <rPr>
            <sz val="11"/>
            <rFont val="Calibri"/>
          </rPr>
          <t>21</t>
        </r>
      </text>
    </comment>
    <comment ref="L18" authorId="0" shapeId="0" xr:uid="{00000000-0006-0000-0C00-000017000000}">
      <text>
        <r>
          <rPr>
            <sz val="11"/>
            <rFont val="Calibri"/>
          </rPr>
          <t>99+</t>
        </r>
      </text>
    </comment>
    <comment ref="M18" authorId="0" shapeId="0" xr:uid="{00000000-0006-0000-0C00-000018000000}">
      <text>
        <r>
          <rPr>
            <sz val="11"/>
            <rFont val="Calibri"/>
          </rPr>
          <t>99+</t>
        </r>
      </text>
    </comment>
    <comment ref="N18" authorId="0" shapeId="0" xr:uid="{00000000-0006-0000-0C00-000019000000}">
      <text>
        <r>
          <rPr>
            <sz val="11"/>
            <rFont val="Calibri"/>
          </rPr>
          <t>99+</t>
        </r>
      </text>
    </comment>
    <comment ref="O18" authorId="0" shapeId="0" xr:uid="{00000000-0006-0000-0C00-00001A000000}">
      <text>
        <r>
          <rPr>
            <sz val="11"/>
            <rFont val="Calibri"/>
          </rPr>
          <t>99+</t>
        </r>
      </text>
    </comment>
    <comment ref="P18" authorId="0" shapeId="0" xr:uid="{00000000-0006-0000-0C00-00001B000000}">
      <text>
        <r>
          <rPr>
            <sz val="11"/>
            <rFont val="Calibri"/>
          </rPr>
          <t>99+</t>
        </r>
      </text>
    </comment>
    <comment ref="Q18" authorId="0" shapeId="0" xr:uid="{00000000-0006-0000-0C00-00001C000000}">
      <text>
        <r>
          <rPr>
            <sz val="11"/>
            <rFont val="Calibri"/>
          </rPr>
          <t>99+</t>
        </r>
      </text>
    </comment>
    <comment ref="R18" authorId="0" shapeId="0" xr:uid="{00000000-0006-0000-0C00-00001D000000}">
      <text>
        <r>
          <rPr>
            <sz val="11"/>
            <rFont val="Calibri"/>
          </rPr>
          <t>99+</t>
        </r>
      </text>
    </comment>
    <comment ref="S18" authorId="0" shapeId="0" xr:uid="{00000000-0006-0000-0C00-00001E000000}">
      <text>
        <r>
          <rPr>
            <sz val="11"/>
            <rFont val="Calibri"/>
          </rPr>
          <t>99+</t>
        </r>
      </text>
    </comment>
    <comment ref="T18" authorId="0" shapeId="0" xr:uid="{00000000-0006-0000-0C00-00001F000000}">
      <text>
        <r>
          <rPr>
            <sz val="11"/>
            <rFont val="Calibri"/>
          </rPr>
          <t>58</t>
        </r>
      </text>
    </comment>
    <comment ref="U18" authorId="0" shapeId="0" xr:uid="{00000000-0006-0000-0C00-000020000000}">
      <text>
        <r>
          <rPr>
            <sz val="11"/>
            <rFont val="Calibri"/>
          </rPr>
          <t>31</t>
        </r>
      </text>
    </comment>
    <comment ref="V18" authorId="0" shapeId="0" xr:uid="{00000000-0006-0000-0C00-000021000000}">
      <text>
        <r>
          <rPr>
            <sz val="11"/>
            <rFont val="Calibri"/>
          </rPr>
          <t>3</t>
        </r>
      </text>
    </comment>
    <comment ref="L19" authorId="0" shapeId="0" xr:uid="{00000000-0006-0000-0C00-000022000000}">
      <text>
        <r>
          <rPr>
            <sz val="11"/>
            <rFont val="Calibri"/>
          </rPr>
          <t>99+</t>
        </r>
      </text>
    </comment>
    <comment ref="M19" authorId="0" shapeId="0" xr:uid="{00000000-0006-0000-0C00-000023000000}">
      <text>
        <r>
          <rPr>
            <sz val="11"/>
            <rFont val="Calibri"/>
          </rPr>
          <t>99+</t>
        </r>
      </text>
    </comment>
    <comment ref="N19" authorId="0" shapeId="0" xr:uid="{00000000-0006-0000-0C00-000024000000}">
      <text>
        <r>
          <rPr>
            <sz val="11"/>
            <rFont val="Calibri"/>
          </rPr>
          <t>99+</t>
        </r>
      </text>
    </comment>
    <comment ref="O19" authorId="0" shapeId="0" xr:uid="{00000000-0006-0000-0C00-000025000000}">
      <text>
        <r>
          <rPr>
            <sz val="11"/>
            <rFont val="Calibri"/>
          </rPr>
          <t>99+</t>
        </r>
      </text>
    </comment>
    <comment ref="P19" authorId="0" shapeId="0" xr:uid="{00000000-0006-0000-0C00-000026000000}">
      <text>
        <r>
          <rPr>
            <sz val="11"/>
            <rFont val="Calibri"/>
          </rPr>
          <t>99+</t>
        </r>
      </text>
    </comment>
    <comment ref="Q19" authorId="0" shapeId="0" xr:uid="{00000000-0006-0000-0C00-000027000000}">
      <text>
        <r>
          <rPr>
            <sz val="11"/>
            <rFont val="Calibri"/>
          </rPr>
          <t>99+</t>
        </r>
      </text>
    </comment>
    <comment ref="R19" authorId="0" shapeId="0" xr:uid="{00000000-0006-0000-0C00-000028000000}">
      <text>
        <r>
          <rPr>
            <sz val="11"/>
            <rFont val="Calibri"/>
          </rPr>
          <t>99+</t>
        </r>
      </text>
    </comment>
    <comment ref="S19" authorId="0" shapeId="0" xr:uid="{00000000-0006-0000-0C00-000029000000}">
      <text>
        <r>
          <rPr>
            <sz val="11"/>
            <rFont val="Calibri"/>
          </rPr>
          <t>99+</t>
        </r>
      </text>
    </comment>
    <comment ref="T19" authorId="0" shapeId="0" xr:uid="{00000000-0006-0000-0C00-00002A000000}">
      <text>
        <r>
          <rPr>
            <sz val="11"/>
            <rFont val="Calibri"/>
          </rPr>
          <t>99+</t>
        </r>
      </text>
    </comment>
    <comment ref="L20" authorId="0" shapeId="0" xr:uid="{00000000-0006-0000-0C00-00002B000000}">
      <text>
        <r>
          <rPr>
            <sz val="11"/>
            <rFont val="Calibri"/>
          </rPr>
          <t>62</t>
        </r>
      </text>
    </comment>
    <comment ref="M20" authorId="0" shapeId="0" xr:uid="{00000000-0006-0000-0C00-00002C000000}">
      <text>
        <r>
          <rPr>
            <sz val="11"/>
            <rFont val="Calibri"/>
          </rPr>
          <t>17</t>
        </r>
      </text>
    </comment>
    <comment ref="N20" authorId="0" shapeId="0" xr:uid="{00000000-0006-0000-0C00-00002D000000}">
      <text>
        <r>
          <rPr>
            <sz val="11"/>
            <rFont val="Calibri"/>
          </rPr>
          <t>99+</t>
        </r>
      </text>
    </comment>
    <comment ref="O20" authorId="0" shapeId="0" xr:uid="{00000000-0006-0000-0C00-00002E000000}">
      <text>
        <r>
          <rPr>
            <sz val="11"/>
            <rFont val="Calibri"/>
          </rPr>
          <t>99</t>
        </r>
      </text>
    </comment>
    <comment ref="P20" authorId="0" shapeId="0" xr:uid="{00000000-0006-0000-0C00-00002F000000}">
      <text>
        <r>
          <rPr>
            <sz val="11"/>
            <rFont val="Calibri"/>
          </rPr>
          <t>99+</t>
        </r>
      </text>
    </comment>
    <comment ref="Q20" authorId="0" shapeId="0" xr:uid="{00000000-0006-0000-0C00-000030000000}">
      <text>
        <r>
          <rPr>
            <sz val="11"/>
            <rFont val="Calibri"/>
          </rPr>
          <t>99+</t>
        </r>
      </text>
    </comment>
    <comment ref="R20" authorId="0" shapeId="0" xr:uid="{00000000-0006-0000-0C00-000031000000}">
      <text>
        <r>
          <rPr>
            <sz val="11"/>
            <rFont val="Calibri"/>
          </rPr>
          <t>99+</t>
        </r>
      </text>
    </comment>
    <comment ref="S20" authorId="0" shapeId="0" xr:uid="{00000000-0006-0000-0C00-000032000000}">
      <text>
        <r>
          <rPr>
            <sz val="11"/>
            <rFont val="Calibri"/>
          </rPr>
          <t>99+</t>
        </r>
      </text>
    </comment>
    <comment ref="T20" authorId="0" shapeId="0" xr:uid="{00000000-0006-0000-0C00-000033000000}">
      <text>
        <r>
          <rPr>
            <sz val="11"/>
            <rFont val="Calibri"/>
          </rPr>
          <t>10</t>
        </r>
      </text>
    </comment>
    <comment ref="U20" authorId="0" shapeId="0" xr:uid="{00000000-0006-0000-0C00-000034000000}">
      <text>
        <r>
          <rPr>
            <sz val="11"/>
            <rFont val="Calibri"/>
          </rPr>
          <t>4</t>
        </r>
      </text>
    </comment>
    <comment ref="V21" authorId="0" shapeId="0" xr:uid="{00000000-0006-0000-0C00-000035000000}">
      <text>
        <r>
          <rPr>
            <sz val="11"/>
            <rFont val="Calibri"/>
          </rPr>
          <t>3</t>
        </r>
      </text>
    </comment>
    <comment ref="J22" authorId="0" shapeId="0" xr:uid="{00000000-0006-0000-0C00-000036000000}">
      <text>
        <r>
          <rPr>
            <sz val="11"/>
            <rFont val="Calibri"/>
          </rPr>
          <t>7</t>
        </r>
      </text>
    </comment>
    <comment ref="K22" authorId="0" shapeId="0" xr:uid="{00000000-0006-0000-0C00-000037000000}">
      <text>
        <r>
          <rPr>
            <sz val="11"/>
            <rFont val="Calibri"/>
          </rPr>
          <t>12</t>
        </r>
      </text>
    </comment>
    <comment ref="M22" authorId="0" shapeId="0" xr:uid="{00000000-0006-0000-0C00-000038000000}">
      <text>
        <r>
          <rPr>
            <sz val="11"/>
            <rFont val="Calibri"/>
          </rPr>
          <t>11</t>
        </r>
      </text>
    </comment>
    <comment ref="N22" authorId="0" shapeId="0" xr:uid="{00000000-0006-0000-0C00-000039000000}">
      <text>
        <r>
          <rPr>
            <sz val="11"/>
            <rFont val="Calibri"/>
          </rPr>
          <t>12</t>
        </r>
      </text>
    </comment>
    <comment ref="O22" authorId="0" shapeId="0" xr:uid="{00000000-0006-0000-0C00-00003A000000}">
      <text>
        <r>
          <rPr>
            <sz val="11"/>
            <rFont val="Calibri"/>
          </rPr>
          <t>46</t>
        </r>
      </text>
    </comment>
    <comment ref="P22" authorId="0" shapeId="0" xr:uid="{00000000-0006-0000-0C00-00003B000000}">
      <text>
        <r>
          <rPr>
            <sz val="11"/>
            <rFont val="Calibri"/>
          </rPr>
          <t>99+</t>
        </r>
      </text>
    </comment>
    <comment ref="Q22" authorId="0" shapeId="0" xr:uid="{00000000-0006-0000-0C00-00003C000000}">
      <text>
        <r>
          <rPr>
            <sz val="11"/>
            <rFont val="Calibri"/>
          </rPr>
          <t>53</t>
        </r>
      </text>
    </comment>
    <comment ref="R22" authorId="0" shapeId="0" xr:uid="{00000000-0006-0000-0C00-00003D000000}">
      <text>
        <r>
          <rPr>
            <sz val="11"/>
            <rFont val="Calibri"/>
          </rPr>
          <t>99+</t>
        </r>
      </text>
    </comment>
    <comment ref="S22" authorId="0" shapeId="0" xr:uid="{00000000-0006-0000-0C00-00003E000000}">
      <text>
        <r>
          <rPr>
            <sz val="11"/>
            <rFont val="Calibri"/>
          </rPr>
          <t>99+</t>
        </r>
      </text>
    </comment>
    <comment ref="T22" authorId="0" shapeId="0" xr:uid="{00000000-0006-0000-0C00-00003F000000}">
      <text>
        <r>
          <rPr>
            <sz val="11"/>
            <rFont val="Calibri"/>
          </rPr>
          <t>99+</t>
        </r>
      </text>
    </comment>
    <comment ref="U22" authorId="0" shapeId="0" xr:uid="{00000000-0006-0000-0C00-000040000000}">
      <text>
        <r>
          <rPr>
            <sz val="11"/>
            <rFont val="Calibri"/>
          </rPr>
          <t>9</t>
        </r>
      </text>
    </comment>
    <comment ref="V22" authorId="0" shapeId="0" xr:uid="{00000000-0006-0000-0C00-000041000000}">
      <text>
        <r>
          <rPr>
            <sz val="11"/>
            <rFont val="Calibri"/>
          </rPr>
          <t>35</t>
        </r>
      </text>
    </comment>
    <comment ref="S25" authorId="0" shapeId="0" xr:uid="{00000000-0006-0000-0C00-000049000000}">
      <text>
        <r>
          <rPr>
            <sz val="11"/>
            <rFont val="Calibri"/>
          </rPr>
          <t>18</t>
        </r>
      </text>
    </comment>
    <comment ref="T25" authorId="0" shapeId="0" xr:uid="{00000000-0006-0000-0C00-00004A000000}">
      <text>
        <r>
          <rPr>
            <sz val="11"/>
            <rFont val="Calibri"/>
          </rPr>
          <t>32</t>
        </r>
      </text>
    </comment>
    <comment ref="U25" authorId="0" shapeId="0" xr:uid="{00000000-0006-0000-0C00-00004B000000}">
      <text>
        <r>
          <rPr>
            <sz val="11"/>
            <rFont val="Calibri"/>
          </rPr>
          <t>49</t>
        </r>
      </text>
    </comment>
    <comment ref="V25" authorId="0" shapeId="0" xr:uid="{00000000-0006-0000-0C00-00004C000000}">
      <text>
        <r>
          <rPr>
            <sz val="11"/>
            <rFont val="Calibri"/>
          </rPr>
          <t>71</t>
        </r>
      </text>
    </comment>
    <comment ref="W25" authorId="0" shapeId="0" xr:uid="{00000000-0006-0000-0C00-000042000000}">
      <text>
        <r>
          <rPr>
            <sz val="11"/>
            <rFont val="Calibri"/>
          </rPr>
          <t>99+</t>
        </r>
      </text>
    </comment>
    <comment ref="X25" authorId="0" shapeId="0" xr:uid="{00000000-0006-0000-0C00-000043000000}">
      <text>
        <r>
          <rPr>
            <sz val="11"/>
            <rFont val="Calibri"/>
          </rPr>
          <t>86</t>
        </r>
      </text>
    </comment>
    <comment ref="Y25" authorId="0" shapeId="0" xr:uid="{00000000-0006-0000-0C00-000044000000}">
      <text>
        <r>
          <rPr>
            <sz val="11"/>
            <rFont val="Calibri"/>
          </rPr>
          <t>89</t>
        </r>
      </text>
    </comment>
    <comment ref="AA25" authorId="0" shapeId="0" xr:uid="{00000000-0006-0000-0C00-000045000000}">
      <text>
        <r>
          <rPr>
            <sz val="11"/>
            <rFont val="Calibri"/>
          </rPr>
          <t>74</t>
        </r>
      </text>
    </comment>
    <comment ref="AB25" authorId="0" shapeId="0" xr:uid="{00000000-0006-0000-0C00-000046000000}">
      <text>
        <r>
          <rPr>
            <sz val="11"/>
            <rFont val="Calibri"/>
          </rPr>
          <t>39</t>
        </r>
      </text>
    </comment>
    <comment ref="AC25" authorId="0" shapeId="0" xr:uid="{00000000-0006-0000-0C00-000047000000}">
      <text>
        <r>
          <rPr>
            <sz val="11"/>
            <rFont val="Calibri"/>
          </rPr>
          <t>7</t>
        </r>
      </text>
    </comment>
    <comment ref="AD25" authorId="0" shapeId="0" xr:uid="{00000000-0006-0000-0C00-000048000000}">
      <text>
        <r>
          <rPr>
            <sz val="11"/>
            <rFont val="Calibri"/>
          </rPr>
          <t>1</t>
        </r>
      </text>
    </comment>
    <comment ref="Q26" authorId="0" shapeId="0" xr:uid="{00000000-0006-0000-0C00-00004D000000}">
      <text>
        <r>
          <rPr>
            <sz val="11"/>
            <rFont val="Calibri"/>
          </rPr>
          <t>2</t>
        </r>
      </text>
    </comment>
    <comment ref="S26" authorId="0" shapeId="0" xr:uid="{00000000-0006-0000-0C00-00004E000000}">
      <text>
        <r>
          <rPr>
            <sz val="11"/>
            <rFont val="Calibri"/>
          </rPr>
          <t>37</t>
        </r>
      </text>
    </comment>
    <comment ref="AC26" authorId="0" shapeId="0" xr:uid="{00000000-0006-0000-0C00-00004F000000}">
      <text>
        <r>
          <rPr>
            <sz val="11"/>
            <rFont val="Calibri"/>
          </rPr>
          <t>18</t>
        </r>
      </text>
    </comment>
    <comment ref="AD26" authorId="0" shapeId="0" xr:uid="{00000000-0006-0000-0C00-000050000000}">
      <text>
        <r>
          <rPr>
            <sz val="11"/>
            <rFont val="Calibri"/>
          </rPr>
          <t>12</t>
        </r>
      </text>
    </comment>
    <comment ref="J28" authorId="0" shapeId="0" xr:uid="{00000000-0006-0000-0C00-000051000000}">
      <text>
        <r>
          <rPr>
            <sz val="11"/>
            <rFont val="Calibri"/>
          </rPr>
          <t>3</t>
        </r>
      </text>
    </comment>
    <comment ref="Q35" authorId="0" shapeId="0" xr:uid="{00000000-0006-0000-0C00-000052000000}">
      <text>
        <r>
          <rPr>
            <sz val="11"/>
            <rFont val="Calibri"/>
          </rPr>
          <t>3</t>
        </r>
      </text>
    </comment>
    <comment ref="S35" authorId="0" shapeId="0" xr:uid="{00000000-0006-0000-0C00-000053000000}">
      <text>
        <r>
          <rPr>
            <sz val="11"/>
            <rFont val="Calibri"/>
          </rPr>
          <t>3</t>
        </r>
      </text>
    </comment>
    <comment ref="T35" authorId="0" shapeId="0" xr:uid="{00000000-0006-0000-0C00-000054000000}">
      <text>
        <r>
          <rPr>
            <sz val="11"/>
            <rFont val="Calibri"/>
          </rPr>
          <t>2</t>
        </r>
      </text>
    </comment>
    <comment ref="U35" authorId="0" shapeId="0" xr:uid="{00000000-0006-0000-0C00-000055000000}">
      <text>
        <r>
          <rPr>
            <sz val="11"/>
            <rFont val="Calibri"/>
          </rPr>
          <t>41</t>
        </r>
      </text>
    </comment>
    <comment ref="V35" authorId="0" shapeId="0" xr:uid="{00000000-0006-0000-0C00-000056000000}">
      <text>
        <r>
          <rPr>
            <sz val="11"/>
            <rFont val="Calibri"/>
          </rPr>
          <t>39</t>
        </r>
      </text>
    </comment>
    <comment ref="W35" authorId="0" shapeId="0" xr:uid="{00000000-0006-0000-0C00-000057000000}">
      <text>
        <r>
          <rPr>
            <sz val="11"/>
            <rFont val="Calibri"/>
          </rPr>
          <t>7</t>
        </r>
      </text>
    </comment>
    <comment ref="X35" authorId="0" shapeId="0" xr:uid="{00000000-0006-0000-0C00-000058000000}">
      <text>
        <r>
          <rPr>
            <sz val="11"/>
            <rFont val="Calibri"/>
          </rPr>
          <t>15</t>
        </r>
      </text>
    </comment>
    <comment ref="Y35" authorId="0" shapeId="0" xr:uid="{00000000-0006-0000-0C00-000059000000}">
      <text>
        <r>
          <rPr>
            <sz val="11"/>
            <rFont val="Calibri"/>
          </rPr>
          <t>1</t>
        </r>
      </text>
    </comment>
    <comment ref="AA35" authorId="0" shapeId="0" xr:uid="{00000000-0006-0000-0C00-00005A000000}">
      <text>
        <r>
          <rPr>
            <sz val="11"/>
            <rFont val="Calibri"/>
          </rPr>
          <t>4</t>
        </r>
      </text>
    </comment>
    <comment ref="AB35" authorId="0" shapeId="0" xr:uid="{00000000-0006-0000-0C00-00005B000000}">
      <text>
        <r>
          <rPr>
            <sz val="11"/>
            <rFont val="Calibri"/>
          </rPr>
          <t>17</t>
        </r>
      </text>
    </comment>
    <comment ref="AC35" authorId="0" shapeId="0" xr:uid="{00000000-0006-0000-0C00-00005C000000}">
      <text>
        <r>
          <rPr>
            <sz val="11"/>
            <rFont val="Calibri"/>
          </rPr>
          <t>10</t>
        </r>
      </text>
    </comment>
    <comment ref="R36" authorId="0" shapeId="0" xr:uid="{00000000-0006-0000-0C00-00005D000000}">
      <text>
        <r>
          <rPr>
            <sz val="11"/>
            <rFont val="Calibri"/>
          </rPr>
          <t>1</t>
        </r>
      </text>
    </comment>
    <comment ref="T36" authorId="0" shapeId="0" xr:uid="{00000000-0006-0000-0C00-00005E000000}">
      <text>
        <r>
          <rPr>
            <sz val="11"/>
            <rFont val="Calibri"/>
          </rPr>
          <t>2</t>
        </r>
      </text>
    </comment>
    <comment ref="V36" authorId="0" shapeId="0" xr:uid="{00000000-0006-0000-0C00-00005F000000}">
      <text>
        <r>
          <rPr>
            <sz val="11"/>
            <rFont val="Calibri"/>
          </rPr>
          <t>20</t>
        </r>
      </text>
    </comment>
    <comment ref="X36" authorId="0" shapeId="0" xr:uid="{00000000-0006-0000-0C00-000060000000}">
      <text>
        <r>
          <rPr>
            <sz val="11"/>
            <rFont val="Calibri"/>
          </rPr>
          <t>16</t>
        </r>
      </text>
    </comment>
    <comment ref="AA36" authorId="0" shapeId="0" xr:uid="{00000000-0006-0000-0C00-000061000000}">
      <text>
        <r>
          <rPr>
            <sz val="11"/>
            <rFont val="Calibri"/>
          </rPr>
          <t>28</t>
        </r>
      </text>
    </comment>
    <comment ref="AB36" authorId="0" shapeId="0" xr:uid="{00000000-0006-0000-0C00-000062000000}">
      <text>
        <r>
          <rPr>
            <sz val="11"/>
            <rFont val="Calibri"/>
          </rPr>
          <t>22</t>
        </r>
      </text>
    </comment>
    <comment ref="AC36" authorId="0" shapeId="0" xr:uid="{00000000-0006-0000-0C00-000063000000}">
      <text>
        <r>
          <rPr>
            <sz val="11"/>
            <rFont val="Calibri"/>
          </rPr>
          <t>10</t>
        </r>
      </text>
    </comment>
    <comment ref="AD37" authorId="0" shapeId="0" xr:uid="{00000000-0006-0000-0C00-000064000000}">
      <text>
        <r>
          <rPr>
            <sz val="11"/>
            <rFont val="Calibri"/>
          </rPr>
          <t>9</t>
        </r>
      </text>
    </comment>
    <comment ref="AB38" authorId="0" shapeId="0" xr:uid="{00000000-0006-0000-0C00-000065000000}">
      <text>
        <r>
          <rPr>
            <sz val="11"/>
            <rFont val="Calibri"/>
          </rPr>
          <t>5</t>
        </r>
      </text>
    </comment>
    <comment ref="S39" authorId="0" shapeId="0" xr:uid="{00000000-0006-0000-0C00-000066000000}">
      <text>
        <r>
          <rPr>
            <sz val="11"/>
            <rFont val="Calibri"/>
          </rPr>
          <t>3</t>
        </r>
      </text>
    </comment>
    <comment ref="U39" authorId="0" shapeId="0" xr:uid="{00000000-0006-0000-0C00-000067000000}">
      <text>
        <r>
          <rPr>
            <sz val="11"/>
            <rFont val="Calibri"/>
          </rPr>
          <t>92</t>
        </r>
      </text>
    </comment>
    <comment ref="V39" authorId="0" shapeId="0" xr:uid="{00000000-0006-0000-0C00-000068000000}">
      <text>
        <r>
          <rPr>
            <sz val="11"/>
            <rFont val="Calibri"/>
          </rPr>
          <t>5</t>
        </r>
      </text>
    </comment>
    <comment ref="W39" authorId="0" shapeId="0" xr:uid="{00000000-0006-0000-0C00-000069000000}">
      <text>
        <r>
          <rPr>
            <sz val="11"/>
            <rFont val="Calibri"/>
          </rPr>
          <t>99+</t>
        </r>
      </text>
    </comment>
    <comment ref="X39" authorId="0" shapeId="0" xr:uid="{00000000-0006-0000-0C00-00006A000000}">
      <text>
        <r>
          <rPr>
            <sz val="11"/>
            <rFont val="Calibri"/>
          </rPr>
          <t>48</t>
        </r>
      </text>
    </comment>
    <comment ref="Y39" authorId="0" shapeId="0" xr:uid="{00000000-0006-0000-0C00-00006B000000}">
      <text>
        <r>
          <rPr>
            <sz val="11"/>
            <rFont val="Calibri"/>
          </rPr>
          <t>99+</t>
        </r>
      </text>
    </comment>
    <comment ref="AA39" authorId="0" shapeId="0" xr:uid="{00000000-0006-0000-0C00-00006C000000}">
      <text>
        <r>
          <rPr>
            <sz val="11"/>
            <rFont val="Calibri"/>
          </rPr>
          <t>99+</t>
        </r>
      </text>
    </comment>
    <comment ref="AB39" authorId="0" shapeId="0" xr:uid="{00000000-0006-0000-0C00-00006D000000}">
      <text>
        <r>
          <rPr>
            <sz val="11"/>
            <rFont val="Calibri"/>
          </rPr>
          <t>40</t>
        </r>
      </text>
    </comment>
    <comment ref="AC39" authorId="0" shapeId="0" xr:uid="{00000000-0006-0000-0C00-00006E000000}">
      <text>
        <r>
          <rPr>
            <sz val="11"/>
            <rFont val="Calibri"/>
          </rPr>
          <t>33</t>
        </r>
      </text>
    </comment>
    <comment ref="AC40" authorId="0" shapeId="0" xr:uid="{00000000-0006-0000-0C00-00006F000000}">
      <text>
        <r>
          <rPr>
            <sz val="11"/>
            <rFont val="Calibri"/>
          </rPr>
          <t>2</t>
        </r>
      </text>
    </comment>
    <comment ref="T42" authorId="0" shapeId="0" xr:uid="{00000000-0006-0000-0C00-000070000000}">
      <text>
        <r>
          <rPr>
            <sz val="11"/>
            <rFont val="Calibri"/>
          </rPr>
          <t>2</t>
        </r>
      </text>
    </comment>
    <comment ref="U42" authorId="0" shapeId="0" xr:uid="{00000000-0006-0000-0C00-000071000000}">
      <text>
        <r>
          <rPr>
            <sz val="11"/>
            <rFont val="Calibri"/>
          </rPr>
          <t>23</t>
        </r>
      </text>
    </comment>
    <comment ref="V42" authorId="0" shapeId="0" xr:uid="{00000000-0006-0000-0C00-000072000000}">
      <text>
        <r>
          <rPr>
            <sz val="11"/>
            <rFont val="Calibri"/>
          </rPr>
          <t>9</t>
        </r>
      </text>
    </comment>
    <comment ref="W42" authorId="0" shapeId="0" xr:uid="{00000000-0006-0000-0C00-000073000000}">
      <text>
        <r>
          <rPr>
            <sz val="11"/>
            <rFont val="Calibri"/>
          </rPr>
          <t>58</t>
        </r>
      </text>
    </comment>
    <comment ref="X42" authorId="0" shapeId="0" xr:uid="{00000000-0006-0000-0C00-000074000000}">
      <text>
        <r>
          <rPr>
            <sz val="11"/>
            <rFont val="Calibri"/>
          </rPr>
          <t>12</t>
        </r>
      </text>
    </comment>
    <comment ref="Y42" authorId="0" shapeId="0" xr:uid="{00000000-0006-0000-0C00-000075000000}">
      <text>
        <r>
          <rPr>
            <sz val="11"/>
            <rFont val="Calibri"/>
          </rPr>
          <t>29</t>
        </r>
      </text>
    </comment>
    <comment ref="AA42" authorId="0" shapeId="0" xr:uid="{00000000-0006-0000-0C00-000076000000}">
      <text>
        <r>
          <rPr>
            <sz val="11"/>
            <rFont val="Calibri"/>
          </rPr>
          <t>34</t>
        </r>
      </text>
    </comment>
    <comment ref="T43" authorId="0" shapeId="0" xr:uid="{00000000-0006-0000-0C00-000077000000}">
      <text>
        <r>
          <rPr>
            <sz val="11"/>
            <rFont val="Calibri"/>
          </rPr>
          <t>7</t>
        </r>
      </text>
    </comment>
    <comment ref="W43" authorId="0" shapeId="0" xr:uid="{00000000-0006-0000-0C00-000078000000}">
      <text>
        <r>
          <rPr>
            <sz val="11"/>
            <rFont val="Calibri"/>
          </rPr>
          <t>4</t>
        </r>
      </text>
    </comment>
    <comment ref="AC43" authorId="0" shapeId="0" xr:uid="{00000000-0006-0000-0C00-000079000000}">
      <text>
        <r>
          <rPr>
            <sz val="11"/>
            <rFont val="Calibri"/>
          </rPr>
          <t>1</t>
        </r>
      </text>
    </comment>
    <comment ref="Q44" authorId="0" shapeId="0" xr:uid="{00000000-0006-0000-0C00-00007A000000}">
      <text>
        <r>
          <rPr>
            <sz val="11"/>
            <rFont val="Calibri"/>
          </rPr>
          <t>53</t>
        </r>
      </text>
    </comment>
    <comment ref="R44" authorId="0" shapeId="0" xr:uid="{00000000-0006-0000-0C00-00007B000000}">
      <text>
        <r>
          <rPr>
            <sz val="11"/>
            <rFont val="Calibri"/>
          </rPr>
          <t>78</t>
        </r>
      </text>
    </comment>
    <comment ref="S44" authorId="0" shapeId="0" xr:uid="{00000000-0006-0000-0C00-00007C000000}">
      <text>
        <r>
          <rPr>
            <sz val="11"/>
            <rFont val="Calibri"/>
          </rPr>
          <t>99+</t>
        </r>
      </text>
    </comment>
    <comment ref="T44" authorId="0" shapeId="0" xr:uid="{00000000-0006-0000-0C00-00007D000000}">
      <text>
        <r>
          <rPr>
            <sz val="11"/>
            <rFont val="Calibri"/>
          </rPr>
          <t>99+</t>
        </r>
      </text>
    </comment>
    <comment ref="U44" authorId="0" shapeId="0" xr:uid="{00000000-0006-0000-0C00-00007E000000}">
      <text>
        <r>
          <rPr>
            <sz val="11"/>
            <rFont val="Calibri"/>
          </rPr>
          <t>99+</t>
        </r>
      </text>
    </comment>
    <comment ref="V44" authorId="0" shapeId="0" xr:uid="{00000000-0006-0000-0C00-00007F000000}">
      <text>
        <r>
          <rPr>
            <sz val="11"/>
            <rFont val="Calibri"/>
          </rPr>
          <t>99+</t>
        </r>
      </text>
    </comment>
    <comment ref="W44" authorId="0" shapeId="0" xr:uid="{00000000-0006-0000-0C00-000080000000}">
      <text>
        <r>
          <rPr>
            <sz val="11"/>
            <rFont val="Calibri"/>
          </rPr>
          <t>99+</t>
        </r>
      </text>
    </comment>
    <comment ref="X44" authorId="0" shapeId="0" xr:uid="{00000000-0006-0000-0C00-000081000000}">
      <text>
        <r>
          <rPr>
            <sz val="11"/>
            <rFont val="Calibri"/>
          </rPr>
          <t>99+</t>
        </r>
      </text>
    </comment>
    <comment ref="Y44" authorId="0" shapeId="0" xr:uid="{00000000-0006-0000-0C00-000082000000}">
      <text>
        <r>
          <rPr>
            <sz val="11"/>
            <rFont val="Calibri"/>
          </rPr>
          <t>99+</t>
        </r>
      </text>
    </comment>
    <comment ref="AA44" authorId="0" shapeId="0" xr:uid="{00000000-0006-0000-0C00-000083000000}">
      <text>
        <r>
          <rPr>
            <sz val="11"/>
            <rFont val="Calibri"/>
          </rPr>
          <t>99+</t>
        </r>
      </text>
    </comment>
    <comment ref="AB44" authorId="0" shapeId="0" xr:uid="{00000000-0006-0000-0C00-000084000000}">
      <text>
        <r>
          <rPr>
            <sz val="11"/>
            <rFont val="Calibri"/>
          </rPr>
          <t>99+</t>
        </r>
      </text>
    </comment>
    <comment ref="AC44" authorId="0" shapeId="0" xr:uid="{00000000-0006-0000-0C00-000085000000}">
      <text>
        <r>
          <rPr>
            <sz val="11"/>
            <rFont val="Calibri"/>
          </rPr>
          <t>16</t>
        </r>
      </text>
    </comment>
    <comment ref="S46" authorId="0" shapeId="0" xr:uid="{00000000-0006-0000-0C00-000086000000}">
      <text>
        <r>
          <rPr>
            <sz val="11"/>
            <rFont val="Calibri"/>
          </rPr>
          <t>58</t>
        </r>
      </text>
    </comment>
    <comment ref="T46" authorId="0" shapeId="0" xr:uid="{00000000-0006-0000-0C00-000087000000}">
      <text>
        <r>
          <rPr>
            <sz val="11"/>
            <rFont val="Calibri"/>
          </rPr>
          <t>78</t>
        </r>
      </text>
    </comment>
    <comment ref="U46" authorId="0" shapeId="0" xr:uid="{00000000-0006-0000-0C00-000088000000}">
      <text>
        <r>
          <rPr>
            <sz val="11"/>
            <rFont val="Calibri"/>
          </rPr>
          <t>99+</t>
        </r>
      </text>
    </comment>
    <comment ref="V46" authorId="0" shapeId="0" xr:uid="{00000000-0006-0000-0C00-000089000000}">
      <text>
        <r>
          <rPr>
            <sz val="11"/>
            <rFont val="Calibri"/>
          </rPr>
          <t>62</t>
        </r>
      </text>
    </comment>
    <comment ref="W46" authorId="0" shapeId="0" xr:uid="{00000000-0006-0000-0C00-00008A000000}">
      <text>
        <r>
          <rPr>
            <sz val="11"/>
            <rFont val="Calibri"/>
          </rPr>
          <t>99+</t>
        </r>
      </text>
    </comment>
    <comment ref="X46" authorId="0" shapeId="0" xr:uid="{00000000-0006-0000-0C00-00008B000000}">
      <text>
        <r>
          <rPr>
            <sz val="11"/>
            <rFont val="Calibri"/>
          </rPr>
          <t>22</t>
        </r>
      </text>
    </comment>
    <comment ref="Y46" authorId="0" shapeId="0" xr:uid="{00000000-0006-0000-0C00-00008C000000}">
      <text>
        <r>
          <rPr>
            <sz val="11"/>
            <rFont val="Calibri"/>
          </rPr>
          <t>24</t>
        </r>
      </text>
    </comment>
    <comment ref="AB46" authorId="0" shapeId="0" xr:uid="{00000000-0006-0000-0C00-00008D000000}">
      <text>
        <r>
          <rPr>
            <sz val="11"/>
            <rFont val="Calibri"/>
          </rPr>
          <t>19</t>
        </r>
      </text>
    </comment>
    <comment ref="S47" authorId="0" shapeId="0" xr:uid="{00000000-0006-0000-0C00-00008E000000}">
      <text>
        <r>
          <rPr>
            <sz val="11"/>
            <rFont val="Calibri"/>
          </rPr>
          <t>19</t>
        </r>
      </text>
    </comment>
    <comment ref="T47" authorId="0" shapeId="0" xr:uid="{00000000-0006-0000-0C00-00008F000000}">
      <text>
        <r>
          <rPr>
            <sz val="11"/>
            <rFont val="Calibri"/>
          </rPr>
          <t>1</t>
        </r>
      </text>
    </comment>
    <comment ref="U47" authorId="0" shapeId="0" xr:uid="{00000000-0006-0000-0C00-000090000000}">
      <text>
        <r>
          <rPr>
            <sz val="11"/>
            <rFont val="Calibri"/>
          </rPr>
          <t>99+</t>
        </r>
      </text>
    </comment>
    <comment ref="V47" authorId="0" shapeId="0" xr:uid="{00000000-0006-0000-0C00-000091000000}">
      <text>
        <r>
          <rPr>
            <sz val="11"/>
            <rFont val="Calibri"/>
          </rPr>
          <t>99+</t>
        </r>
      </text>
    </comment>
    <comment ref="W47" authorId="0" shapeId="0" xr:uid="{00000000-0006-0000-0C00-000092000000}">
      <text>
        <r>
          <rPr>
            <sz val="11"/>
            <rFont val="Calibri"/>
          </rPr>
          <t>99+</t>
        </r>
      </text>
    </comment>
    <comment ref="X47" authorId="0" shapeId="0" xr:uid="{00000000-0006-0000-0C00-000093000000}">
      <text>
        <r>
          <rPr>
            <sz val="11"/>
            <rFont val="Calibri"/>
          </rPr>
          <t>70</t>
        </r>
      </text>
    </comment>
    <comment ref="Y47" authorId="0" shapeId="0" xr:uid="{00000000-0006-0000-0C00-000094000000}">
      <text>
        <r>
          <rPr>
            <sz val="11"/>
            <rFont val="Calibri"/>
          </rPr>
          <t>32</t>
        </r>
      </text>
    </comment>
    <comment ref="AA47" authorId="0" shapeId="0" xr:uid="{00000000-0006-0000-0C00-000095000000}">
      <text>
        <r>
          <rPr>
            <sz val="11"/>
            <rFont val="Calibri"/>
          </rPr>
          <t>68</t>
        </r>
      </text>
    </comment>
    <comment ref="AB47" authorId="0" shapeId="0" xr:uid="{00000000-0006-0000-0C00-000096000000}">
      <text>
        <r>
          <rPr>
            <sz val="11"/>
            <rFont val="Calibri"/>
          </rPr>
          <t>18</t>
        </r>
      </text>
    </comment>
    <comment ref="AC47" authorId="0" shapeId="0" xr:uid="{00000000-0006-0000-0C00-000097000000}">
      <text>
        <r>
          <rPr>
            <sz val="11"/>
            <rFont val="Calibri"/>
          </rPr>
          <t>20</t>
        </r>
      </text>
    </comment>
    <comment ref="AD47" authorId="0" shapeId="0" xr:uid="{00000000-0006-0000-0C00-000098000000}">
      <text>
        <r>
          <rPr>
            <sz val="11"/>
            <rFont val="Calibri"/>
          </rPr>
          <t>5</t>
        </r>
      </text>
    </comment>
    <comment ref="S49" authorId="0" shapeId="0" xr:uid="{00000000-0006-0000-0C00-000099000000}">
      <text>
        <r>
          <rPr>
            <sz val="11"/>
            <rFont val="Calibri"/>
          </rPr>
          <t>72</t>
        </r>
      </text>
    </comment>
    <comment ref="T49" authorId="0" shapeId="0" xr:uid="{00000000-0006-0000-0C00-00009A000000}">
      <text>
        <r>
          <rPr>
            <sz val="11"/>
            <rFont val="Calibri"/>
          </rPr>
          <t>80</t>
        </r>
      </text>
    </comment>
    <comment ref="U49" authorId="0" shapeId="0" xr:uid="{00000000-0006-0000-0C00-00009B000000}">
      <text>
        <r>
          <rPr>
            <sz val="11"/>
            <rFont val="Calibri"/>
          </rPr>
          <t>99+</t>
        </r>
      </text>
    </comment>
    <comment ref="V49" authorId="0" shapeId="0" xr:uid="{00000000-0006-0000-0C00-00009C000000}">
      <text>
        <r>
          <rPr>
            <sz val="11"/>
            <rFont val="Calibri"/>
          </rPr>
          <t>99+</t>
        </r>
      </text>
    </comment>
    <comment ref="W49" authorId="0" shapeId="0" xr:uid="{00000000-0006-0000-0C00-00009D000000}">
      <text>
        <r>
          <rPr>
            <sz val="11"/>
            <rFont val="Calibri"/>
          </rPr>
          <t>99+</t>
        </r>
      </text>
    </comment>
    <comment ref="X49" authorId="0" shapeId="0" xr:uid="{00000000-0006-0000-0C00-00009E000000}">
      <text>
        <r>
          <rPr>
            <sz val="11"/>
            <rFont val="Calibri"/>
          </rPr>
          <t>99+</t>
        </r>
      </text>
    </comment>
    <comment ref="Y49" authorId="0" shapeId="0" xr:uid="{00000000-0006-0000-0C00-00009F000000}">
      <text>
        <r>
          <rPr>
            <sz val="11"/>
            <rFont val="Calibri"/>
          </rPr>
          <t>99+</t>
        </r>
      </text>
    </comment>
    <comment ref="AA49" authorId="0" shapeId="0" xr:uid="{00000000-0006-0000-0C00-0000A0000000}">
      <text>
        <r>
          <rPr>
            <sz val="11"/>
            <rFont val="Calibri"/>
          </rPr>
          <t>99+</t>
        </r>
      </text>
    </comment>
    <comment ref="AB49" authorId="0" shapeId="0" xr:uid="{00000000-0006-0000-0C00-0000A1000000}">
      <text>
        <r>
          <rPr>
            <sz val="11"/>
            <rFont val="Calibri"/>
          </rPr>
          <t>99+</t>
        </r>
      </text>
    </comment>
    <comment ref="AC49" authorId="0" shapeId="0" xr:uid="{00000000-0006-0000-0C00-0000A2000000}">
      <text>
        <r>
          <rPr>
            <sz val="11"/>
            <rFont val="Calibri"/>
          </rPr>
          <t>37</t>
        </r>
      </text>
    </comment>
    <comment ref="AD49" authorId="0" shapeId="0" xr:uid="{00000000-0006-0000-0C00-0000A3000000}">
      <text>
        <r>
          <rPr>
            <sz val="11"/>
            <rFont val="Calibri"/>
          </rPr>
          <t>15</t>
        </r>
      </text>
    </comment>
    <comment ref="S50" authorId="0" shapeId="0" xr:uid="{00000000-0006-0000-0C00-0000A4000000}">
      <text>
        <r>
          <rPr>
            <sz val="11"/>
            <rFont val="Calibri"/>
          </rPr>
          <t>3</t>
        </r>
      </text>
    </comment>
    <comment ref="T50" authorId="0" shapeId="0" xr:uid="{00000000-0006-0000-0C00-0000A5000000}">
      <text>
        <r>
          <rPr>
            <sz val="11"/>
            <rFont val="Calibri"/>
          </rPr>
          <t>3</t>
        </r>
      </text>
    </comment>
    <comment ref="AA50" authorId="0" shapeId="0" xr:uid="{00000000-0006-0000-0C00-0000A6000000}">
      <text>
        <r>
          <rPr>
            <sz val="11"/>
            <rFont val="Calibri"/>
          </rPr>
          <t>9</t>
        </r>
      </text>
    </comment>
    <comment ref="AC51" authorId="0" shapeId="0" xr:uid="{00000000-0006-0000-0C00-0000A7000000}">
      <text>
        <r>
          <rPr>
            <sz val="11"/>
            <rFont val="Calibri"/>
          </rPr>
          <t>9</t>
        </r>
      </text>
    </comment>
    <comment ref="S52" authorId="0" shapeId="0" xr:uid="{00000000-0006-0000-0C00-0000A8000000}">
      <text>
        <r>
          <rPr>
            <sz val="11"/>
            <rFont val="Calibri"/>
          </rPr>
          <t>10</t>
        </r>
      </text>
    </comment>
    <comment ref="T54" authorId="0" shapeId="0" xr:uid="{00000000-0006-0000-0C00-0000A9000000}">
      <text>
        <r>
          <rPr>
            <sz val="11"/>
            <rFont val="Calibri"/>
          </rPr>
          <t>8</t>
        </r>
      </text>
    </comment>
    <comment ref="U54" authorId="0" shapeId="0" xr:uid="{00000000-0006-0000-0C00-0000AA000000}">
      <text>
        <r>
          <rPr>
            <sz val="11"/>
            <rFont val="Calibri"/>
          </rPr>
          <t>5</t>
        </r>
      </text>
    </comment>
    <comment ref="V54" authorId="0" shapeId="0" xr:uid="{00000000-0006-0000-0C00-0000AB000000}">
      <text>
        <r>
          <rPr>
            <sz val="11"/>
            <rFont val="Calibri"/>
          </rPr>
          <t>47</t>
        </r>
      </text>
    </comment>
    <comment ref="W54" authorId="0" shapeId="0" xr:uid="{00000000-0006-0000-0C00-0000AC000000}">
      <text>
        <r>
          <rPr>
            <sz val="11"/>
            <rFont val="Calibri"/>
          </rPr>
          <t>37</t>
        </r>
      </text>
    </comment>
    <comment ref="X54" authorId="0" shapeId="0" xr:uid="{00000000-0006-0000-0C00-0000AD000000}">
      <text>
        <r>
          <rPr>
            <sz val="11"/>
            <rFont val="Calibri"/>
          </rPr>
          <t>38</t>
        </r>
      </text>
    </comment>
    <comment ref="Y54" authorId="0" shapeId="0" xr:uid="{00000000-0006-0000-0C00-0000AE000000}">
      <text>
        <r>
          <rPr>
            <sz val="11"/>
            <rFont val="Calibri"/>
          </rPr>
          <t>54</t>
        </r>
      </text>
    </comment>
    <comment ref="AA54" authorId="0" shapeId="0" xr:uid="{00000000-0006-0000-0C00-0000AF000000}">
      <text>
        <r>
          <rPr>
            <sz val="11"/>
            <rFont val="Calibri"/>
          </rPr>
          <t>26</t>
        </r>
      </text>
    </comment>
    <comment ref="AB54" authorId="0" shapeId="0" xr:uid="{00000000-0006-0000-0C00-0000B0000000}">
      <text>
        <r>
          <rPr>
            <sz val="11"/>
            <rFont val="Calibri"/>
          </rPr>
          <t>10</t>
        </r>
      </text>
    </comment>
    <comment ref="AC56" authorId="0" shapeId="0" xr:uid="{00000000-0006-0000-0C00-0000B1000000}">
      <text>
        <r>
          <rPr>
            <sz val="11"/>
            <rFont val="Calibri"/>
          </rPr>
          <t>15</t>
        </r>
      </text>
    </comment>
    <comment ref="J57" authorId="0" shapeId="0" xr:uid="{00000000-0006-0000-0C00-0000B2000000}">
      <text>
        <r>
          <rPr>
            <sz val="11"/>
            <rFont val="Calibri"/>
          </rPr>
          <t>20</t>
        </r>
      </text>
    </comment>
    <comment ref="K57" authorId="0" shapeId="0" xr:uid="{00000000-0006-0000-0C00-0000B3000000}">
      <text>
        <r>
          <rPr>
            <sz val="11"/>
            <rFont val="Calibri"/>
          </rPr>
          <t>6</t>
        </r>
      </text>
    </comment>
    <comment ref="L57" authorId="0" shapeId="0" xr:uid="{00000000-0006-0000-0C00-0000B4000000}">
      <text>
        <r>
          <rPr>
            <sz val="11"/>
            <rFont val="Calibri"/>
          </rPr>
          <t>12</t>
        </r>
      </text>
    </comment>
    <comment ref="M57" authorId="0" shapeId="0" xr:uid="{00000000-0006-0000-0C00-0000B5000000}">
      <text>
        <r>
          <rPr>
            <sz val="11"/>
            <rFont val="Calibri"/>
          </rPr>
          <t>2</t>
        </r>
      </text>
    </comment>
    <comment ref="N57" authorId="0" shapeId="0" xr:uid="{00000000-0006-0000-0C00-0000B6000000}">
      <text>
        <r>
          <rPr>
            <sz val="11"/>
            <rFont val="Calibri"/>
          </rPr>
          <t>15</t>
        </r>
      </text>
    </comment>
    <comment ref="P57" authorId="0" shapeId="0" xr:uid="{00000000-0006-0000-0C00-0000B7000000}">
      <text>
        <r>
          <rPr>
            <sz val="11"/>
            <rFont val="Calibri"/>
          </rPr>
          <t>5</t>
        </r>
      </text>
    </comment>
    <comment ref="X57" authorId="0" shapeId="0" xr:uid="{00000000-0006-0000-0C00-0000B8000000}">
      <text>
        <r>
          <rPr>
            <sz val="11"/>
            <rFont val="Calibri"/>
          </rPr>
          <t>3</t>
        </r>
      </text>
    </comment>
    <comment ref="AB57" authorId="0" shapeId="0" xr:uid="{00000000-0006-0000-0C00-0000B9000000}">
      <text>
        <r>
          <rPr>
            <sz val="11"/>
            <rFont val="Calibri"/>
          </rPr>
          <t>1</t>
        </r>
      </text>
    </comment>
    <comment ref="AD57" authorId="0" shapeId="0" xr:uid="{00000000-0006-0000-0C00-0000BA000000}">
      <text>
        <r>
          <rPr>
            <sz val="11"/>
            <rFont val="Calibri"/>
          </rPr>
          <t>3</t>
        </r>
      </text>
    </comment>
    <comment ref="J58" authorId="0" shapeId="0" xr:uid="{00000000-0006-0000-0C00-0000BB000000}">
      <text>
        <r>
          <rPr>
            <sz val="11"/>
            <rFont val="Calibri"/>
          </rPr>
          <t>52</t>
        </r>
      </text>
    </comment>
    <comment ref="K58" authorId="0" shapeId="0" xr:uid="{00000000-0006-0000-0C00-0000BC000000}">
      <text>
        <r>
          <rPr>
            <sz val="11"/>
            <rFont val="Calibri"/>
          </rPr>
          <t>34</t>
        </r>
      </text>
    </comment>
    <comment ref="L58" authorId="0" shapeId="0" xr:uid="{00000000-0006-0000-0C00-0000BD000000}">
      <text>
        <r>
          <rPr>
            <sz val="11"/>
            <rFont val="Calibri"/>
          </rPr>
          <t>50</t>
        </r>
      </text>
    </comment>
    <comment ref="M58" authorId="0" shapeId="0" xr:uid="{00000000-0006-0000-0C00-0000BE000000}">
      <text>
        <r>
          <rPr>
            <sz val="11"/>
            <rFont val="Calibri"/>
          </rPr>
          <t>24</t>
        </r>
      </text>
    </comment>
    <comment ref="N58" authorId="0" shapeId="0" xr:uid="{00000000-0006-0000-0C00-0000BF000000}">
      <text>
        <r>
          <rPr>
            <sz val="11"/>
            <rFont val="Calibri"/>
          </rPr>
          <t>44</t>
        </r>
      </text>
    </comment>
    <comment ref="O58" authorId="0" shapeId="0" xr:uid="{00000000-0006-0000-0C00-0000C0000000}">
      <text>
        <r>
          <rPr>
            <sz val="11"/>
            <rFont val="Calibri"/>
          </rPr>
          <t>13</t>
        </r>
      </text>
    </comment>
    <comment ref="P58" authorId="0" shapeId="0" xr:uid="{00000000-0006-0000-0C00-0000C1000000}">
      <text>
        <r>
          <rPr>
            <sz val="11"/>
            <rFont val="Calibri"/>
          </rPr>
          <t>28</t>
        </r>
      </text>
    </comment>
    <comment ref="AD58" authorId="0" shapeId="0" xr:uid="{00000000-0006-0000-0C00-0000C2000000}">
      <text>
        <r>
          <rPr>
            <sz val="11"/>
            <rFont val="Calibri"/>
          </rPr>
          <t>28</t>
        </r>
      </text>
    </comment>
    <comment ref="S59" authorId="0" shapeId="0" xr:uid="{00000000-0006-0000-0C00-0000C3000000}">
      <text>
        <r>
          <rPr>
            <sz val="11"/>
            <rFont val="Calibri"/>
          </rPr>
          <t>8</t>
        </r>
      </text>
    </comment>
    <comment ref="T59" authorId="0" shapeId="0" xr:uid="{00000000-0006-0000-0C00-0000C4000000}">
      <text>
        <r>
          <rPr>
            <sz val="11"/>
            <rFont val="Calibri"/>
          </rPr>
          <t>21</t>
        </r>
      </text>
    </comment>
    <comment ref="U59" authorId="0" shapeId="0" xr:uid="{00000000-0006-0000-0C00-0000C5000000}">
      <text>
        <r>
          <rPr>
            <sz val="11"/>
            <rFont val="Calibri"/>
          </rPr>
          <t>47</t>
        </r>
      </text>
    </comment>
    <comment ref="V59" authorId="0" shapeId="0" xr:uid="{00000000-0006-0000-0C00-0000C6000000}">
      <text>
        <r>
          <rPr>
            <sz val="11"/>
            <rFont val="Calibri"/>
          </rPr>
          <t>50</t>
        </r>
      </text>
    </comment>
    <comment ref="W59" authorId="0" shapeId="0" xr:uid="{00000000-0006-0000-0C00-0000C7000000}">
      <text>
        <r>
          <rPr>
            <sz val="11"/>
            <rFont val="Calibri"/>
          </rPr>
          <t>65</t>
        </r>
      </text>
    </comment>
    <comment ref="X59" authorId="0" shapeId="0" xr:uid="{00000000-0006-0000-0C00-0000C8000000}">
      <text>
        <r>
          <rPr>
            <sz val="11"/>
            <rFont val="Calibri"/>
          </rPr>
          <t>60</t>
        </r>
      </text>
    </comment>
    <comment ref="Y59" authorId="0" shapeId="0" xr:uid="{00000000-0006-0000-0C00-0000C9000000}">
      <text>
        <r>
          <rPr>
            <sz val="11"/>
            <rFont val="Calibri"/>
          </rPr>
          <t>79</t>
        </r>
      </text>
    </comment>
    <comment ref="AA59" authorId="0" shapeId="0" xr:uid="{00000000-0006-0000-0C00-0000CA000000}">
      <text>
        <r>
          <rPr>
            <sz val="11"/>
            <rFont val="Calibri"/>
          </rPr>
          <t>58</t>
        </r>
      </text>
    </comment>
    <comment ref="AB59" authorId="0" shapeId="0" xr:uid="{00000000-0006-0000-0C00-0000CB000000}">
      <text>
        <r>
          <rPr>
            <sz val="11"/>
            <rFont val="Calibri"/>
          </rPr>
          <t>16</t>
        </r>
      </text>
    </comment>
    <comment ref="K61" authorId="0" shapeId="0" xr:uid="{00000000-0006-0000-0C00-0000CC000000}">
      <text>
        <r>
          <rPr>
            <sz val="11"/>
            <rFont val="Calibri"/>
          </rPr>
          <t>8</t>
        </r>
      </text>
    </comment>
    <comment ref="R61" authorId="0" shapeId="0" xr:uid="{00000000-0006-0000-0C00-0000CD000000}">
      <text>
        <r>
          <rPr>
            <sz val="11"/>
            <rFont val="Calibri"/>
          </rPr>
          <t>22</t>
        </r>
      </text>
    </comment>
    <comment ref="S61" authorId="0" shapeId="0" xr:uid="{00000000-0006-0000-0C00-0000CE000000}">
      <text>
        <r>
          <rPr>
            <sz val="11"/>
            <rFont val="Calibri"/>
          </rPr>
          <t>12</t>
        </r>
      </text>
    </comment>
    <comment ref="T61" authorId="0" shapeId="0" xr:uid="{00000000-0006-0000-0C00-0000CF000000}">
      <text>
        <r>
          <rPr>
            <sz val="11"/>
            <rFont val="Calibri"/>
          </rPr>
          <t>50</t>
        </r>
      </text>
    </comment>
    <comment ref="U61" authorId="0" shapeId="0" xr:uid="{00000000-0006-0000-0C00-0000D0000000}">
      <text>
        <r>
          <rPr>
            <sz val="11"/>
            <rFont val="Calibri"/>
          </rPr>
          <t>4</t>
        </r>
      </text>
    </comment>
    <comment ref="V61" authorId="0" shapeId="0" xr:uid="{00000000-0006-0000-0C00-0000D1000000}">
      <text>
        <r>
          <rPr>
            <sz val="11"/>
            <rFont val="Calibri"/>
          </rPr>
          <t>2</t>
        </r>
      </text>
    </comment>
    <comment ref="J62" authorId="0" shapeId="0" xr:uid="{00000000-0006-0000-0C00-0000D2000000}">
      <text>
        <r>
          <rPr>
            <sz val="11"/>
            <rFont val="Calibri"/>
          </rPr>
          <t>9</t>
        </r>
      </text>
    </comment>
    <comment ref="L62" authorId="0" shapeId="0" xr:uid="{00000000-0006-0000-0C00-0000D3000000}">
      <text>
        <r>
          <rPr>
            <sz val="11"/>
            <rFont val="Calibri"/>
          </rPr>
          <t>29</t>
        </r>
      </text>
    </comment>
    <comment ref="O62" authorId="0" shapeId="0" xr:uid="{00000000-0006-0000-0C00-0000D4000000}">
      <text>
        <r>
          <rPr>
            <sz val="11"/>
            <rFont val="Calibri"/>
          </rPr>
          <t>39</t>
        </r>
      </text>
    </comment>
    <comment ref="P62" authorId="0" shapeId="0" xr:uid="{00000000-0006-0000-0C00-0000D5000000}">
      <text>
        <r>
          <rPr>
            <sz val="11"/>
            <rFont val="Calibri"/>
          </rPr>
          <t>43</t>
        </r>
      </text>
    </comment>
    <comment ref="Q62" authorId="0" shapeId="0" xr:uid="{00000000-0006-0000-0C00-0000D6000000}">
      <text>
        <r>
          <rPr>
            <sz val="11"/>
            <rFont val="Calibri"/>
          </rPr>
          <t>22</t>
        </r>
      </text>
    </comment>
    <comment ref="R62" authorId="0" shapeId="0" xr:uid="{00000000-0006-0000-0C00-0000D7000000}">
      <text>
        <r>
          <rPr>
            <sz val="11"/>
            <rFont val="Calibri"/>
          </rPr>
          <t>24</t>
        </r>
      </text>
    </comment>
    <comment ref="S62" authorId="0" shapeId="0" xr:uid="{00000000-0006-0000-0C00-0000D8000000}">
      <text>
        <r>
          <rPr>
            <sz val="11"/>
            <rFont val="Calibri"/>
          </rPr>
          <t>1</t>
        </r>
      </text>
    </comment>
    <comment ref="T62" authorId="0" shapeId="0" xr:uid="{00000000-0006-0000-0C00-0000D9000000}">
      <text>
        <r>
          <rPr>
            <sz val="11"/>
            <rFont val="Calibri"/>
          </rPr>
          <t>28</t>
        </r>
      </text>
    </comment>
    <comment ref="J63" authorId="0" shapeId="0" xr:uid="{00000000-0006-0000-0C00-0000DA000000}">
      <text>
        <r>
          <rPr>
            <sz val="11"/>
            <rFont val="Calibri"/>
          </rPr>
          <t>27</t>
        </r>
      </text>
    </comment>
    <comment ref="K63" authorId="0" shapeId="0" xr:uid="{00000000-0006-0000-0C00-0000DB000000}">
      <text>
        <r>
          <rPr>
            <sz val="11"/>
            <rFont val="Calibri"/>
          </rPr>
          <t>6</t>
        </r>
      </text>
    </comment>
    <comment ref="L63" authorId="0" shapeId="0" xr:uid="{00000000-0006-0000-0C00-0000DC000000}">
      <text>
        <r>
          <rPr>
            <sz val="11"/>
            <rFont val="Calibri"/>
          </rPr>
          <t>73</t>
        </r>
      </text>
    </comment>
    <comment ref="M63" authorId="0" shapeId="0" xr:uid="{00000000-0006-0000-0C00-0000DD000000}">
      <text>
        <r>
          <rPr>
            <sz val="11"/>
            <rFont val="Calibri"/>
          </rPr>
          <t>99+</t>
        </r>
      </text>
    </comment>
    <comment ref="N63" authorId="0" shapeId="0" xr:uid="{00000000-0006-0000-0C00-0000DE000000}">
      <text>
        <r>
          <rPr>
            <sz val="11"/>
            <rFont val="Calibri"/>
          </rPr>
          <t>99+</t>
        </r>
      </text>
    </comment>
    <comment ref="O63" authorId="0" shapeId="0" xr:uid="{00000000-0006-0000-0C00-0000DF000000}">
      <text>
        <r>
          <rPr>
            <sz val="11"/>
            <rFont val="Calibri"/>
          </rPr>
          <t>95</t>
        </r>
      </text>
    </comment>
    <comment ref="P63" authorId="0" shapeId="0" xr:uid="{00000000-0006-0000-0C00-0000E0000000}">
      <text>
        <r>
          <rPr>
            <sz val="11"/>
            <rFont val="Calibri"/>
          </rPr>
          <t>99+</t>
        </r>
      </text>
    </comment>
    <comment ref="Q63" authorId="0" shapeId="0" xr:uid="{00000000-0006-0000-0C00-0000E1000000}">
      <text>
        <r>
          <rPr>
            <sz val="11"/>
            <rFont val="Calibri"/>
          </rPr>
          <t>97</t>
        </r>
      </text>
    </comment>
    <comment ref="R63" authorId="0" shapeId="0" xr:uid="{00000000-0006-0000-0C00-0000E2000000}">
      <text>
        <r>
          <rPr>
            <sz val="11"/>
            <rFont val="Calibri"/>
          </rPr>
          <t>99+</t>
        </r>
      </text>
    </comment>
    <comment ref="S63" authorId="0" shapeId="0" xr:uid="{00000000-0006-0000-0C00-0000E3000000}">
      <text>
        <r>
          <rPr>
            <sz val="11"/>
            <rFont val="Calibri"/>
          </rPr>
          <t>19</t>
        </r>
      </text>
    </comment>
    <comment ref="T63" authorId="0" shapeId="0" xr:uid="{00000000-0006-0000-0C00-0000E4000000}">
      <text>
        <r>
          <rPr>
            <sz val="11"/>
            <rFont val="Calibri"/>
          </rPr>
          <t>8</t>
        </r>
      </text>
    </comment>
    <comment ref="J64" authorId="0" shapeId="0" xr:uid="{00000000-0006-0000-0C00-0000E5000000}">
      <text>
        <r>
          <rPr>
            <sz val="11"/>
            <rFont val="Calibri"/>
          </rPr>
          <t>14</t>
        </r>
      </text>
    </comment>
    <comment ref="K64" authorId="0" shapeId="0" xr:uid="{00000000-0006-0000-0C00-0000E6000000}">
      <text>
        <r>
          <rPr>
            <sz val="11"/>
            <rFont val="Calibri"/>
          </rPr>
          <t>6</t>
        </r>
      </text>
    </comment>
    <comment ref="L64" authorId="0" shapeId="0" xr:uid="{00000000-0006-0000-0C00-0000E7000000}">
      <text>
        <r>
          <rPr>
            <sz val="11"/>
            <rFont val="Calibri"/>
          </rPr>
          <t>99+</t>
        </r>
      </text>
    </comment>
    <comment ref="M64" authorId="0" shapeId="0" xr:uid="{00000000-0006-0000-0C00-0000E8000000}">
      <text>
        <r>
          <rPr>
            <sz val="11"/>
            <rFont val="Calibri"/>
          </rPr>
          <t>99+</t>
        </r>
      </text>
    </comment>
    <comment ref="N64" authorId="0" shapeId="0" xr:uid="{00000000-0006-0000-0C00-0000E9000000}">
      <text>
        <r>
          <rPr>
            <sz val="11"/>
            <rFont val="Calibri"/>
          </rPr>
          <t>99+</t>
        </r>
      </text>
    </comment>
    <comment ref="O64" authorId="0" shapeId="0" xr:uid="{00000000-0006-0000-0C00-0000EA000000}">
      <text>
        <r>
          <rPr>
            <sz val="11"/>
            <rFont val="Calibri"/>
          </rPr>
          <t>99+</t>
        </r>
      </text>
    </comment>
    <comment ref="P64" authorId="0" shapeId="0" xr:uid="{00000000-0006-0000-0C00-0000EB000000}">
      <text>
        <r>
          <rPr>
            <sz val="11"/>
            <rFont val="Calibri"/>
          </rPr>
          <t>99+</t>
        </r>
      </text>
    </comment>
    <comment ref="Q64" authorId="0" shapeId="0" xr:uid="{00000000-0006-0000-0C00-0000EC000000}">
      <text>
        <r>
          <rPr>
            <sz val="11"/>
            <rFont val="Calibri"/>
          </rPr>
          <t>99+</t>
        </r>
      </text>
    </comment>
    <comment ref="R64" authorId="0" shapeId="0" xr:uid="{00000000-0006-0000-0C00-0000ED000000}">
      <text>
        <r>
          <rPr>
            <sz val="11"/>
            <rFont val="Calibri"/>
          </rPr>
          <t>99+</t>
        </r>
      </text>
    </comment>
    <comment ref="S64" authorId="0" shapeId="0" xr:uid="{00000000-0006-0000-0C00-0000EE000000}">
      <text>
        <r>
          <rPr>
            <sz val="11"/>
            <rFont val="Calibri"/>
          </rPr>
          <t>99+</t>
        </r>
      </text>
    </comment>
    <comment ref="T64" authorId="0" shapeId="0" xr:uid="{00000000-0006-0000-0C00-0000EF000000}">
      <text>
        <r>
          <rPr>
            <sz val="11"/>
            <rFont val="Calibri"/>
          </rPr>
          <t>99+</t>
        </r>
      </text>
    </comment>
    <comment ref="U64" authorId="0" shapeId="0" xr:uid="{00000000-0006-0000-0C00-0000F0000000}">
      <text>
        <r>
          <rPr>
            <sz val="11"/>
            <rFont val="Calibri"/>
          </rPr>
          <t>8</t>
        </r>
      </text>
    </comment>
    <comment ref="J65" authorId="0" shapeId="0" xr:uid="{00000000-0006-0000-0C00-0000F1000000}">
      <text>
        <r>
          <rPr>
            <sz val="11"/>
            <rFont val="Calibri"/>
          </rPr>
          <t>55</t>
        </r>
      </text>
    </comment>
    <comment ref="K65" authorId="0" shapeId="0" xr:uid="{00000000-0006-0000-0C00-0000F2000000}">
      <text>
        <r>
          <rPr>
            <sz val="11"/>
            <rFont val="Calibri"/>
          </rPr>
          <t>59</t>
        </r>
      </text>
    </comment>
    <comment ref="L65" authorId="0" shapeId="0" xr:uid="{00000000-0006-0000-0C00-0000F3000000}">
      <text>
        <r>
          <rPr>
            <sz val="11"/>
            <rFont val="Calibri"/>
          </rPr>
          <t>99+</t>
        </r>
      </text>
    </comment>
    <comment ref="M65" authorId="0" shapeId="0" xr:uid="{00000000-0006-0000-0C00-0000F4000000}">
      <text>
        <r>
          <rPr>
            <sz val="11"/>
            <rFont val="Calibri"/>
          </rPr>
          <t>99+</t>
        </r>
      </text>
    </comment>
    <comment ref="N65" authorId="0" shapeId="0" xr:uid="{00000000-0006-0000-0C00-0000F5000000}">
      <text>
        <r>
          <rPr>
            <sz val="11"/>
            <rFont val="Calibri"/>
          </rPr>
          <t>99+</t>
        </r>
      </text>
    </comment>
    <comment ref="O65" authorId="0" shapeId="0" xr:uid="{00000000-0006-0000-0C00-0000F6000000}">
      <text>
        <r>
          <rPr>
            <sz val="11"/>
            <rFont val="Calibri"/>
          </rPr>
          <t>99+</t>
        </r>
      </text>
    </comment>
    <comment ref="P65" authorId="0" shapeId="0" xr:uid="{00000000-0006-0000-0C00-0000F7000000}">
      <text>
        <r>
          <rPr>
            <sz val="11"/>
            <rFont val="Calibri"/>
          </rPr>
          <t>99+</t>
        </r>
      </text>
    </comment>
    <comment ref="Q65" authorId="0" shapeId="0" xr:uid="{00000000-0006-0000-0C00-0000F8000000}">
      <text>
        <r>
          <rPr>
            <sz val="11"/>
            <rFont val="Calibri"/>
          </rPr>
          <t>99+</t>
        </r>
      </text>
    </comment>
    <comment ref="R65" authorId="0" shapeId="0" xr:uid="{00000000-0006-0000-0C00-0000F9000000}">
      <text>
        <r>
          <rPr>
            <sz val="11"/>
            <rFont val="Calibri"/>
          </rPr>
          <t>99+</t>
        </r>
      </text>
    </comment>
    <comment ref="S65" authorId="0" shapeId="0" xr:uid="{00000000-0006-0000-0C00-0000FA000000}">
      <text>
        <r>
          <rPr>
            <sz val="11"/>
            <rFont val="Calibri"/>
          </rPr>
          <t>99+</t>
        </r>
      </text>
    </comment>
    <comment ref="T65" authorId="0" shapeId="0" xr:uid="{00000000-0006-0000-0C00-0000FB000000}">
      <text>
        <r>
          <rPr>
            <sz val="11"/>
            <rFont val="Calibri"/>
          </rPr>
          <t>99+</t>
        </r>
      </text>
    </comment>
    <comment ref="U65" authorId="0" shapeId="0" xr:uid="{00000000-0006-0000-0C00-0000FC000000}">
      <text>
        <r>
          <rPr>
            <sz val="11"/>
            <rFont val="Calibri"/>
          </rPr>
          <t>99+</t>
        </r>
      </text>
    </comment>
    <comment ref="V65" authorId="0" shapeId="0" xr:uid="{00000000-0006-0000-0C00-0000FD000000}">
      <text>
        <r>
          <rPr>
            <sz val="11"/>
            <rFont val="Calibri"/>
          </rPr>
          <t>54</t>
        </r>
      </text>
    </comment>
    <comment ref="R67" authorId="0" shapeId="0" xr:uid="{00000000-0006-0000-0C00-0000FE000000}">
      <text>
        <r>
          <rPr>
            <sz val="11"/>
            <rFont val="Calibri"/>
          </rPr>
          <t>2</t>
        </r>
      </text>
    </comment>
    <comment ref="AC67" authorId="0" shapeId="0" xr:uid="{00000000-0006-0000-0C00-0000FF000000}">
      <text>
        <r>
          <rPr>
            <sz val="11"/>
            <rFont val="Calibri"/>
          </rPr>
          <t>50</t>
        </r>
      </text>
    </comment>
    <comment ref="AD67" authorId="0" shapeId="0" xr:uid="{00000000-0006-0000-0C00-000000010000}">
      <text>
        <r>
          <rPr>
            <sz val="11"/>
            <rFont val="Calibri"/>
          </rPr>
          <t>61</t>
        </r>
      </text>
    </comment>
    <comment ref="R69" authorId="0" shapeId="0" xr:uid="{00000000-0006-0000-0C00-000001010000}">
      <text>
        <r>
          <rPr>
            <sz val="11"/>
            <rFont val="Calibri"/>
          </rPr>
          <t>92</t>
        </r>
      </text>
    </comment>
    <comment ref="S69" authorId="0" shapeId="0" xr:uid="{00000000-0006-0000-0C00-000002010000}">
      <text>
        <r>
          <rPr>
            <sz val="11"/>
            <rFont val="Calibri"/>
          </rPr>
          <t>96</t>
        </r>
      </text>
    </comment>
    <comment ref="T69" authorId="0" shapeId="0" xr:uid="{00000000-0006-0000-0C00-000003010000}">
      <text>
        <r>
          <rPr>
            <sz val="11"/>
            <rFont val="Calibri"/>
          </rPr>
          <t>89</t>
        </r>
      </text>
    </comment>
    <comment ref="U69" authorId="0" shapeId="0" xr:uid="{00000000-0006-0000-0C00-000004010000}">
      <text>
        <r>
          <rPr>
            <sz val="11"/>
            <rFont val="Calibri"/>
          </rPr>
          <t>99+</t>
        </r>
      </text>
    </comment>
    <comment ref="V69" authorId="0" shapeId="0" xr:uid="{00000000-0006-0000-0C00-000005010000}">
      <text>
        <r>
          <rPr>
            <sz val="11"/>
            <rFont val="Calibri"/>
          </rPr>
          <t>99+</t>
        </r>
      </text>
    </comment>
    <comment ref="W69" authorId="0" shapeId="0" xr:uid="{00000000-0006-0000-0C00-000006010000}">
      <text>
        <r>
          <rPr>
            <sz val="11"/>
            <rFont val="Calibri"/>
          </rPr>
          <t>99+</t>
        </r>
      </text>
    </comment>
    <comment ref="X69" authorId="0" shapeId="0" xr:uid="{00000000-0006-0000-0C00-000007010000}">
      <text>
        <r>
          <rPr>
            <sz val="11"/>
            <rFont val="Calibri"/>
          </rPr>
          <t>99+</t>
        </r>
      </text>
    </comment>
    <comment ref="Y69" authorId="0" shapeId="0" xr:uid="{00000000-0006-0000-0C00-000008010000}">
      <text>
        <r>
          <rPr>
            <sz val="11"/>
            <rFont val="Calibri"/>
          </rPr>
          <t>99+</t>
        </r>
      </text>
    </comment>
    <comment ref="AA69" authorId="0" shapeId="0" xr:uid="{00000000-0006-0000-0C00-000009010000}">
      <text>
        <r>
          <rPr>
            <sz val="11"/>
            <rFont val="Calibri"/>
          </rPr>
          <t>99+</t>
        </r>
      </text>
    </comment>
    <comment ref="AB69" authorId="0" shapeId="0" xr:uid="{00000000-0006-0000-0C00-00000A010000}">
      <text>
        <r>
          <rPr>
            <sz val="11"/>
            <rFont val="Calibri"/>
          </rPr>
          <t>99+</t>
        </r>
      </text>
    </comment>
    <comment ref="AC69" authorId="0" shapeId="0" xr:uid="{00000000-0006-0000-0C00-00000B010000}">
      <text>
        <r>
          <rPr>
            <sz val="11"/>
            <rFont val="Calibri"/>
          </rPr>
          <t>43</t>
        </r>
      </text>
    </comment>
    <comment ref="Q72" authorId="0" shapeId="0" xr:uid="{00000000-0006-0000-0C00-00000C010000}">
      <text>
        <r>
          <rPr>
            <sz val="11"/>
            <rFont val="Calibri"/>
          </rPr>
          <t>1</t>
        </r>
      </text>
    </comment>
    <comment ref="S72" authorId="0" shapeId="0" xr:uid="{00000000-0006-0000-0C00-00000D010000}">
      <text>
        <r>
          <rPr>
            <sz val="11"/>
            <rFont val="Calibri"/>
          </rPr>
          <t>2</t>
        </r>
      </text>
    </comment>
    <comment ref="T72" authorId="0" shapeId="0" xr:uid="{00000000-0006-0000-0C00-00000E010000}">
      <text>
        <r>
          <rPr>
            <sz val="11"/>
            <rFont val="Calibri"/>
          </rPr>
          <t>4</t>
        </r>
      </text>
    </comment>
    <comment ref="U72" authorId="0" shapeId="0" xr:uid="{00000000-0006-0000-0C00-00000F010000}">
      <text>
        <r>
          <rPr>
            <sz val="11"/>
            <rFont val="Calibri"/>
          </rPr>
          <t>4</t>
        </r>
      </text>
    </comment>
    <comment ref="V72" authorId="0" shapeId="0" xr:uid="{00000000-0006-0000-0C00-000010010000}">
      <text>
        <r>
          <rPr>
            <sz val="11"/>
            <rFont val="Calibri"/>
          </rPr>
          <t>1</t>
        </r>
      </text>
    </comment>
    <comment ref="W72" authorId="0" shapeId="0" xr:uid="{00000000-0006-0000-0C00-000011010000}">
      <text>
        <r>
          <rPr>
            <sz val="11"/>
            <rFont val="Calibri"/>
          </rPr>
          <t>12</t>
        </r>
      </text>
    </comment>
    <comment ref="X72" authorId="0" shapeId="0" xr:uid="{00000000-0006-0000-0C00-000012010000}">
      <text>
        <r>
          <rPr>
            <sz val="11"/>
            <rFont val="Calibri"/>
          </rPr>
          <t>2</t>
        </r>
      </text>
    </comment>
    <comment ref="Y72" authorId="0" shapeId="0" xr:uid="{00000000-0006-0000-0C00-000013010000}">
      <text>
        <r>
          <rPr>
            <sz val="11"/>
            <rFont val="Calibri"/>
          </rPr>
          <t>10</t>
        </r>
      </text>
    </comment>
    <comment ref="AA72" authorId="0" shapeId="0" xr:uid="{00000000-0006-0000-0C00-000014010000}">
      <text>
        <r>
          <rPr>
            <sz val="11"/>
            <rFont val="Calibri"/>
          </rPr>
          <t>12</t>
        </r>
      </text>
    </comment>
    <comment ref="AB72" authorId="0" shapeId="0" xr:uid="{00000000-0006-0000-0C00-000015010000}">
      <text>
        <r>
          <rPr>
            <sz val="11"/>
            <rFont val="Calibri"/>
          </rPr>
          <t>8</t>
        </r>
      </text>
    </comment>
    <comment ref="AC72" authorId="0" shapeId="0" xr:uid="{00000000-0006-0000-0C00-000016010000}">
      <text>
        <r>
          <rPr>
            <sz val="11"/>
            <rFont val="Calibri"/>
          </rPr>
          <t>2</t>
        </r>
      </text>
    </comment>
    <comment ref="Q73" authorId="0" shapeId="0" xr:uid="{00000000-0006-0000-0C00-000017010000}">
      <text>
        <r>
          <rPr>
            <sz val="11"/>
            <rFont val="Calibri"/>
          </rPr>
          <t>15</t>
        </r>
      </text>
    </comment>
    <comment ref="R73" authorId="0" shapeId="0" xr:uid="{00000000-0006-0000-0C00-000018010000}">
      <text>
        <r>
          <rPr>
            <sz val="11"/>
            <rFont val="Calibri"/>
          </rPr>
          <t>8</t>
        </r>
      </text>
    </comment>
    <comment ref="W73" authorId="0" shapeId="0" xr:uid="{00000000-0006-0000-0C00-000019010000}">
      <text>
        <r>
          <rPr>
            <sz val="11"/>
            <rFont val="Calibri"/>
          </rPr>
          <t>13</t>
        </r>
      </text>
    </comment>
    <comment ref="X73" authorId="0" shapeId="0" xr:uid="{00000000-0006-0000-0C00-00001A010000}">
      <text>
        <r>
          <rPr>
            <sz val="11"/>
            <rFont val="Calibri"/>
          </rPr>
          <t>24</t>
        </r>
      </text>
    </comment>
    <comment ref="Y73" authorId="0" shapeId="0" xr:uid="{00000000-0006-0000-0C00-00001B010000}">
      <text>
        <r>
          <rPr>
            <sz val="11"/>
            <rFont val="Calibri"/>
          </rPr>
          <t>33</t>
        </r>
      </text>
    </comment>
    <comment ref="AA73" authorId="0" shapeId="0" xr:uid="{00000000-0006-0000-0C00-00001C010000}">
      <text>
        <r>
          <rPr>
            <sz val="11"/>
            <rFont val="Calibri"/>
          </rPr>
          <t>2</t>
        </r>
      </text>
    </comment>
    <comment ref="AC73" authorId="0" shapeId="0" xr:uid="{00000000-0006-0000-0C00-00001D010000}">
      <text>
        <r>
          <rPr>
            <sz val="11"/>
            <rFont val="Calibri"/>
          </rPr>
          <t>1</t>
        </r>
      </text>
    </comment>
    <comment ref="AD73" authorId="0" shapeId="0" xr:uid="{00000000-0006-0000-0C00-00001E010000}">
      <text>
        <r>
          <rPr>
            <sz val="11"/>
            <rFont val="Calibri"/>
          </rPr>
          <t>2</t>
        </r>
      </text>
    </comment>
    <comment ref="Q75" authorId="0" shapeId="0" xr:uid="{00000000-0006-0000-0C00-00001F010000}">
      <text>
        <r>
          <rPr>
            <sz val="11"/>
            <rFont val="Calibri"/>
          </rPr>
          <t>9</t>
        </r>
      </text>
    </comment>
    <comment ref="AC75" authorId="0" shapeId="0" xr:uid="{00000000-0006-0000-0C00-000020010000}">
      <text>
        <r>
          <rPr>
            <sz val="11"/>
            <rFont val="Calibri"/>
          </rPr>
          <t>5</t>
        </r>
      </text>
    </comment>
    <comment ref="Q76" authorId="0" shapeId="0" xr:uid="{00000000-0006-0000-0C00-000021010000}">
      <text>
        <r>
          <rPr>
            <sz val="11"/>
            <rFont val="Calibri"/>
          </rPr>
          <t>84</t>
        </r>
      </text>
    </comment>
    <comment ref="R76" authorId="0" shapeId="0" xr:uid="{00000000-0006-0000-0C00-000022010000}">
      <text>
        <r>
          <rPr>
            <sz val="11"/>
            <rFont val="Calibri"/>
          </rPr>
          <t>81</t>
        </r>
      </text>
    </comment>
    <comment ref="S76" authorId="0" shapeId="0" xr:uid="{00000000-0006-0000-0C00-000023010000}">
      <text>
        <r>
          <rPr>
            <sz val="11"/>
            <rFont val="Calibri"/>
          </rPr>
          <t>99+</t>
        </r>
      </text>
    </comment>
    <comment ref="T76" authorId="0" shapeId="0" xr:uid="{00000000-0006-0000-0C00-000024010000}">
      <text>
        <r>
          <rPr>
            <sz val="11"/>
            <rFont val="Calibri"/>
          </rPr>
          <t>99+</t>
        </r>
      </text>
    </comment>
    <comment ref="U76" authorId="0" shapeId="0" xr:uid="{00000000-0006-0000-0C00-000025010000}">
      <text>
        <r>
          <rPr>
            <sz val="11"/>
            <rFont val="Calibri"/>
          </rPr>
          <t>99+</t>
        </r>
      </text>
    </comment>
    <comment ref="V76" authorId="0" shapeId="0" xr:uid="{00000000-0006-0000-0C00-000026010000}">
      <text>
        <r>
          <rPr>
            <sz val="11"/>
            <rFont val="Calibri"/>
          </rPr>
          <t>99+</t>
        </r>
      </text>
    </comment>
    <comment ref="W76" authorId="0" shapeId="0" xr:uid="{00000000-0006-0000-0C00-000027010000}">
      <text>
        <r>
          <rPr>
            <sz val="11"/>
            <rFont val="Calibri"/>
          </rPr>
          <t>99+</t>
        </r>
      </text>
    </comment>
    <comment ref="X76" authorId="0" shapeId="0" xr:uid="{00000000-0006-0000-0C00-000028010000}">
      <text>
        <r>
          <rPr>
            <sz val="11"/>
            <rFont val="Calibri"/>
          </rPr>
          <t>99+</t>
        </r>
      </text>
    </comment>
    <comment ref="Y76" authorId="0" shapeId="0" xr:uid="{00000000-0006-0000-0C00-000029010000}">
      <text>
        <r>
          <rPr>
            <sz val="11"/>
            <rFont val="Calibri"/>
          </rPr>
          <t>99+</t>
        </r>
      </text>
    </comment>
    <comment ref="AA76" authorId="0" shapeId="0" xr:uid="{00000000-0006-0000-0C00-00002A010000}">
      <text>
        <r>
          <rPr>
            <sz val="11"/>
            <rFont val="Calibri"/>
          </rPr>
          <t>99+</t>
        </r>
      </text>
    </comment>
    <comment ref="AB76" authorId="0" shapeId="0" xr:uid="{00000000-0006-0000-0C00-00002B010000}">
      <text>
        <r>
          <rPr>
            <sz val="11"/>
            <rFont val="Calibri"/>
          </rPr>
          <t>99+</t>
        </r>
      </text>
    </comment>
    <comment ref="AC76" authorId="0" shapeId="0" xr:uid="{00000000-0006-0000-0C00-00002C010000}">
      <text>
        <r>
          <rPr>
            <sz val="11"/>
            <rFont val="Calibri"/>
          </rPr>
          <t>99+</t>
        </r>
      </text>
    </comment>
    <comment ref="AD76" authorId="0" shapeId="0" xr:uid="{00000000-0006-0000-0C00-00002D010000}">
      <text>
        <r>
          <rPr>
            <sz val="11"/>
            <rFont val="Calibri"/>
          </rPr>
          <t>99+</t>
        </r>
      </text>
    </comment>
    <comment ref="Q77" authorId="0" shapeId="0" xr:uid="{00000000-0006-0000-0C00-00002E010000}">
      <text>
        <r>
          <rPr>
            <sz val="11"/>
            <rFont val="Calibri"/>
          </rPr>
          <t>5</t>
        </r>
      </text>
    </comment>
    <comment ref="S77" authorId="0" shapeId="0" xr:uid="{00000000-0006-0000-0C00-00002F010000}">
      <text>
        <r>
          <rPr>
            <sz val="11"/>
            <rFont val="Calibri"/>
          </rPr>
          <t>97</t>
        </r>
      </text>
    </comment>
    <comment ref="U77" authorId="0" shapeId="0" xr:uid="{00000000-0006-0000-0C00-000030010000}">
      <text>
        <r>
          <rPr>
            <sz val="11"/>
            <rFont val="Calibri"/>
          </rPr>
          <t>99+</t>
        </r>
      </text>
    </comment>
    <comment ref="V77" authorId="0" shapeId="0" xr:uid="{00000000-0006-0000-0C00-000031010000}">
      <text>
        <r>
          <rPr>
            <sz val="11"/>
            <rFont val="Calibri"/>
          </rPr>
          <t>99+</t>
        </r>
      </text>
    </comment>
    <comment ref="W77" authorId="0" shapeId="0" xr:uid="{00000000-0006-0000-0C00-000032010000}">
      <text>
        <r>
          <rPr>
            <sz val="11"/>
            <rFont val="Calibri"/>
          </rPr>
          <t>33</t>
        </r>
      </text>
    </comment>
    <comment ref="X77" authorId="0" shapeId="0" xr:uid="{00000000-0006-0000-0C00-000033010000}">
      <text>
        <r>
          <rPr>
            <sz val="11"/>
            <rFont val="Calibri"/>
          </rPr>
          <t>2</t>
        </r>
      </text>
    </comment>
    <comment ref="Y77" authorId="0" shapeId="0" xr:uid="{00000000-0006-0000-0C00-000034010000}">
      <text>
        <r>
          <rPr>
            <sz val="11"/>
            <rFont val="Calibri"/>
          </rPr>
          <t>67</t>
        </r>
      </text>
    </comment>
    <comment ref="AA77" authorId="0" shapeId="0" xr:uid="{00000000-0006-0000-0C00-000035010000}">
      <text>
        <r>
          <rPr>
            <sz val="11"/>
            <rFont val="Calibri"/>
          </rPr>
          <t>29</t>
        </r>
      </text>
    </comment>
    <comment ref="AB77" authorId="0" shapeId="0" xr:uid="{00000000-0006-0000-0C00-000036010000}">
      <text>
        <r>
          <rPr>
            <sz val="11"/>
            <rFont val="Calibri"/>
          </rPr>
          <t>43</t>
        </r>
      </text>
    </comment>
    <comment ref="AD78" authorId="0" shapeId="0" xr:uid="{00000000-0006-0000-0C00-000037010000}">
      <text>
        <r>
          <rPr>
            <sz val="11"/>
            <rFont val="Calibri"/>
          </rPr>
          <t>8</t>
        </r>
      </text>
    </comment>
    <comment ref="J80" authorId="0" shapeId="0" xr:uid="{00000000-0006-0000-0C00-000038010000}">
      <text>
        <r>
          <rPr>
            <sz val="11"/>
            <rFont val="Calibri"/>
          </rPr>
          <t>3</t>
        </r>
      </text>
    </comment>
    <comment ref="L80" authorId="0" shapeId="0" xr:uid="{00000000-0006-0000-0C00-000039010000}">
      <text>
        <r>
          <rPr>
            <sz val="11"/>
            <rFont val="Calibri"/>
          </rPr>
          <t>99+</t>
        </r>
      </text>
    </comment>
    <comment ref="M80" authorId="0" shapeId="0" xr:uid="{00000000-0006-0000-0C00-00003A010000}">
      <text>
        <r>
          <rPr>
            <sz val="11"/>
            <rFont val="Calibri"/>
          </rPr>
          <t>37</t>
        </r>
      </text>
    </comment>
    <comment ref="N80" authorId="0" shapeId="0" xr:uid="{00000000-0006-0000-0C00-00003B010000}">
      <text>
        <r>
          <rPr>
            <sz val="11"/>
            <rFont val="Calibri"/>
          </rPr>
          <t>3</t>
        </r>
      </text>
    </comment>
    <comment ref="R80" authorId="0" shapeId="0" xr:uid="{00000000-0006-0000-0C00-00003C010000}">
      <text>
        <r>
          <rPr>
            <sz val="11"/>
            <rFont val="Calibri"/>
          </rPr>
          <t>63</t>
        </r>
      </text>
    </comment>
    <comment ref="T80" authorId="0" shapeId="0" xr:uid="{00000000-0006-0000-0C00-00003D010000}">
      <text>
        <r>
          <rPr>
            <sz val="11"/>
            <rFont val="Calibri"/>
          </rPr>
          <t>99+</t>
        </r>
      </text>
    </comment>
    <comment ref="U80" authorId="0" shapeId="0" xr:uid="{00000000-0006-0000-0C00-00003E010000}">
      <text>
        <r>
          <rPr>
            <sz val="11"/>
            <rFont val="Calibri"/>
          </rPr>
          <t>29</t>
        </r>
      </text>
    </comment>
    <comment ref="W80" authorId="0" shapeId="0" xr:uid="{00000000-0006-0000-0C00-00003F010000}">
      <text>
        <r>
          <rPr>
            <sz val="11"/>
            <rFont val="Calibri"/>
          </rPr>
          <t>3</t>
        </r>
      </text>
    </comment>
    <comment ref="J81" authorId="0" shapeId="0" xr:uid="{00000000-0006-0000-0C00-000040010000}">
      <text>
        <r>
          <rPr>
            <sz val="11"/>
            <rFont val="Calibri"/>
          </rPr>
          <t>16</t>
        </r>
      </text>
    </comment>
    <comment ref="K81" authorId="0" shapeId="0" xr:uid="{00000000-0006-0000-0C00-000041010000}">
      <text>
        <r>
          <rPr>
            <sz val="11"/>
            <rFont val="Calibri"/>
          </rPr>
          <t>22</t>
        </r>
      </text>
    </comment>
    <comment ref="V81" authorId="0" shapeId="0" xr:uid="{00000000-0006-0000-0C00-000042010000}">
      <text>
        <r>
          <rPr>
            <sz val="11"/>
            <rFont val="Calibri"/>
          </rPr>
          <t>59</t>
        </r>
      </text>
    </comment>
    <comment ref="W81" authorId="0" shapeId="0" xr:uid="{00000000-0006-0000-0C00-000043010000}">
      <text>
        <r>
          <rPr>
            <sz val="11"/>
            <rFont val="Calibri"/>
          </rPr>
          <t>94</t>
        </r>
      </text>
    </comment>
    <comment ref="U82" authorId="0" shapeId="0" xr:uid="{00000000-0006-0000-0C00-000044010000}">
      <text>
        <r>
          <rPr>
            <sz val="11"/>
            <rFont val="Calibri"/>
          </rPr>
          <t>28</t>
        </r>
      </text>
    </comment>
    <comment ref="O83" authorId="0" shapeId="0" xr:uid="{00000000-0006-0000-0C00-000045010000}">
      <text>
        <r>
          <rPr>
            <sz val="11"/>
            <rFont val="Calibri"/>
          </rPr>
          <t>1</t>
        </r>
      </text>
    </comment>
    <comment ref="Q83" authorId="0" shapeId="0" xr:uid="{00000000-0006-0000-0C00-000046010000}">
      <text>
        <r>
          <rPr>
            <sz val="11"/>
            <rFont val="Calibri"/>
          </rPr>
          <t>5</t>
        </r>
      </text>
    </comment>
    <comment ref="R83" authorId="0" shapeId="0" xr:uid="{00000000-0006-0000-0C00-000047010000}">
      <text>
        <r>
          <rPr>
            <sz val="11"/>
            <rFont val="Calibri"/>
          </rPr>
          <t>1</t>
        </r>
      </text>
    </comment>
    <comment ref="J86" authorId="0" shapeId="0" xr:uid="{00000000-0006-0000-0C00-000048010000}">
      <text>
        <r>
          <rPr>
            <sz val="11"/>
            <rFont val="Calibri"/>
          </rPr>
          <t>2</t>
        </r>
      </text>
    </comment>
    <comment ref="K86" authorId="0" shapeId="0" xr:uid="{00000000-0006-0000-0C00-000049010000}">
      <text>
        <r>
          <rPr>
            <sz val="11"/>
            <rFont val="Calibri"/>
          </rPr>
          <t>6</t>
        </r>
      </text>
    </comment>
    <comment ref="L86" authorId="0" shapeId="0" xr:uid="{00000000-0006-0000-0C00-00004A010000}">
      <text>
        <r>
          <rPr>
            <sz val="11"/>
            <rFont val="Calibri"/>
          </rPr>
          <t>87</t>
        </r>
      </text>
    </comment>
    <comment ref="M86" authorId="0" shapeId="0" xr:uid="{00000000-0006-0000-0C00-00004B010000}">
      <text>
        <r>
          <rPr>
            <sz val="11"/>
            <rFont val="Calibri"/>
          </rPr>
          <t>6</t>
        </r>
      </text>
    </comment>
    <comment ref="N86" authorId="0" shapeId="0" xr:uid="{00000000-0006-0000-0C00-00004C010000}">
      <text>
        <r>
          <rPr>
            <sz val="11"/>
            <rFont val="Calibri"/>
          </rPr>
          <t>14</t>
        </r>
      </text>
    </comment>
    <comment ref="O86" authorId="0" shapeId="0" xr:uid="{00000000-0006-0000-0C00-00004D010000}">
      <text>
        <r>
          <rPr>
            <sz val="11"/>
            <rFont val="Calibri"/>
          </rPr>
          <t>10</t>
        </r>
      </text>
    </comment>
    <comment ref="P86" authorId="0" shapeId="0" xr:uid="{00000000-0006-0000-0C00-00004E010000}">
      <text>
        <r>
          <rPr>
            <sz val="11"/>
            <rFont val="Calibri"/>
          </rPr>
          <t>7</t>
        </r>
      </text>
    </comment>
    <comment ref="Q86" authorId="0" shapeId="0" xr:uid="{00000000-0006-0000-0C00-00004F010000}">
      <text>
        <r>
          <rPr>
            <sz val="11"/>
            <rFont val="Calibri"/>
          </rPr>
          <t>17</t>
        </r>
      </text>
    </comment>
    <comment ref="R86" authorId="0" shapeId="0" xr:uid="{00000000-0006-0000-0C00-000050010000}">
      <text>
        <r>
          <rPr>
            <sz val="11"/>
            <rFont val="Calibri"/>
          </rPr>
          <t>8</t>
        </r>
      </text>
    </comment>
    <comment ref="T86" authorId="0" shapeId="0" xr:uid="{00000000-0006-0000-0C00-000051010000}">
      <text>
        <r>
          <rPr>
            <sz val="11"/>
            <rFont val="Calibri"/>
          </rPr>
          <t>8</t>
        </r>
      </text>
    </comment>
    <comment ref="J87" authorId="0" shapeId="0" xr:uid="{00000000-0006-0000-0C00-000052010000}">
      <text>
        <r>
          <rPr>
            <sz val="11"/>
            <rFont val="Calibri"/>
          </rPr>
          <t>1</t>
        </r>
      </text>
    </comment>
    <comment ref="K87" authorId="0" shapeId="0" xr:uid="{00000000-0006-0000-0C00-000053010000}">
      <text>
        <r>
          <rPr>
            <sz val="11"/>
            <rFont val="Calibri"/>
          </rPr>
          <t>4</t>
        </r>
      </text>
    </comment>
    <comment ref="L87" authorId="0" shapeId="0" xr:uid="{00000000-0006-0000-0C00-000054010000}">
      <text>
        <r>
          <rPr>
            <sz val="11"/>
            <rFont val="Calibri"/>
          </rPr>
          <t>18</t>
        </r>
      </text>
    </comment>
    <comment ref="M87" authorId="0" shapeId="0" xr:uid="{00000000-0006-0000-0C00-000055010000}">
      <text>
        <r>
          <rPr>
            <sz val="11"/>
            <rFont val="Calibri"/>
          </rPr>
          <t>4</t>
        </r>
      </text>
    </comment>
    <comment ref="N87" authorId="0" shapeId="0" xr:uid="{00000000-0006-0000-0C00-000056010000}">
      <text>
        <r>
          <rPr>
            <sz val="11"/>
            <rFont val="Calibri"/>
          </rPr>
          <t>10</t>
        </r>
      </text>
    </comment>
    <comment ref="U87" authorId="0" shapeId="0" xr:uid="{00000000-0006-0000-0C00-000057010000}">
      <text>
        <r>
          <rPr>
            <sz val="11"/>
            <rFont val="Calibri"/>
          </rPr>
          <t>13</t>
        </r>
      </text>
    </comment>
    <comment ref="V87" authorId="0" shapeId="0" xr:uid="{00000000-0006-0000-0C00-000058010000}">
      <text>
        <r>
          <rPr>
            <sz val="11"/>
            <rFont val="Calibri"/>
          </rPr>
          <t>14</t>
        </r>
      </text>
    </comment>
    <comment ref="W87" authorId="0" shapeId="0" xr:uid="{00000000-0006-0000-0C00-000059010000}">
      <text>
        <r>
          <rPr>
            <sz val="11"/>
            <rFont val="Calibri"/>
          </rPr>
          <t>28</t>
        </r>
      </text>
    </comment>
    <comment ref="J89" authorId="0" shapeId="0" xr:uid="{00000000-0006-0000-0C00-00005A010000}">
      <text>
        <r>
          <rPr>
            <sz val="11"/>
            <rFont val="Calibri"/>
          </rPr>
          <t>2</t>
        </r>
      </text>
    </comment>
    <comment ref="N89" authorId="0" shapeId="0" xr:uid="{00000000-0006-0000-0C00-00005B010000}">
      <text>
        <r>
          <rPr>
            <sz val="11"/>
            <rFont val="Calibri"/>
          </rPr>
          <t>3</t>
        </r>
      </text>
    </comment>
    <comment ref="O89" authorId="0" shapeId="0" xr:uid="{00000000-0006-0000-0C00-00005C010000}">
      <text>
        <r>
          <rPr>
            <sz val="11"/>
            <rFont val="Calibri"/>
          </rPr>
          <t>4</t>
        </r>
      </text>
    </comment>
    <comment ref="Q89" authorId="0" shapeId="0" xr:uid="{00000000-0006-0000-0C00-00005D010000}">
      <text>
        <r>
          <rPr>
            <sz val="11"/>
            <rFont val="Calibri"/>
          </rPr>
          <t>8</t>
        </r>
      </text>
    </comment>
    <comment ref="T89" authorId="0" shapeId="0" xr:uid="{00000000-0006-0000-0C00-00005E010000}">
      <text>
        <r>
          <rPr>
            <sz val="11"/>
            <rFont val="Calibri"/>
          </rPr>
          <t>6</t>
        </r>
      </text>
    </comment>
    <comment ref="U89" authorId="0" shapeId="0" xr:uid="{00000000-0006-0000-0C00-00005F010000}">
      <text>
        <r>
          <rPr>
            <sz val="11"/>
            <rFont val="Calibri"/>
          </rPr>
          <t>12</t>
        </r>
      </text>
    </comment>
    <comment ref="V89" authorId="0" shapeId="0" xr:uid="{00000000-0006-0000-0C00-000060010000}">
      <text>
        <r>
          <rPr>
            <sz val="11"/>
            <rFont val="Calibri"/>
          </rPr>
          <t>2</t>
        </r>
      </text>
    </comment>
    <comment ref="W89" authorId="0" shapeId="0" xr:uid="{00000000-0006-0000-0C00-000061010000}">
      <text>
        <r>
          <rPr>
            <sz val="11"/>
            <rFont val="Calibri"/>
          </rPr>
          <t>7</t>
        </r>
      </text>
    </comment>
    <comment ref="M91" authorId="0" shapeId="0" xr:uid="{00000000-0006-0000-0C00-000062010000}">
      <text>
        <r>
          <rPr>
            <sz val="11"/>
            <rFont val="Calibri"/>
          </rPr>
          <t>16</t>
        </r>
      </text>
    </comment>
    <comment ref="N91" authorId="0" shapeId="0" xr:uid="{00000000-0006-0000-0C00-000063010000}">
      <text>
        <r>
          <rPr>
            <sz val="11"/>
            <rFont val="Calibri"/>
          </rPr>
          <t>2</t>
        </r>
      </text>
    </comment>
    <comment ref="O91" authorId="0" shapeId="0" xr:uid="{00000000-0006-0000-0C00-000064010000}">
      <text>
        <r>
          <rPr>
            <sz val="11"/>
            <rFont val="Calibri"/>
          </rPr>
          <t>1</t>
        </r>
      </text>
    </comment>
    <comment ref="P91" authorId="0" shapeId="0" xr:uid="{00000000-0006-0000-0C00-000065010000}">
      <text>
        <r>
          <rPr>
            <sz val="11"/>
            <rFont val="Calibri"/>
          </rPr>
          <t>2</t>
        </r>
      </text>
    </comment>
    <comment ref="T91" authorId="0" shapeId="0" xr:uid="{00000000-0006-0000-0C00-000066010000}">
      <text>
        <r>
          <rPr>
            <sz val="11"/>
            <rFont val="Calibri"/>
          </rPr>
          <t>12</t>
        </r>
      </text>
    </comment>
    <comment ref="U91" authorId="0" shapeId="0" xr:uid="{00000000-0006-0000-0C00-000067010000}">
      <text>
        <r>
          <rPr>
            <sz val="11"/>
            <rFont val="Calibri"/>
          </rPr>
          <t>85</t>
        </r>
      </text>
    </comment>
    <comment ref="Q92" authorId="0" shapeId="0" xr:uid="{00000000-0006-0000-0C00-000068010000}">
      <text>
        <r>
          <rPr>
            <sz val="11"/>
            <rFont val="Calibri"/>
          </rPr>
          <t>2</t>
        </r>
      </text>
    </comment>
    <comment ref="T92" authorId="0" shapeId="0" xr:uid="{00000000-0006-0000-0C00-000069010000}">
      <text>
        <r>
          <rPr>
            <sz val="11"/>
            <rFont val="Calibri"/>
          </rPr>
          <t>1</t>
        </r>
      </text>
    </comment>
    <comment ref="U92" authorId="0" shapeId="0" xr:uid="{00000000-0006-0000-0C00-00006A010000}">
      <text>
        <r>
          <rPr>
            <sz val="11"/>
            <rFont val="Calibri"/>
          </rPr>
          <t>30</t>
        </r>
      </text>
    </comment>
    <comment ref="J93" authorId="0" shapeId="0" xr:uid="{00000000-0006-0000-0C00-00006B010000}">
      <text>
        <r>
          <rPr>
            <sz val="11"/>
            <rFont val="Calibri"/>
          </rPr>
          <t>18</t>
        </r>
      </text>
    </comment>
    <comment ref="K93" authorId="0" shapeId="0" xr:uid="{00000000-0006-0000-0C00-00006C010000}">
      <text>
        <r>
          <rPr>
            <sz val="11"/>
            <rFont val="Calibri"/>
          </rPr>
          <t>15</t>
        </r>
      </text>
    </comment>
    <comment ref="L93" authorId="0" shapeId="0" xr:uid="{00000000-0006-0000-0C00-00006D010000}">
      <text>
        <r>
          <rPr>
            <sz val="11"/>
            <rFont val="Calibri"/>
          </rPr>
          <t>99+</t>
        </r>
      </text>
    </comment>
    <comment ref="M93" authorId="0" shapeId="0" xr:uid="{00000000-0006-0000-0C00-00006E010000}">
      <text>
        <r>
          <rPr>
            <sz val="11"/>
            <rFont val="Calibri"/>
          </rPr>
          <t>99+</t>
        </r>
      </text>
    </comment>
    <comment ref="N93" authorId="0" shapeId="0" xr:uid="{00000000-0006-0000-0C00-00006F010000}">
      <text>
        <r>
          <rPr>
            <sz val="11"/>
            <rFont val="Calibri"/>
          </rPr>
          <t>99+</t>
        </r>
      </text>
    </comment>
    <comment ref="O93" authorId="0" shapeId="0" xr:uid="{00000000-0006-0000-0C00-000070010000}">
      <text>
        <r>
          <rPr>
            <sz val="11"/>
            <rFont val="Calibri"/>
          </rPr>
          <t>99+</t>
        </r>
      </text>
    </comment>
    <comment ref="P93" authorId="0" shapeId="0" xr:uid="{00000000-0006-0000-0C00-000071010000}">
      <text>
        <r>
          <rPr>
            <sz val="11"/>
            <rFont val="Calibri"/>
          </rPr>
          <t>99+</t>
        </r>
      </text>
    </comment>
    <comment ref="Q93" authorId="0" shapeId="0" xr:uid="{00000000-0006-0000-0C00-000072010000}">
      <text>
        <r>
          <rPr>
            <sz val="11"/>
            <rFont val="Calibri"/>
          </rPr>
          <t>99+</t>
        </r>
      </text>
    </comment>
    <comment ref="R93" authorId="0" shapeId="0" xr:uid="{00000000-0006-0000-0C00-000073010000}">
      <text>
        <r>
          <rPr>
            <sz val="11"/>
            <rFont val="Calibri"/>
          </rPr>
          <t>99+</t>
        </r>
      </text>
    </comment>
    <comment ref="T93" authorId="0" shapeId="0" xr:uid="{00000000-0006-0000-0C00-000074010000}">
      <text>
        <r>
          <rPr>
            <sz val="11"/>
            <rFont val="Calibri"/>
          </rPr>
          <t>99+</t>
        </r>
      </text>
    </comment>
    <comment ref="U93" authorId="0" shapeId="0" xr:uid="{00000000-0006-0000-0C00-000075010000}">
      <text>
        <r>
          <rPr>
            <sz val="11"/>
            <rFont val="Calibri"/>
          </rPr>
          <t>82</t>
        </r>
      </text>
    </comment>
    <comment ref="V93" authorId="0" shapeId="0" xr:uid="{00000000-0006-0000-0C00-000076010000}">
      <text>
        <r>
          <rPr>
            <sz val="11"/>
            <rFont val="Calibri"/>
          </rPr>
          <t>25</t>
        </r>
      </text>
    </comment>
    <comment ref="W93" authorId="0" shapeId="0" xr:uid="{00000000-0006-0000-0C00-000077010000}">
      <text>
        <r>
          <rPr>
            <sz val="11"/>
            <rFont val="Calibri"/>
          </rPr>
          <t>9</t>
        </r>
      </text>
    </comment>
    <comment ref="J94" authorId="0" shapeId="0" xr:uid="{00000000-0006-0000-0C00-000078010000}">
      <text>
        <r>
          <rPr>
            <sz val="11"/>
            <rFont val="Calibri"/>
          </rPr>
          <t>74</t>
        </r>
      </text>
    </comment>
    <comment ref="K94" authorId="0" shapeId="0" xr:uid="{00000000-0006-0000-0C00-000079010000}">
      <text>
        <r>
          <rPr>
            <sz val="11"/>
            <rFont val="Calibri"/>
          </rPr>
          <t>99+</t>
        </r>
      </text>
    </comment>
    <comment ref="L94" authorId="0" shapeId="0" xr:uid="{00000000-0006-0000-0C00-00007A010000}">
      <text>
        <r>
          <rPr>
            <sz val="11"/>
            <rFont val="Calibri"/>
          </rPr>
          <t>99+</t>
        </r>
      </text>
    </comment>
    <comment ref="M94" authorId="0" shapeId="0" xr:uid="{00000000-0006-0000-0C00-00007B010000}">
      <text>
        <r>
          <rPr>
            <sz val="11"/>
            <rFont val="Calibri"/>
          </rPr>
          <t>99+</t>
        </r>
      </text>
    </comment>
    <comment ref="N94" authorId="0" shapeId="0" xr:uid="{00000000-0006-0000-0C00-00007C010000}">
      <text>
        <r>
          <rPr>
            <sz val="11"/>
            <rFont val="Calibri"/>
          </rPr>
          <t>99+</t>
        </r>
      </text>
    </comment>
    <comment ref="O94" authorId="0" shapeId="0" xr:uid="{00000000-0006-0000-0C00-00007D010000}">
      <text>
        <r>
          <rPr>
            <sz val="11"/>
            <rFont val="Calibri"/>
          </rPr>
          <t>99+</t>
        </r>
      </text>
    </comment>
    <comment ref="P94" authorId="0" shapeId="0" xr:uid="{00000000-0006-0000-0C00-00007E010000}">
      <text>
        <r>
          <rPr>
            <sz val="11"/>
            <rFont val="Calibri"/>
          </rPr>
          <t>99+</t>
        </r>
      </text>
    </comment>
    <comment ref="Q94" authorId="0" shapeId="0" xr:uid="{00000000-0006-0000-0C00-00007F010000}">
      <text>
        <r>
          <rPr>
            <sz val="11"/>
            <rFont val="Calibri"/>
          </rPr>
          <t>99+</t>
        </r>
      </text>
    </comment>
    <comment ref="R94" authorId="0" shapeId="0" xr:uid="{00000000-0006-0000-0C00-000080010000}">
      <text>
        <r>
          <rPr>
            <sz val="11"/>
            <rFont val="Calibri"/>
          </rPr>
          <t>99+</t>
        </r>
      </text>
    </comment>
    <comment ref="T94" authorId="0" shapeId="0" xr:uid="{00000000-0006-0000-0C00-000081010000}">
      <text>
        <r>
          <rPr>
            <sz val="11"/>
            <rFont val="Calibri"/>
          </rPr>
          <t>99+</t>
        </r>
      </text>
    </comment>
    <comment ref="U94" authorId="0" shapeId="0" xr:uid="{00000000-0006-0000-0C00-000082010000}">
      <text>
        <r>
          <rPr>
            <sz val="11"/>
            <rFont val="Calibri"/>
          </rPr>
          <t>99+</t>
        </r>
      </text>
    </comment>
    <comment ref="V94" authorId="0" shapeId="0" xr:uid="{00000000-0006-0000-0C00-000083010000}">
      <text>
        <r>
          <rPr>
            <sz val="11"/>
            <rFont val="Calibri"/>
          </rPr>
          <t>93</t>
        </r>
      </text>
    </comment>
    <comment ref="W94" authorId="0" shapeId="0" xr:uid="{00000000-0006-0000-0C00-000084010000}">
      <text>
        <r>
          <rPr>
            <sz val="11"/>
            <rFont val="Calibri"/>
          </rPr>
          <t>32</t>
        </r>
      </text>
    </comment>
    <comment ref="K95" authorId="0" shapeId="0" xr:uid="{00000000-0006-0000-0C00-000085010000}">
      <text>
        <r>
          <rPr>
            <sz val="11"/>
            <rFont val="Calibri"/>
          </rPr>
          <t>1</t>
        </r>
      </text>
    </comment>
    <comment ref="L95" authorId="0" shapeId="0" xr:uid="{00000000-0006-0000-0C00-000086010000}">
      <text>
        <r>
          <rPr>
            <sz val="11"/>
            <rFont val="Calibri"/>
          </rPr>
          <t>9</t>
        </r>
      </text>
    </comment>
    <comment ref="U95" authorId="0" shapeId="0" xr:uid="{00000000-0006-0000-0C00-000087010000}">
      <text>
        <r>
          <rPr>
            <sz val="11"/>
            <rFont val="Calibri"/>
          </rPr>
          <t>14</t>
        </r>
      </text>
    </comment>
    <comment ref="V95" authorId="0" shapeId="0" xr:uid="{00000000-0006-0000-0C00-000088010000}">
      <text>
        <r>
          <rPr>
            <sz val="11"/>
            <rFont val="Calibri"/>
          </rPr>
          <t>1</t>
        </r>
      </text>
    </comment>
    <comment ref="L97" authorId="0" shapeId="0" xr:uid="{00000000-0006-0000-0C00-000089010000}">
      <text>
        <r>
          <rPr>
            <sz val="11"/>
            <rFont val="Calibri"/>
          </rPr>
          <t>32</t>
        </r>
      </text>
    </comment>
    <comment ref="M97" authorId="0" shapeId="0" xr:uid="{00000000-0006-0000-0C00-00008A010000}">
      <text>
        <r>
          <rPr>
            <sz val="11"/>
            <rFont val="Calibri"/>
          </rPr>
          <t>45</t>
        </r>
      </text>
    </comment>
    <comment ref="N97" authorId="0" shapeId="0" xr:uid="{00000000-0006-0000-0C00-00008B010000}">
      <text>
        <r>
          <rPr>
            <sz val="11"/>
            <rFont val="Calibri"/>
          </rPr>
          <t>87</t>
        </r>
      </text>
    </comment>
    <comment ref="O97" authorId="0" shapeId="0" xr:uid="{00000000-0006-0000-0C00-00008C010000}">
      <text>
        <r>
          <rPr>
            <sz val="11"/>
            <rFont val="Calibri"/>
          </rPr>
          <t>99+</t>
        </r>
      </text>
    </comment>
    <comment ref="P97" authorId="0" shapeId="0" xr:uid="{00000000-0006-0000-0C00-00008D010000}">
      <text>
        <r>
          <rPr>
            <sz val="11"/>
            <rFont val="Calibri"/>
          </rPr>
          <t>99+</t>
        </r>
      </text>
    </comment>
    <comment ref="Q97" authorId="0" shapeId="0" xr:uid="{00000000-0006-0000-0C00-00008E010000}">
      <text>
        <r>
          <rPr>
            <sz val="11"/>
            <rFont val="Calibri"/>
          </rPr>
          <t>99+</t>
        </r>
      </text>
    </comment>
    <comment ref="R97" authorId="0" shapeId="0" xr:uid="{00000000-0006-0000-0C00-00008F010000}">
      <text>
        <r>
          <rPr>
            <sz val="11"/>
            <rFont val="Calibri"/>
          </rPr>
          <t>99+</t>
        </r>
      </text>
    </comment>
    <comment ref="S97" authorId="0" shapeId="0" xr:uid="{00000000-0006-0000-0C00-000090010000}">
      <text>
        <r>
          <rPr>
            <sz val="11"/>
            <rFont val="Calibri"/>
          </rPr>
          <t>99+</t>
        </r>
      </text>
    </comment>
    <comment ref="T97" authorId="0" shapeId="0" xr:uid="{00000000-0006-0000-0C00-000091010000}">
      <text>
        <r>
          <rPr>
            <sz val="11"/>
            <rFont val="Calibri"/>
          </rPr>
          <t>57</t>
        </r>
      </text>
    </comment>
    <comment ref="L99" authorId="0" shapeId="0" xr:uid="{00000000-0006-0000-0C00-000092010000}">
      <text>
        <r>
          <rPr>
            <sz val="11"/>
            <rFont val="Calibri"/>
          </rPr>
          <t>14</t>
        </r>
      </text>
    </comment>
    <comment ref="M99" authorId="0" shapeId="0" xr:uid="{00000000-0006-0000-0C00-000093010000}">
      <text>
        <r>
          <rPr>
            <sz val="11"/>
            <rFont val="Calibri"/>
          </rPr>
          <t>13</t>
        </r>
      </text>
    </comment>
    <comment ref="J101" authorId="0" shapeId="0" xr:uid="{00000000-0006-0000-0C00-000094010000}">
      <text>
        <r>
          <rPr>
            <sz val="11"/>
            <rFont val="Calibri"/>
          </rPr>
          <t>14</t>
        </r>
      </text>
    </comment>
    <comment ref="K101" authorId="0" shapeId="0" xr:uid="{00000000-0006-0000-0C00-000095010000}">
      <text>
        <r>
          <rPr>
            <sz val="11"/>
            <rFont val="Calibri"/>
          </rPr>
          <t>11</t>
        </r>
      </text>
    </comment>
    <comment ref="L101" authorId="0" shapeId="0" xr:uid="{00000000-0006-0000-0C00-000096010000}">
      <text>
        <r>
          <rPr>
            <sz val="11"/>
            <rFont val="Calibri"/>
          </rPr>
          <t>25</t>
        </r>
      </text>
    </comment>
    <comment ref="M101" authorId="0" shapeId="0" xr:uid="{00000000-0006-0000-0C00-000097010000}">
      <text>
        <r>
          <rPr>
            <sz val="11"/>
            <rFont val="Calibri"/>
          </rPr>
          <t>1</t>
        </r>
      </text>
    </comment>
    <comment ref="O101" authorId="0" shapeId="0" xr:uid="{00000000-0006-0000-0C00-000098010000}">
      <text>
        <r>
          <rPr>
            <sz val="11"/>
            <rFont val="Calibri"/>
          </rPr>
          <t>10</t>
        </r>
      </text>
    </comment>
    <comment ref="R101" authorId="0" shapeId="0" xr:uid="{00000000-0006-0000-0C00-000099010000}">
      <text>
        <r>
          <rPr>
            <sz val="11"/>
            <rFont val="Calibri"/>
          </rPr>
          <t>56</t>
        </r>
      </text>
    </comment>
    <comment ref="U101" authorId="0" shapeId="0" xr:uid="{00000000-0006-0000-0C00-00009A010000}">
      <text>
        <r>
          <rPr>
            <sz val="11"/>
            <rFont val="Calibri"/>
          </rPr>
          <t>2</t>
        </r>
      </text>
    </comment>
    <comment ref="V101" authorId="0" shapeId="0" xr:uid="{00000000-0006-0000-0C00-00009B010000}">
      <text>
        <r>
          <rPr>
            <sz val="11"/>
            <rFont val="Calibri"/>
          </rPr>
          <t>6</t>
        </r>
      </text>
    </comment>
    <comment ref="K104" authorId="0" shapeId="0" xr:uid="{00000000-0006-0000-0C00-00009C010000}">
      <text>
        <r>
          <rPr>
            <sz val="11"/>
            <rFont val="Calibri"/>
          </rPr>
          <t>21</t>
        </r>
      </text>
    </comment>
    <comment ref="J106" authorId="0" shapeId="0" xr:uid="{00000000-0006-0000-0C00-00009D010000}">
      <text>
        <r>
          <rPr>
            <sz val="11"/>
            <rFont val="Calibri"/>
          </rPr>
          <t>39</t>
        </r>
      </text>
    </comment>
    <comment ref="K106" authorId="0" shapeId="0" xr:uid="{00000000-0006-0000-0C00-00009E010000}">
      <text>
        <r>
          <rPr>
            <sz val="11"/>
            <rFont val="Calibri"/>
          </rPr>
          <t>52</t>
        </r>
      </text>
    </comment>
    <comment ref="K108" authorId="0" shapeId="0" xr:uid="{00000000-0006-0000-0C00-00009F010000}">
      <text>
        <r>
          <rPr>
            <sz val="11"/>
            <rFont val="Calibri"/>
          </rPr>
          <t>13</t>
        </r>
      </text>
    </comment>
    <comment ref="L108" authorId="0" shapeId="0" xr:uid="{00000000-0006-0000-0C00-0000A0010000}">
      <text>
        <r>
          <rPr>
            <sz val="11"/>
            <rFont val="Calibri"/>
          </rPr>
          <t>17</t>
        </r>
      </text>
    </comment>
    <comment ref="M108" authorId="0" shapeId="0" xr:uid="{00000000-0006-0000-0C00-0000A1010000}">
      <text>
        <r>
          <rPr>
            <sz val="11"/>
            <rFont val="Calibri"/>
          </rPr>
          <t>51</t>
        </r>
      </text>
    </comment>
    <comment ref="Q108" authorId="0" shapeId="0" xr:uid="{00000000-0006-0000-0C00-0000A2010000}">
      <text>
        <r>
          <rPr>
            <sz val="11"/>
            <rFont val="Calibri"/>
          </rPr>
          <t>3</t>
        </r>
      </text>
    </comment>
    <comment ref="R108" authorId="0" shapeId="0" xr:uid="{00000000-0006-0000-0C00-0000A3010000}">
      <text>
        <r>
          <rPr>
            <sz val="11"/>
            <rFont val="Calibri"/>
          </rPr>
          <t>6</t>
        </r>
      </text>
    </comment>
    <comment ref="N109" authorId="0" shapeId="0" xr:uid="{00000000-0006-0000-0C00-0000A4010000}">
      <text>
        <r>
          <rPr>
            <sz val="11"/>
            <rFont val="Calibri"/>
          </rPr>
          <t>8</t>
        </r>
      </text>
    </comment>
    <comment ref="P109" authorId="0" shapeId="0" xr:uid="{00000000-0006-0000-0C00-0000A5010000}">
      <text>
        <r>
          <rPr>
            <sz val="11"/>
            <rFont val="Calibri"/>
          </rPr>
          <t>43</t>
        </r>
      </text>
    </comment>
    <comment ref="Q109" authorId="0" shapeId="0" xr:uid="{00000000-0006-0000-0C00-0000A6010000}">
      <text>
        <r>
          <rPr>
            <sz val="11"/>
            <rFont val="Calibri"/>
          </rPr>
          <t>56</t>
        </r>
      </text>
    </comment>
    <comment ref="R109" authorId="0" shapeId="0" xr:uid="{00000000-0006-0000-0C00-0000A7010000}">
      <text>
        <r>
          <rPr>
            <sz val="11"/>
            <rFont val="Calibri"/>
          </rPr>
          <t>4</t>
        </r>
      </text>
    </comment>
    <comment ref="S109" authorId="0" shapeId="0" xr:uid="{00000000-0006-0000-0C00-0000A8010000}">
      <text>
        <r>
          <rPr>
            <sz val="11"/>
            <rFont val="Calibri"/>
          </rPr>
          <t>15</t>
        </r>
      </text>
    </comment>
    <comment ref="J110" authorId="0" shapeId="0" xr:uid="{00000000-0006-0000-0C00-0000A9010000}">
      <text>
        <r>
          <rPr>
            <sz val="11"/>
            <rFont val="Calibri"/>
          </rPr>
          <t>40</t>
        </r>
      </text>
    </comment>
    <comment ref="K110" authorId="0" shapeId="0" xr:uid="{00000000-0006-0000-0C00-0000AA010000}">
      <text>
        <r>
          <rPr>
            <sz val="11"/>
            <rFont val="Calibri"/>
          </rPr>
          <t>99+</t>
        </r>
      </text>
    </comment>
    <comment ref="L110" authorId="0" shapeId="0" xr:uid="{00000000-0006-0000-0C00-0000AB010000}">
      <text>
        <r>
          <rPr>
            <sz val="11"/>
            <rFont val="Calibri"/>
          </rPr>
          <t>99+</t>
        </r>
      </text>
    </comment>
    <comment ref="M110" authorId="0" shapeId="0" xr:uid="{00000000-0006-0000-0C00-0000AC010000}">
      <text>
        <r>
          <rPr>
            <sz val="11"/>
            <rFont val="Calibri"/>
          </rPr>
          <t>99+</t>
        </r>
      </text>
    </comment>
    <comment ref="N110" authorId="0" shapeId="0" xr:uid="{00000000-0006-0000-0C00-0000AD010000}">
      <text>
        <r>
          <rPr>
            <sz val="11"/>
            <rFont val="Calibri"/>
          </rPr>
          <t>99+</t>
        </r>
      </text>
    </comment>
    <comment ref="O110" authorId="0" shapeId="0" xr:uid="{00000000-0006-0000-0C00-0000AE010000}">
      <text>
        <r>
          <rPr>
            <sz val="11"/>
            <rFont val="Calibri"/>
          </rPr>
          <t>99+</t>
        </r>
      </text>
    </comment>
    <comment ref="P110" authorId="0" shapeId="0" xr:uid="{00000000-0006-0000-0C00-0000AF010000}">
      <text>
        <r>
          <rPr>
            <sz val="11"/>
            <rFont val="Calibri"/>
          </rPr>
          <t>99+</t>
        </r>
      </text>
    </comment>
    <comment ref="Q110" authorId="0" shapeId="0" xr:uid="{00000000-0006-0000-0C00-0000B0010000}">
      <text>
        <r>
          <rPr>
            <sz val="11"/>
            <rFont val="Calibri"/>
          </rPr>
          <t>99+</t>
        </r>
      </text>
    </comment>
    <comment ref="R110" authorId="0" shapeId="0" xr:uid="{00000000-0006-0000-0C00-0000B1010000}">
      <text>
        <r>
          <rPr>
            <sz val="11"/>
            <rFont val="Calibri"/>
          </rPr>
          <t>99+</t>
        </r>
      </text>
    </comment>
    <comment ref="S110" authorId="0" shapeId="0" xr:uid="{00000000-0006-0000-0C00-0000B2010000}">
      <text>
        <r>
          <rPr>
            <sz val="11"/>
            <rFont val="Calibri"/>
          </rPr>
          <t>99+</t>
        </r>
      </text>
    </comment>
    <comment ref="T110" authorId="0" shapeId="0" xr:uid="{00000000-0006-0000-0C00-0000B3010000}">
      <text>
        <r>
          <rPr>
            <sz val="11"/>
            <rFont val="Calibri"/>
          </rPr>
          <t>13</t>
        </r>
      </text>
    </comment>
    <comment ref="L111" authorId="0" shapeId="0" xr:uid="{00000000-0006-0000-0C00-0000B4010000}">
      <text>
        <r>
          <rPr>
            <sz val="11"/>
            <rFont val="Calibri"/>
          </rPr>
          <t>99+</t>
        </r>
      </text>
    </comment>
    <comment ref="M111" authorId="0" shapeId="0" xr:uid="{00000000-0006-0000-0C00-0000B5010000}">
      <text>
        <r>
          <rPr>
            <sz val="11"/>
            <rFont val="Calibri"/>
          </rPr>
          <t>99+</t>
        </r>
      </text>
    </comment>
    <comment ref="N111" authorId="0" shapeId="0" xr:uid="{00000000-0006-0000-0C00-0000B6010000}">
      <text>
        <r>
          <rPr>
            <sz val="11"/>
            <rFont val="Calibri"/>
          </rPr>
          <t>99+</t>
        </r>
      </text>
    </comment>
    <comment ref="O111" authorId="0" shapeId="0" xr:uid="{00000000-0006-0000-0C00-0000B7010000}">
      <text>
        <r>
          <rPr>
            <sz val="11"/>
            <rFont val="Calibri"/>
          </rPr>
          <t>5</t>
        </r>
      </text>
    </comment>
    <comment ref="P111" authorId="0" shapeId="0" xr:uid="{00000000-0006-0000-0C00-0000B8010000}">
      <text>
        <r>
          <rPr>
            <sz val="11"/>
            <rFont val="Calibri"/>
          </rPr>
          <t>99+</t>
        </r>
      </text>
    </comment>
    <comment ref="K113" authorId="0" shapeId="0" xr:uid="{00000000-0006-0000-0C00-0000B9010000}">
      <text>
        <r>
          <rPr>
            <sz val="11"/>
            <rFont val="Calibri"/>
          </rPr>
          <t>1</t>
        </r>
      </text>
    </comment>
    <comment ref="M113" authorId="0" shapeId="0" xr:uid="{00000000-0006-0000-0C00-0000BA010000}">
      <text>
        <r>
          <rPr>
            <sz val="11"/>
            <rFont val="Calibri"/>
          </rPr>
          <t>60</t>
        </r>
      </text>
    </comment>
    <comment ref="N113" authorId="0" shapeId="0" xr:uid="{00000000-0006-0000-0C00-0000BB010000}">
      <text>
        <r>
          <rPr>
            <sz val="11"/>
            <rFont val="Calibri"/>
          </rPr>
          <t>62</t>
        </r>
      </text>
    </comment>
    <comment ref="P113" authorId="0" shapeId="0" xr:uid="{00000000-0006-0000-0C00-0000BC010000}">
      <text>
        <r>
          <rPr>
            <sz val="11"/>
            <rFont val="Calibri"/>
          </rPr>
          <t>22</t>
        </r>
      </text>
    </comment>
    <comment ref="M119" authorId="0" shapeId="0" xr:uid="{00000000-0006-0000-0C00-0000BD010000}">
      <text>
        <r>
          <rPr>
            <sz val="11"/>
            <rFont val="Calibri"/>
          </rPr>
          <t>1</t>
        </r>
      </text>
    </comment>
    <comment ref="U119" authorId="0" shapeId="0" xr:uid="{00000000-0006-0000-0C00-0000BE010000}">
      <text>
        <r>
          <rPr>
            <sz val="11"/>
            <rFont val="Calibri"/>
          </rPr>
          <t>22</t>
        </r>
      </text>
    </comment>
    <comment ref="U120" authorId="0" shapeId="0" xr:uid="{00000000-0006-0000-0C00-0000BF010000}">
      <text>
        <r>
          <rPr>
            <sz val="11"/>
            <rFont val="Calibri"/>
          </rPr>
          <t>25</t>
        </r>
      </text>
    </comment>
    <comment ref="T121" authorId="0" shapeId="0" xr:uid="{00000000-0006-0000-0C00-0000C0010000}">
      <text>
        <r>
          <rPr>
            <sz val="11"/>
            <rFont val="Calibri"/>
          </rPr>
          <t>19</t>
        </r>
      </text>
    </comment>
    <comment ref="U121" authorId="0" shapeId="0" xr:uid="{00000000-0006-0000-0C00-0000C1010000}">
      <text>
        <r>
          <rPr>
            <sz val="11"/>
            <rFont val="Calibri"/>
          </rPr>
          <t>22</t>
        </r>
      </text>
    </comment>
    <comment ref="K122" authorId="0" shapeId="0" xr:uid="{00000000-0006-0000-0C00-0000C2010000}">
      <text>
        <r>
          <rPr>
            <sz val="11"/>
            <rFont val="Calibri"/>
          </rPr>
          <t>1</t>
        </r>
      </text>
    </comment>
    <comment ref="O122" authorId="0" shapeId="0" xr:uid="{00000000-0006-0000-0C00-0000C3010000}">
      <text>
        <r>
          <rPr>
            <sz val="11"/>
            <rFont val="Calibri"/>
          </rPr>
          <t>2</t>
        </r>
      </text>
    </comment>
    <comment ref="S122" authorId="0" shapeId="0" xr:uid="{00000000-0006-0000-0C00-0000C4010000}">
      <text>
        <r>
          <rPr>
            <sz val="11"/>
            <rFont val="Calibri"/>
          </rPr>
          <t>1</t>
        </r>
      </text>
    </comment>
    <comment ref="T122" authorId="0" shapeId="0" xr:uid="{00000000-0006-0000-0C00-0000C5010000}">
      <text>
        <r>
          <rPr>
            <sz val="11"/>
            <rFont val="Calibri"/>
          </rPr>
          <t>32</t>
        </r>
      </text>
    </comment>
    <comment ref="U122" authorId="0" shapeId="0" xr:uid="{00000000-0006-0000-0C00-0000C6010000}">
      <text>
        <r>
          <rPr>
            <sz val="11"/>
            <rFont val="Calibri"/>
          </rPr>
          <t>21</t>
        </r>
      </text>
    </comment>
    <comment ref="V122" authorId="0" shapeId="0" xr:uid="{00000000-0006-0000-0C00-0000C7010000}">
      <text>
        <r>
          <rPr>
            <sz val="11"/>
            <rFont val="Calibri"/>
          </rPr>
          <t>19</t>
        </r>
      </text>
    </comment>
    <comment ref="W122" authorId="0" shapeId="0" xr:uid="{00000000-0006-0000-0C00-0000C8010000}">
      <text>
        <r>
          <rPr>
            <sz val="11"/>
            <rFont val="Calibri"/>
          </rPr>
          <t>8</t>
        </r>
      </text>
    </comment>
    <comment ref="X122" authorId="0" shapeId="0" xr:uid="{00000000-0006-0000-0C00-0000C9010000}">
      <text>
        <r>
          <rPr>
            <sz val="11"/>
            <rFont val="Calibri"/>
          </rPr>
          <t>4</t>
        </r>
      </text>
    </comment>
    <comment ref="Y122" authorId="0" shapeId="0" xr:uid="{00000000-0006-0000-0C00-0000CA010000}">
      <text>
        <r>
          <rPr>
            <sz val="11"/>
            <rFont val="Calibri"/>
          </rPr>
          <t>3</t>
        </r>
      </text>
    </comment>
    <comment ref="J124" authorId="0" shapeId="0" xr:uid="{00000000-0006-0000-0C00-0000CB010000}">
      <text>
        <r>
          <rPr>
            <sz val="11"/>
            <rFont val="Calibri"/>
          </rPr>
          <t>7</t>
        </r>
      </text>
    </comment>
    <comment ref="K124" authorId="0" shapeId="0" xr:uid="{00000000-0006-0000-0C00-0000CC010000}">
      <text>
        <r>
          <rPr>
            <sz val="11"/>
            <rFont val="Calibri"/>
          </rPr>
          <t>22</t>
        </r>
      </text>
    </comment>
    <comment ref="N124" authorId="0" shapeId="0" xr:uid="{00000000-0006-0000-0C00-0000CD010000}">
      <text>
        <r>
          <rPr>
            <sz val="11"/>
            <rFont val="Calibri"/>
          </rPr>
          <t>17</t>
        </r>
      </text>
    </comment>
    <comment ref="J126" authorId="0" shapeId="0" xr:uid="{00000000-0006-0000-0C00-0000CE010000}">
      <text>
        <r>
          <rPr>
            <sz val="11"/>
            <rFont val="Calibri"/>
          </rPr>
          <t>6</t>
        </r>
      </text>
    </comment>
    <comment ref="K126" authorId="0" shapeId="0" xr:uid="{00000000-0006-0000-0C00-0000CF010000}">
      <text>
        <r>
          <rPr>
            <sz val="11"/>
            <rFont val="Calibri"/>
          </rPr>
          <t>7</t>
        </r>
      </text>
    </comment>
    <comment ref="L126" authorId="0" shapeId="0" xr:uid="{00000000-0006-0000-0C00-0000D0010000}">
      <text>
        <r>
          <rPr>
            <sz val="11"/>
            <rFont val="Calibri"/>
          </rPr>
          <t>7</t>
        </r>
      </text>
    </comment>
    <comment ref="O126" authorId="0" shapeId="0" xr:uid="{00000000-0006-0000-0C00-0000D1010000}">
      <text>
        <r>
          <rPr>
            <sz val="11"/>
            <rFont val="Calibri"/>
          </rPr>
          <t>27</t>
        </r>
      </text>
    </comment>
    <comment ref="U126" authorId="0" shapeId="0" xr:uid="{00000000-0006-0000-0C00-0000D2010000}">
      <text>
        <r>
          <rPr>
            <sz val="11"/>
            <rFont val="Calibri"/>
          </rPr>
          <t>10</t>
        </r>
      </text>
    </comment>
    <comment ref="V126" authorId="0" shapeId="0" xr:uid="{00000000-0006-0000-0C00-0000D3010000}">
      <text>
        <r>
          <rPr>
            <sz val="11"/>
            <rFont val="Calibri"/>
          </rPr>
          <t>6</t>
        </r>
      </text>
    </comment>
    <comment ref="J127" authorId="0" shapeId="0" xr:uid="{00000000-0006-0000-0C00-0000D4010000}">
      <text>
        <r>
          <rPr>
            <sz val="11"/>
            <rFont val="Calibri"/>
          </rPr>
          <t>3</t>
        </r>
      </text>
    </comment>
    <comment ref="K127" authorId="0" shapeId="0" xr:uid="{00000000-0006-0000-0C00-0000D5010000}">
      <text>
        <r>
          <rPr>
            <sz val="11"/>
            <rFont val="Calibri"/>
          </rPr>
          <t>3</t>
        </r>
      </text>
    </comment>
    <comment ref="L127" authorId="0" shapeId="0" xr:uid="{00000000-0006-0000-0C00-0000D6010000}">
      <text>
        <r>
          <rPr>
            <sz val="11"/>
            <rFont val="Calibri"/>
          </rPr>
          <t>4</t>
        </r>
      </text>
    </comment>
    <comment ref="M127" authorId="0" shapeId="0" xr:uid="{00000000-0006-0000-0C00-0000D7010000}">
      <text>
        <r>
          <rPr>
            <sz val="11"/>
            <rFont val="Calibri"/>
          </rPr>
          <t>23</t>
        </r>
      </text>
    </comment>
    <comment ref="N127" authorId="0" shapeId="0" xr:uid="{00000000-0006-0000-0C00-0000D8010000}">
      <text>
        <r>
          <rPr>
            <sz val="11"/>
            <rFont val="Calibri"/>
          </rPr>
          <t>43</t>
        </r>
      </text>
    </comment>
    <comment ref="O127" authorId="0" shapeId="0" xr:uid="{00000000-0006-0000-0C00-0000D9010000}">
      <text>
        <r>
          <rPr>
            <sz val="11"/>
            <rFont val="Calibri"/>
          </rPr>
          <t>83</t>
        </r>
      </text>
    </comment>
    <comment ref="P127" authorId="0" shapeId="0" xr:uid="{00000000-0006-0000-0C00-0000DA010000}">
      <text>
        <r>
          <rPr>
            <sz val="11"/>
            <rFont val="Calibri"/>
          </rPr>
          <t>99+</t>
        </r>
      </text>
    </comment>
    <comment ref="Q127" authorId="0" shapeId="0" xr:uid="{00000000-0006-0000-0C00-0000DB010000}">
      <text>
        <r>
          <rPr>
            <sz val="11"/>
            <rFont val="Calibri"/>
          </rPr>
          <t>92</t>
        </r>
      </text>
    </comment>
    <comment ref="R127" authorId="0" shapeId="0" xr:uid="{00000000-0006-0000-0C00-0000DC010000}">
      <text>
        <r>
          <rPr>
            <sz val="11"/>
            <rFont val="Calibri"/>
          </rPr>
          <t>60</t>
        </r>
      </text>
    </comment>
    <comment ref="S127" authorId="0" shapeId="0" xr:uid="{00000000-0006-0000-0C00-0000DD010000}">
      <text>
        <r>
          <rPr>
            <sz val="11"/>
            <rFont val="Calibri"/>
          </rPr>
          <t>10</t>
        </r>
      </text>
    </comment>
    <comment ref="U127" authorId="0" shapeId="0" xr:uid="{00000000-0006-0000-0C00-0000DE010000}">
      <text>
        <r>
          <rPr>
            <sz val="11"/>
            <rFont val="Calibri"/>
          </rPr>
          <t>6</t>
        </r>
      </text>
    </comment>
    <comment ref="V127" authorId="0" shapeId="0" xr:uid="{00000000-0006-0000-0C00-0000DF010000}">
      <text>
        <r>
          <rPr>
            <sz val="11"/>
            <rFont val="Calibri"/>
          </rPr>
          <t>3</t>
        </r>
      </text>
    </comment>
    <comment ref="K129" authorId="0" shapeId="0" xr:uid="{00000000-0006-0000-0C00-0000E0010000}">
      <text>
        <r>
          <rPr>
            <sz val="11"/>
            <rFont val="Calibri"/>
          </rPr>
          <t>17</t>
        </r>
      </text>
    </comment>
    <comment ref="L129" authorId="0" shapeId="0" xr:uid="{00000000-0006-0000-0C00-0000E1010000}">
      <text>
        <r>
          <rPr>
            <sz val="11"/>
            <rFont val="Calibri"/>
          </rPr>
          <t>69</t>
        </r>
      </text>
    </comment>
    <comment ref="M129" authorId="0" shapeId="0" xr:uid="{00000000-0006-0000-0C00-0000E2010000}">
      <text>
        <r>
          <rPr>
            <sz val="11"/>
            <rFont val="Calibri"/>
          </rPr>
          <t>54</t>
        </r>
      </text>
    </comment>
    <comment ref="N129" authorId="0" shapeId="0" xr:uid="{00000000-0006-0000-0C00-0000E3010000}">
      <text>
        <r>
          <rPr>
            <sz val="11"/>
            <rFont val="Calibri"/>
          </rPr>
          <t>39</t>
        </r>
      </text>
    </comment>
    <comment ref="O129" authorId="0" shapeId="0" xr:uid="{00000000-0006-0000-0C00-0000E4010000}">
      <text>
        <r>
          <rPr>
            <sz val="11"/>
            <rFont val="Calibri"/>
          </rPr>
          <t>18</t>
        </r>
      </text>
    </comment>
    <comment ref="J130" authorId="0" shapeId="0" xr:uid="{00000000-0006-0000-0C00-0000E5010000}">
      <text>
        <r>
          <rPr>
            <sz val="11"/>
            <rFont val="Calibri"/>
          </rPr>
          <t>23</t>
        </r>
      </text>
    </comment>
    <comment ref="N130" authorId="0" shapeId="0" xr:uid="{00000000-0006-0000-0C00-0000E6010000}">
      <text>
        <r>
          <rPr>
            <sz val="11"/>
            <rFont val="Calibri"/>
          </rPr>
          <t>99+</t>
        </r>
      </text>
    </comment>
    <comment ref="O130" authorId="0" shapeId="0" xr:uid="{00000000-0006-0000-0C00-0000E7010000}">
      <text>
        <r>
          <rPr>
            <sz val="11"/>
            <rFont val="Calibri"/>
          </rPr>
          <t>99+</t>
        </r>
      </text>
    </comment>
    <comment ref="J133" authorId="0" shapeId="0" xr:uid="{00000000-0006-0000-0C00-0000E8010000}">
      <text>
        <r>
          <rPr>
            <sz val="11"/>
            <rFont val="Calibri"/>
          </rPr>
          <t>99+</t>
        </r>
      </text>
    </comment>
  </commentList>
</comments>
</file>

<file path=xl/sharedStrings.xml><?xml version="1.0" encoding="utf-8"?>
<sst xmlns="http://schemas.openxmlformats.org/spreadsheetml/2006/main" count="24079" uniqueCount="4729">
  <si>
    <t>PRO Canada Spring 26 At Once English</t>
  </si>
  <si>
    <t>Sold-To (* Required)</t>
  </si>
  <si>
    <t>10193767</t>
  </si>
  <si>
    <t>Ship-To (* Required)</t>
  </si>
  <si>
    <t>PO # (* Required)</t>
  </si>
  <si>
    <t>Requested Ship Date (* Required)</t>
  </si>
  <si>
    <t>Cancel Date (* Required)</t>
  </si>
  <si>
    <t>Timberland PRO</t>
  </si>
  <si>
    <t>TOTALS:</t>
  </si>
  <si>
    <t/>
  </si>
  <si>
    <t>BLACKED OUT = NOT AVAILABLE</t>
  </si>
  <si>
    <t>Material Number</t>
  </si>
  <si>
    <t>Width</t>
  </si>
  <si>
    <t>Color</t>
  </si>
  <si>
    <t>Gender</t>
  </si>
  <si>
    <t>Description</t>
  </si>
  <si>
    <t>Unit Cost</t>
  </si>
  <si>
    <t>TTL QTY</t>
  </si>
  <si>
    <t>TOTAL COST</t>
  </si>
  <si>
    <t>Size</t>
  </si>
  <si>
    <t>7</t>
  </si>
  <si>
    <t>7.5</t>
  </si>
  <si>
    <t>8</t>
  </si>
  <si>
    <t>8.5</t>
  </si>
  <si>
    <t>9</t>
  </si>
  <si>
    <t>9.5</t>
  </si>
  <si>
    <t>10</t>
  </si>
  <si>
    <t>10.5</t>
  </si>
  <si>
    <t>11</t>
  </si>
  <si>
    <t>12</t>
  </si>
  <si>
    <t>13</t>
  </si>
  <si>
    <t>14</t>
  </si>
  <si>
    <t>15</t>
  </si>
  <si>
    <t xml:space="preserve"> &gt; Timberland PRO &gt; Footwear &gt; MENS &gt; MENS WORK SNEAKERS</t>
  </si>
  <si>
    <t>WIDE</t>
  </si>
  <si>
    <t>(EDU) CUIR PLEINE FLEUR BRUN MOYEN AVEC BLEU</t>
  </si>
  <si>
    <t>Mens</t>
  </si>
  <si>
    <t>BRIDGEPORT CT FP ESR CSA</t>
  </si>
  <si>
    <t>(EK5) BLACK LEATHER</t>
  </si>
  <si>
    <t>(EFB) BLACK W RED</t>
  </si>
  <si>
    <t>POWERTRAIN EV CT FP CSA</t>
  </si>
  <si>
    <t>(EEM) BLACK W GREY</t>
  </si>
  <si>
    <t>(EEA) BLACK MESH W ORANGE</t>
  </si>
  <si>
    <t>INTERCEPT ST SP ESR CSA</t>
  </si>
  <si>
    <t>(V96) BLACKOUT</t>
  </si>
  <si>
    <t>RADIUS CT FP CSA</t>
  </si>
  <si>
    <t>(001) BLACK</t>
  </si>
  <si>
    <t>RADIUS CT FP SD CSA</t>
  </si>
  <si>
    <t xml:space="preserve"> &gt; Timberland PRO &gt; Footwear &gt; MENS &gt; MENS WORK 8 INCH BOOTS</t>
  </si>
  <si>
    <t>3.5</t>
  </si>
  <si>
    <t>4</t>
  </si>
  <si>
    <t>4.5</t>
  </si>
  <si>
    <t>5</t>
  </si>
  <si>
    <t>5.5</t>
  </si>
  <si>
    <t>6</t>
  </si>
  <si>
    <t>6.5</t>
  </si>
  <si>
    <t>11.5</t>
  </si>
  <si>
    <t>MED</t>
  </si>
  <si>
    <t>(W02) BLACK FULL GRAIN</t>
  </si>
  <si>
    <t>8 IN GRISSOM CT FP CSA</t>
  </si>
  <si>
    <t>8 IN BOONDOCK ULTRALIGHT CT WP INS 200G CSA</t>
  </si>
  <si>
    <t>(EM4) CUIR PLEINE FLEUR BRUN MOYEN</t>
  </si>
  <si>
    <t>8 IN SIBERIAN CT INS 600G CSA</t>
  </si>
  <si>
    <t>8 IN ENDURANCE EV CT WP INS 200G CSA</t>
  </si>
  <si>
    <t>(W01) CUIR PLEIN FLEUR BRUN FONCÉ</t>
  </si>
  <si>
    <t>8 IN ENDURANCE EV CT CSA</t>
  </si>
  <si>
    <t>(ELE) Brown</t>
  </si>
  <si>
    <t>8 IN MAGNITUDE BOA CT WP FP CSA</t>
  </si>
  <si>
    <t>(214) BROWN</t>
  </si>
  <si>
    <t>8 IN MAGNITUDE CT WP FP CSA</t>
  </si>
  <si>
    <t>8 IN MAGNITUDE CT FP INS 200G CSA</t>
  </si>
  <si>
    <t>8 IN GRIDWORKS AL FP WP CSA</t>
  </si>
  <si>
    <t>8 IN TIMBERLAND PRO® ENDURANCE HD CT WP FP INS CSA 200G</t>
  </si>
  <si>
    <t>(270) BEIGE</t>
  </si>
  <si>
    <t>8 IN BOONDOCK CT FP CSA</t>
  </si>
  <si>
    <t>8IN BOONDOCK CT WP FP INS 200G CSA</t>
  </si>
  <si>
    <t>(231) BLÉ : BLÉ</t>
  </si>
  <si>
    <t>8 IN BOONDOCK CT WP FP INS 200G CSA</t>
  </si>
  <si>
    <t>(W02) Black</t>
  </si>
  <si>
    <t>8 IN BOONDOCK BOA CT WP FP CSA 400G</t>
  </si>
  <si>
    <t>8 IN BOONDOCK HD CT WP FP INS CSA 200G</t>
  </si>
  <si>
    <t>8 IN BOONDOCK CT WP FP INS CSA 1000G</t>
  </si>
  <si>
    <t>8 IN BOONDOCK CT WP FP INS CSA 200G</t>
  </si>
  <si>
    <t>8 IN ENDURANCE EV CT IMG WP CSA</t>
  </si>
  <si>
    <t>(EDW) Black</t>
  </si>
  <si>
    <t>8 IN BOONDOCK EMG CT FP INS CSA 200G</t>
  </si>
  <si>
    <t>8 IN  TIMBERLAND PRO® ENDURANCE HD EMG NT FP WP CSA</t>
  </si>
  <si>
    <t>8 IN  TIMBERLAND PRO® ENDURANCE HD IMG NT WP FP CSA</t>
  </si>
  <si>
    <t>8 IN BOONDOCK IMG CT FP ESR 200G CSA</t>
  </si>
  <si>
    <t xml:space="preserve"> &gt; Timberland PRO &gt; Footwear &gt; MENS &gt; MENS WORK SHOES</t>
  </si>
  <si>
    <t>DRIVETRAIN NT FP CSA</t>
  </si>
  <si>
    <t>DRIVETRAIN SLIPON NT FP CSA</t>
  </si>
  <si>
    <t>TIMBERLAND PRO® ENDURANCE OX AL SP CSA</t>
  </si>
  <si>
    <t>INTERCEPT OX ST SP CSA</t>
  </si>
  <si>
    <t>(065) GREY</t>
  </si>
  <si>
    <t xml:space="preserve"> &gt; Timberland PRO &gt; Footwear &gt; MENS &gt; MENS WORK 6 INCH BOOTS</t>
  </si>
  <si>
    <t>6 IN BOONDOCK ULTRALIGHT CT WP CSA</t>
  </si>
  <si>
    <t>(EDX) BLACK FULL GRAIN W GREY</t>
  </si>
  <si>
    <t>(ENR) BLACKOUT LEATHER</t>
  </si>
  <si>
    <t>6 IN BOA MORPHIX CT WP FP ESR CSA</t>
  </si>
  <si>
    <t>(EM6) CUIR PLEINE FLEUR ROUILLE</t>
  </si>
  <si>
    <t>6 IN TEMPE CT WP SP ESR CSA</t>
  </si>
  <si>
    <t>6 IN TITAN EV CT WP SP CSA</t>
  </si>
  <si>
    <t>6 IN MAGNITUDE CT FP WP CSA</t>
  </si>
  <si>
    <t>(EM4) Brown:Mocha</t>
  </si>
  <si>
    <t>6 IN BOONDOCK BOA CT WP FP CSA</t>
  </si>
  <si>
    <t>6 IN BOONDOCK CT WP FP CSA</t>
  </si>
  <si>
    <t>6 IN ICONIC WORK BOOT AL WP SP CSA</t>
  </si>
  <si>
    <t xml:space="preserve"> &gt; Timberland PRO &gt; Footwear &gt; MENS &gt; MENS WORK MID BOOTS</t>
  </si>
  <si>
    <t>NASHOBA CHELSEA NT FP CSA</t>
  </si>
  <si>
    <t>6 IN TIMBERLAND PRO® ENDURANCE EV CT SP WP CSA</t>
  </si>
  <si>
    <t xml:space="preserve"> &gt; Timberland PRO &gt; Footwear &gt; MENS &gt; MENS WORK SNEAKER BOOTS</t>
  </si>
  <si>
    <t>(EL0) BLACK RIPSTOP</t>
  </si>
  <si>
    <t>INTERCEPT PR</t>
  </si>
  <si>
    <t xml:space="preserve"> &gt; Timberland PRO &gt; Footwear &gt; MENS &gt; MENS WORK HIKING BOOTS</t>
  </si>
  <si>
    <t>REAXION NT FP CSA</t>
  </si>
  <si>
    <t>SWITCHBACK CT FP WP CSA</t>
  </si>
  <si>
    <t>SWITCHBACK LT ST SP WP CSA</t>
  </si>
  <si>
    <t>SWITCHBACK LT ST SP CSA</t>
  </si>
  <si>
    <t>(EPB) CUIR BRUN MOYEN TEMPE</t>
  </si>
  <si>
    <t>TEMPE 6IN AT SP WP CSA</t>
  </si>
  <si>
    <t>TEMPE 6IN AT SP CSA</t>
  </si>
  <si>
    <t xml:space="preserve"> &gt; Timberland PRO &gt; Footwear &gt; MENS &gt; MENS WORK PULL ON BOOTS</t>
  </si>
  <si>
    <t>TRUE GRIT PULL ON BOA CT WP FP ESR CSA</t>
  </si>
  <si>
    <t>TRUE GRIT PULL ON NT WP FP CSA</t>
  </si>
  <si>
    <t>BOONDOCK PULLON CT FP WP INS CSA 200G</t>
  </si>
  <si>
    <t xml:space="preserve"> &gt; Timberland PRO &gt; Footwear &gt; MENS &gt; MENS WORK SPECIALTY FOOTWEAR</t>
  </si>
  <si>
    <t>16</t>
  </si>
  <si>
    <t>10IN PAC MAX CT WP FP CSA</t>
  </si>
  <si>
    <t xml:space="preserve"> &gt; Timberland PRO &gt; Footwear &gt; WOMENS &gt; WOMENS WORK 8 INCH BOOTS</t>
  </si>
  <si>
    <t>Womens</t>
  </si>
  <si>
    <t>8 IN TIMBERLAND PRO® ENDURANCE HD NT WP FP CSA INS 200G</t>
  </si>
  <si>
    <t>(231) BLÉ : BLÉ ASPECT USÉ</t>
  </si>
  <si>
    <t xml:space="preserve"> &gt; Timberland PRO &gt; Footwear &gt; WOMENS &gt; WOMENS WORK MID BOOTS</t>
  </si>
  <si>
    <t xml:space="preserve"> &gt; Timberland PRO &gt; Footwear &gt; WOMENS &gt; WOMENS WORK SNEAKERS</t>
  </si>
  <si>
    <t>(ECS) BLACK W MD PURPLE</t>
  </si>
  <si>
    <t xml:space="preserve"> &gt; Timberland PRO &gt; Footwear &gt; WOMENS &gt; WOMENS WORK 6 INCH BOOTS</t>
  </si>
  <si>
    <t xml:space="preserve"> &gt; Timberland PRO &gt; Footwear &gt; WOMENS &gt; WOMENS WORK SNEAKER BOOTS</t>
  </si>
  <si>
    <t>INTERCEPT MID ST SP CSA</t>
  </si>
  <si>
    <t xml:space="preserve"> &gt; Timberland PRO &gt; Apparel &gt; WOMENS &gt; WOMENS WORK PANTS</t>
  </si>
  <si>
    <t>2</t>
  </si>
  <si>
    <t>REG</t>
  </si>
  <si>
    <t>WOMEN'S JOGGER</t>
  </si>
  <si>
    <t xml:space="preserve"> &gt; Timberland PRO &gt; Apparel &gt; MENS &gt; MENS WORK PANTS</t>
  </si>
  <si>
    <t>28</t>
  </si>
  <si>
    <t>30</t>
  </si>
  <si>
    <t>31</t>
  </si>
  <si>
    <t>32</t>
  </si>
  <si>
    <t>33</t>
  </si>
  <si>
    <t>34</t>
  </si>
  <si>
    <t>36</t>
  </si>
  <si>
    <t>38</t>
  </si>
  <si>
    <t>40</t>
  </si>
  <si>
    <t>42</t>
  </si>
  <si>
    <t>44</t>
  </si>
  <si>
    <t>46</t>
  </si>
  <si>
    <t>48</t>
  </si>
  <si>
    <t>50</t>
  </si>
  <si>
    <t>52</t>
  </si>
  <si>
    <t>54</t>
  </si>
  <si>
    <t>56</t>
  </si>
  <si>
    <t>58</t>
  </si>
  <si>
    <t>60</t>
  </si>
  <si>
    <t>(D02) BLÉ FONCÉ</t>
  </si>
  <si>
    <t>GRITFLEX UTILITY PANT</t>
  </si>
  <si>
    <t>37</t>
  </si>
  <si>
    <t xml:space="preserve"> &gt; Timberland PRO &gt; Apparel &gt; MENS &gt; MENS WORK NON WATERPROOF JACKET</t>
  </si>
  <si>
    <t>S</t>
  </si>
  <si>
    <t>M</t>
  </si>
  <si>
    <t>L</t>
  </si>
  <si>
    <t>XL</t>
  </si>
  <si>
    <t>XXL</t>
  </si>
  <si>
    <t>IRONHIDE HOODED INSULATED JACKET</t>
  </si>
  <si>
    <t xml:space="preserve"> &gt; Timberland PRO &gt; Accessories &gt; MENS &gt; MENS WORK BOOT LINERS</t>
  </si>
  <si>
    <t>(827) ORANGE</t>
  </si>
  <si>
    <t>10 IN PAC MAX HEAVY WEIGHT LINER</t>
  </si>
  <si>
    <t>(484) BLEU : BLEU ET NOIR</t>
  </si>
  <si>
    <t>10 IN PAC MAX MID WEIGHT LINER</t>
  </si>
  <si>
    <t xml:space="preserve"> &gt; Timberland PRO &gt; Accessories &gt; ADULT UNISEX &gt; MENS WORK INSOLES</t>
  </si>
  <si>
    <t>XS</t>
  </si>
  <si>
    <t>(EOQ) Assise plantaire Timberland PRO® BLEU PÂLE</t>
  </si>
  <si>
    <t>Adult Unisex</t>
  </si>
  <si>
    <t>ASSISE PLANTAIRE AÉRÉE À TECHNOLOGIE ANTIFATIGUE</t>
  </si>
  <si>
    <t>ANTI-FATIGUE TECHNOLOGY FOOTBED</t>
  </si>
  <si>
    <t>ANTI-FATIGUE TECHNOLOGY ESD FOOTBED</t>
  </si>
  <si>
    <t xml:space="preserve"> &gt; Timberland PRO &gt; Accessories &gt; ADULT UNISEX &gt; MENS WORK MISC ACC</t>
  </si>
  <si>
    <t>OS</t>
  </si>
  <si>
    <t>(000) NO COLOR</t>
  </si>
  <si>
    <t>PRO CLEANING KIT</t>
  </si>
  <si>
    <t>SUBTOTAL</t>
  </si>
  <si>
    <t>TOTAL PAIRS</t>
  </si>
  <si>
    <t>Req. Ship Date</t>
  </si>
  <si>
    <t>Material</t>
  </si>
  <si>
    <t>Name</t>
  </si>
  <si>
    <t>Units</t>
  </si>
  <si>
    <t>Dollars</t>
  </si>
  <si>
    <t>ASHER</t>
  </si>
  <si>
    <t>ATWOOD</t>
  </si>
  <si>
    <t>DOHENY</t>
  </si>
  <si>
    <t>WARD</t>
  </si>
  <si>
    <t>WARD HI</t>
  </si>
  <si>
    <t>ORDER SUMMARY</t>
  </si>
  <si>
    <t>Created by</t>
  </si>
  <si>
    <t>Created on</t>
  </si>
  <si>
    <t>Quantity</t>
  </si>
  <si>
    <t>Amount</t>
  </si>
  <si>
    <t>Sold-To</t>
  </si>
  <si>
    <t>Billing Address</t>
  </si>
  <si>
    <t>Ship-To</t>
  </si>
  <si>
    <t>Shipping Address</t>
  </si>
  <si>
    <t>SUMMARY BY DELIVERY</t>
  </si>
  <si>
    <t>PO #</t>
  </si>
  <si>
    <t>Cancel Date</t>
  </si>
  <si>
    <t>SKU Count</t>
  </si>
  <si>
    <t>SUMMARY BY CATEGORY</t>
  </si>
  <si>
    <t>Category</t>
  </si>
  <si>
    <t>Terms &amp; Conditions</t>
  </si>
  <si>
    <t xml:space="preserve"> </t>
  </si>
  <si>
    <t>Order1</t>
  </si>
  <si>
    <t>Soldto</t>
  </si>
  <si>
    <t>Shipto</t>
  </si>
  <si>
    <t>PONumber</t>
  </si>
  <si>
    <t>ShipRequiredDate</t>
  </si>
  <si>
    <t>ShipNotBeforeDate</t>
  </si>
  <si>
    <t>ShipCancelDate</t>
  </si>
  <si>
    <t>ShipMethod</t>
  </si>
  <si>
    <t>TB0A417GEDU107000W</t>
  </si>
  <si>
    <t>TB0A417GEDU107500W</t>
  </si>
  <si>
    <t>TB0A417GEDU108000W</t>
  </si>
  <si>
    <t>TB0A417GEDU108500W</t>
  </si>
  <si>
    <t>TB0A417GEDU109000W</t>
  </si>
  <si>
    <t>TB0A417GEDU109500W</t>
  </si>
  <si>
    <t>TB0A417GEDU110000W</t>
  </si>
  <si>
    <t>TB0A417GEDU110500W</t>
  </si>
  <si>
    <t>TB0A417GEDU111000W</t>
  </si>
  <si>
    <t>TB0A417GEDU112000W</t>
  </si>
  <si>
    <t>TB0A417GEDU113000W</t>
  </si>
  <si>
    <t>TB0A417GEDU114000W</t>
  </si>
  <si>
    <t>TB0A417GEDU115000W</t>
  </si>
  <si>
    <t>TB0A417GEK5107000W</t>
  </si>
  <si>
    <t>TB0A417GEK5107500W</t>
  </si>
  <si>
    <t>TB0A417GEK5108000W</t>
  </si>
  <si>
    <t>TB0A417GEK5108500W</t>
  </si>
  <si>
    <t>TB0A417GEK5109000W</t>
  </si>
  <si>
    <t>TB0A417GEK5109500W</t>
  </si>
  <si>
    <t>TB0A417GEK5110000W</t>
  </si>
  <si>
    <t>TB0A417GEK5110500W</t>
  </si>
  <si>
    <t>TB0A417GEK5111000W</t>
  </si>
  <si>
    <t>TB0A417GEK5112000W</t>
  </si>
  <si>
    <t>TB0A417GEK5113000W</t>
  </si>
  <si>
    <t>TB0A417GEK5114000W</t>
  </si>
  <si>
    <t>TB0A417GEK5115000W</t>
  </si>
  <si>
    <t>TB0A66SKEFB107000W</t>
  </si>
  <si>
    <t>TB0A66SKEFB107500W</t>
  </si>
  <si>
    <t>TB0A66SKEFB108000W</t>
  </si>
  <si>
    <t>TB0A66SKEFB108500W</t>
  </si>
  <si>
    <t>TB0A66SKEFB109000W</t>
  </si>
  <si>
    <t>TB0A66SKEFB109500W</t>
  </si>
  <si>
    <t>TB0A66SKEFB110000W</t>
  </si>
  <si>
    <t>TB0A66SKEFB110500W</t>
  </si>
  <si>
    <t>TB0A66SKEFB111000W</t>
  </si>
  <si>
    <t>TB0A66SKEFB112000W</t>
  </si>
  <si>
    <t>TB0A66SKEFB113000W</t>
  </si>
  <si>
    <t>TB0A66SKEFB114000W</t>
  </si>
  <si>
    <t>TB0A66SKEFB115000W</t>
  </si>
  <si>
    <t>TB0A66SKEEM107000W</t>
  </si>
  <si>
    <t>TB0A66SKEEM107500W</t>
  </si>
  <si>
    <t>TB0A66SKEEM108000W</t>
  </si>
  <si>
    <t>TB0A66SKEEM108500W</t>
  </si>
  <si>
    <t>TB0A66SKEEM109000W</t>
  </si>
  <si>
    <t>TB0A66SKEEM109500W</t>
  </si>
  <si>
    <t>TB0A66SKEEM110000W</t>
  </si>
  <si>
    <t>TB0A66SKEEM110500W</t>
  </si>
  <si>
    <t>TB0A66SKEEM111000W</t>
  </si>
  <si>
    <t>TB0A66SKEEM112000W</t>
  </si>
  <si>
    <t>TB0A66SKEEM113000W</t>
  </si>
  <si>
    <t>TB0A66SKEEM114000W</t>
  </si>
  <si>
    <t>TB0A66SKEEM115000W</t>
  </si>
  <si>
    <t>TB0A44QYEEA107000W</t>
  </si>
  <si>
    <t>TB0A44QYEEA107500W</t>
  </si>
  <si>
    <t>TB0A44QYEEA108000W</t>
  </si>
  <si>
    <t>TB0A44QYEEA108500W</t>
  </si>
  <si>
    <t>TB0A44QYEEA109000W</t>
  </si>
  <si>
    <t>TB0A44QYEEA109500W</t>
  </si>
  <si>
    <t>TB0A44QYEEA110000W</t>
  </si>
  <si>
    <t>TB0A44QYEEA110500W</t>
  </si>
  <si>
    <t>TB0A44QYEEA111000W</t>
  </si>
  <si>
    <t>TB0A44QYEEA112000W</t>
  </si>
  <si>
    <t>TB0A44QYEEA113000W</t>
  </si>
  <si>
    <t>TB0A44QYEEA114000W</t>
  </si>
  <si>
    <t>TB0A44QYEEA115000W</t>
  </si>
  <si>
    <t>TB0A66WBV96115000W</t>
  </si>
  <si>
    <t>TB1A2A55001107000W</t>
  </si>
  <si>
    <t>TB1A2A55001107500W</t>
  </si>
  <si>
    <t>TB1A2A55001108000W</t>
  </si>
  <si>
    <t>TB1A2A55001108500W</t>
  </si>
  <si>
    <t>TB1A2A55001109000W</t>
  </si>
  <si>
    <t>TB1A2A55001109500W</t>
  </si>
  <si>
    <t>TB1A2A55001110000W</t>
  </si>
  <si>
    <t>TB1A2A55001110500W</t>
  </si>
  <si>
    <t>TB1A2A55001111000W</t>
  </si>
  <si>
    <t>TB1A2A55001112000W</t>
  </si>
  <si>
    <t>TB1A2A55001113000W</t>
  </si>
  <si>
    <t>TB1A2A55001114000W</t>
  </si>
  <si>
    <t>TB1A2A55001115000W</t>
  </si>
  <si>
    <t>TB0A66EBW02111500M</t>
  </si>
  <si>
    <t>TB0A66EBW02107000W</t>
  </si>
  <si>
    <t>TB0A66EBW02107500W</t>
  </si>
  <si>
    <t>TB0A66EBW02108000W</t>
  </si>
  <si>
    <t>TB0A66EBW02108500W</t>
  </si>
  <si>
    <t>TB0A66EBW02109000W</t>
  </si>
  <si>
    <t>TB0A66EBW02109500W</t>
  </si>
  <si>
    <t>TB0A66EBW02110000W</t>
  </si>
  <si>
    <t>TB0A66EBW02110500W</t>
  </si>
  <si>
    <t>TB0A66EBW02111000W</t>
  </si>
  <si>
    <t>TB0A66EBW02111500W</t>
  </si>
  <si>
    <t>TB0A66EBW02112000W</t>
  </si>
  <si>
    <t>TB0A66EBW02113000W</t>
  </si>
  <si>
    <t>TB0A66EBW02114000W</t>
  </si>
  <si>
    <t>TB0A66EBW02115000W</t>
  </si>
  <si>
    <t>TB0A64A7W02107000W</t>
  </si>
  <si>
    <t>TB0A64A7W02107500W</t>
  </si>
  <si>
    <t>TB0A64A7W02108000W</t>
  </si>
  <si>
    <t>TB0A64A7W02108500W</t>
  </si>
  <si>
    <t>TB0A64A7W02109000W</t>
  </si>
  <si>
    <t>TB0A64A7W02109500W</t>
  </si>
  <si>
    <t>TB0A64A7W02110000W</t>
  </si>
  <si>
    <t>TB0A64A7W02110500W</t>
  </si>
  <si>
    <t>TB0A64A7W02111000W</t>
  </si>
  <si>
    <t>TB0A64A7W02112000W</t>
  </si>
  <si>
    <t>TB0A64A7W02113000W</t>
  </si>
  <si>
    <t>TB0A64A7W02114000W</t>
  </si>
  <si>
    <t>TB0A64A7W02115000W</t>
  </si>
  <si>
    <t>TB0A63PUEM4103500M</t>
  </si>
  <si>
    <t>TB0A63PUEM4104000M</t>
  </si>
  <si>
    <t>TB0A63PUEM4104500M</t>
  </si>
  <si>
    <t>TB0A63PUEM4105000M</t>
  </si>
  <si>
    <t>TB0A63PUEM4105500M</t>
  </si>
  <si>
    <t>TB0A63PUEM4106000M</t>
  </si>
  <si>
    <t>TB0A63PUEM4106500M</t>
  </si>
  <si>
    <t>TB0A63PUEM4107000M</t>
  </si>
  <si>
    <t>TB0A63PUEM4107500M</t>
  </si>
  <si>
    <t>TB0A63PUEM4108000M</t>
  </si>
  <si>
    <t>TB0A63PUEM4108500M</t>
  </si>
  <si>
    <t>TB0A63PUEM4109000M</t>
  </si>
  <si>
    <t>TB0A63PUEM4109500M</t>
  </si>
  <si>
    <t>TB0A63PUEM4110000M</t>
  </si>
  <si>
    <t>TB0A63PUEM4110500M</t>
  </si>
  <si>
    <t>TB0A63PUEM4111000M</t>
  </si>
  <si>
    <t>TB0A63PUEM4111500M</t>
  </si>
  <si>
    <t>TB0A63PUEM4112000M</t>
  </si>
  <si>
    <t>TB0A63PUEM4113000M</t>
  </si>
  <si>
    <t>TB0A63PUEM4114000M</t>
  </si>
  <si>
    <t>TB0A63PUEM4115000M</t>
  </si>
  <si>
    <t>TB0A63PUEM4103500W</t>
  </si>
  <si>
    <t>TB0A63PUEM4104000W</t>
  </si>
  <si>
    <t>TB0A63PUEM4104500W</t>
  </si>
  <si>
    <t>TB0A63PUEM4105000W</t>
  </si>
  <si>
    <t>TB0A63PUEM4105500W</t>
  </si>
  <si>
    <t>TB0A63PUEM4106000W</t>
  </si>
  <si>
    <t>TB0A63PUEM4106500W</t>
  </si>
  <si>
    <t>TB0A63PUEM4107000W</t>
  </si>
  <si>
    <t>TB0A63PUEM4107500W</t>
  </si>
  <si>
    <t>TB0A63PUEM4108000W</t>
  </si>
  <si>
    <t>TB0A63PUEM4108500W</t>
  </si>
  <si>
    <t>TB0A63PUEM4109000W</t>
  </si>
  <si>
    <t>TB0A63PUEM4109500W</t>
  </si>
  <si>
    <t>TB0A63PUEM4110000W</t>
  </si>
  <si>
    <t>TB0A63PUEM4110500W</t>
  </si>
  <si>
    <t>TB0A63PUEM4111000W</t>
  </si>
  <si>
    <t>TB0A63PUEM4111500W</t>
  </si>
  <si>
    <t>TB0A63PUEM4112000W</t>
  </si>
  <si>
    <t>TB0A63PUEM4113000W</t>
  </si>
  <si>
    <t>TB0A63PUEM4114000W</t>
  </si>
  <si>
    <t>TB0A63PUEM4115000W</t>
  </si>
  <si>
    <t>TB0A63PUW02107000W</t>
  </si>
  <si>
    <t>TB0A63PUW02107500W</t>
  </si>
  <si>
    <t>TB0A63PUW02108000W</t>
  </si>
  <si>
    <t>TB0A63PUW02108500W</t>
  </si>
  <si>
    <t>TB0A63PUW02109000W</t>
  </si>
  <si>
    <t>TB0A63PUW02109500W</t>
  </si>
  <si>
    <t>TB0A63PUW02110000W</t>
  </si>
  <si>
    <t>TB0A63PUW02110500W</t>
  </si>
  <si>
    <t>TB0A63PUW02111000W</t>
  </si>
  <si>
    <t>TB0A63PUW02111500W</t>
  </si>
  <si>
    <t>TB0A63PUW02112000W</t>
  </si>
  <si>
    <t>TB0A63PUW02113000W</t>
  </si>
  <si>
    <t>TB0A63PUW02114000W</t>
  </si>
  <si>
    <t>TB0A63PUW02115000W</t>
  </si>
  <si>
    <t>TB0A67TQEM4107000M</t>
  </si>
  <si>
    <t>TB0A67TQEM4107500M</t>
  </si>
  <si>
    <t>TB0A67TQEM4108000M</t>
  </si>
  <si>
    <t>TB0A67TQEM4108500M</t>
  </si>
  <si>
    <t>TB0A67TQEM4109000M</t>
  </si>
  <si>
    <t>TB0A67TQEM4109500M</t>
  </si>
  <si>
    <t>TB0A67TQEM4110000M</t>
  </si>
  <si>
    <t>TB0A67TQEM4110500M</t>
  </si>
  <si>
    <t>TB0A67TQEM4111000M</t>
  </si>
  <si>
    <t>TB0A67TQEM4111500M</t>
  </si>
  <si>
    <t>TB0A67TQEM4112000M</t>
  </si>
  <si>
    <t>TB0A67TQEM4113000M</t>
  </si>
  <si>
    <t>TB0A67TQEM4114000M</t>
  </si>
  <si>
    <t>TB0A67TQEM4111500W</t>
  </si>
  <si>
    <t>TB0A639QW01107000M</t>
  </si>
  <si>
    <t>TB0A639QW01107500M</t>
  </si>
  <si>
    <t>TB0A639QW01108000M</t>
  </si>
  <si>
    <t>TB0A639QW01108500M</t>
  </si>
  <si>
    <t>TB0A639QW01109000M</t>
  </si>
  <si>
    <t>TB0A639QW01109500M</t>
  </si>
  <si>
    <t>TB0A639QW01110000M</t>
  </si>
  <si>
    <t>TB0A639QW01110500M</t>
  </si>
  <si>
    <t>TB0A639QW01111000M</t>
  </si>
  <si>
    <t>TB0A639QW01111500M</t>
  </si>
  <si>
    <t>TB0A639QW01111500W</t>
  </si>
  <si>
    <t>TB0A66MKELE107000M</t>
  </si>
  <si>
    <t>TB0A66MKELE107500M</t>
  </si>
  <si>
    <t>TB0A66MKELE108000M</t>
  </si>
  <si>
    <t>TB0A66MKELE108500M</t>
  </si>
  <si>
    <t>TB0A66MKELE109000M</t>
  </si>
  <si>
    <t>TB0A66MKELE109500M</t>
  </si>
  <si>
    <t>TB0A66MKELE110000M</t>
  </si>
  <si>
    <t>TB0A66MKELE110500M</t>
  </si>
  <si>
    <t>TB0A66MKELE111000M</t>
  </si>
  <si>
    <t>TB0A66MKELE111500M</t>
  </si>
  <si>
    <t>TB0A66MKELE112000M</t>
  </si>
  <si>
    <t>TB0A66MKELE113000M</t>
  </si>
  <si>
    <t>TB0A66MKELE114000M</t>
  </si>
  <si>
    <t>TB0A66MKELE115000M</t>
  </si>
  <si>
    <t>TB0A66MKELE107000W</t>
  </si>
  <si>
    <t>TB0A66MKELE107500W</t>
  </si>
  <si>
    <t>TB0A66MKELE108000W</t>
  </si>
  <si>
    <t>TB0A66MKELE108500W</t>
  </si>
  <si>
    <t>TB0A66MKELE109000W</t>
  </si>
  <si>
    <t>TB0A66MKELE109500W</t>
  </si>
  <si>
    <t>TB0A66MKELE110000W</t>
  </si>
  <si>
    <t>TB0A66MKELE110500W</t>
  </si>
  <si>
    <t>TB0A66MKELE111000W</t>
  </si>
  <si>
    <t>TB0A66MKELE111500W</t>
  </si>
  <si>
    <t>TB0A66MKELE112000W</t>
  </si>
  <si>
    <t>TB0A66MKELE113000W</t>
  </si>
  <si>
    <t>TB0A66MKELE114000W</t>
  </si>
  <si>
    <t>TB0A66MKELE115000W</t>
  </si>
  <si>
    <t>TB1A5M6J214107000W</t>
  </si>
  <si>
    <t>TB1A5M6J214107500W</t>
  </si>
  <si>
    <t>TB1A5M6J214108000W</t>
  </si>
  <si>
    <t>TB1A5M6J214108500W</t>
  </si>
  <si>
    <t>TB1A5M6J214109000W</t>
  </si>
  <si>
    <t>TB1A5M6J214109500W</t>
  </si>
  <si>
    <t>TB1A5M6J214110000W</t>
  </si>
  <si>
    <t>TB1A5M6J214110500W</t>
  </si>
  <si>
    <t>TB1A5M6J214111000W</t>
  </si>
  <si>
    <t>TB1A5M6J214112000W</t>
  </si>
  <si>
    <t>TB1A5M6J214113000W</t>
  </si>
  <si>
    <t>TB1A5M6J214114000W</t>
  </si>
  <si>
    <t>TB1A5M6J214115000W</t>
  </si>
  <si>
    <t>TB1A5X27001115000W</t>
  </si>
  <si>
    <t>TB1A12EO001107000W</t>
  </si>
  <si>
    <t>TB1A12EO001107500W</t>
  </si>
  <si>
    <t>TB1A12EO001108000W</t>
  </si>
  <si>
    <t>TB1A12EO001108500W</t>
  </si>
  <si>
    <t>TB1A12EO001109000W</t>
  </si>
  <si>
    <t>TB1A12EO001109500W</t>
  </si>
  <si>
    <t>TB1A12EO001110000W</t>
  </si>
  <si>
    <t>TB1A12EO001110500W</t>
  </si>
  <si>
    <t>TB1A12EO001111000W</t>
  </si>
  <si>
    <t>TB1A12EO001112000W</t>
  </si>
  <si>
    <t>TB1A12EO001113000W</t>
  </si>
  <si>
    <t>TB1A12EO001114000W</t>
  </si>
  <si>
    <t>TB1A12EO001115000W</t>
  </si>
  <si>
    <t>TB1A12EZ214107000W</t>
  </si>
  <si>
    <t>TB1A12EZ214107500W</t>
  </si>
  <si>
    <t>TB1A12EZ214108000W</t>
  </si>
  <si>
    <t>TB1A12EZ214108500W</t>
  </si>
  <si>
    <t>TB1A12EZ214109000W</t>
  </si>
  <si>
    <t>TB1A12EZ214109500W</t>
  </si>
  <si>
    <t>TB1A12EZ214110000W</t>
  </si>
  <si>
    <t>TB1A12EZ214110500W</t>
  </si>
  <si>
    <t>TB1A12EZ214111000W</t>
  </si>
  <si>
    <t>TB1A12EZ214112000W</t>
  </si>
  <si>
    <t>TB1A12EZ214113000W</t>
  </si>
  <si>
    <t>TB1A12EZ214114000W</t>
  </si>
  <si>
    <t>TB1A12EZ214115000W</t>
  </si>
  <si>
    <t>TB1A1Q6Z001107000W</t>
  </si>
  <si>
    <t>TB1A1Q6Z001107500W</t>
  </si>
  <si>
    <t>TB1A1Q6Z001108000W</t>
  </si>
  <si>
    <t>TB1A1Q6Z001108500W</t>
  </si>
  <si>
    <t>TB1A1Q6Z001109000W</t>
  </si>
  <si>
    <t>TB1A1Q6Z001109500W</t>
  </si>
  <si>
    <t>TB1A1Q6Z001110000W</t>
  </si>
  <si>
    <t>TB1A1Q6Z001110500W</t>
  </si>
  <si>
    <t>TB1A1Q6Z001111000W</t>
  </si>
  <si>
    <t>TB1A1Q6Z001112000W</t>
  </si>
  <si>
    <t>TB1A1Q6Z001113000W</t>
  </si>
  <si>
    <t>TB1A1Q6Z001114000W</t>
  </si>
  <si>
    <t>TB1A1Q6Z001115000W</t>
  </si>
  <si>
    <t>TB1A1RW2214107000W</t>
  </si>
  <si>
    <t>TB1A1RW2214107500W</t>
  </si>
  <si>
    <t>TB1A1RW2214108000W</t>
  </si>
  <si>
    <t>TB1A1RW2214108500W</t>
  </si>
  <si>
    <t>TB1A1RW2214109000W</t>
  </si>
  <si>
    <t>TB1A1RW2214109500W</t>
  </si>
  <si>
    <t>TB1A1RW2214110000W</t>
  </si>
  <si>
    <t>TB1A1RW2214110500W</t>
  </si>
  <si>
    <t>TB1A1RW2214111000W</t>
  </si>
  <si>
    <t>TB1A1RW2214112000W</t>
  </si>
  <si>
    <t>TB1A1RW2214113000W</t>
  </si>
  <si>
    <t>TB1A1RW2214114000W</t>
  </si>
  <si>
    <t>TB1A1RW2214115000W</t>
  </si>
  <si>
    <t>TB1A1V3W270107000W</t>
  </si>
  <si>
    <t>TB1A1V3W270107500W</t>
  </si>
  <si>
    <t>TB1A1V3W270108000W</t>
  </si>
  <si>
    <t>TB1A1V3W270108500W</t>
  </si>
  <si>
    <t>TB1A1V3W270109000W</t>
  </si>
  <si>
    <t>TB1A1V3W270109500W</t>
  </si>
  <si>
    <t>TB1A1V3W270110000W</t>
  </si>
  <si>
    <t>TB1A1V3W270110500W</t>
  </si>
  <si>
    <t>TB1A1V3W270111000W</t>
  </si>
  <si>
    <t>TB1A1V3W270112000W</t>
  </si>
  <si>
    <t>TB1A1V3W270113000W</t>
  </si>
  <si>
    <t>TB1A1V3W270114000W</t>
  </si>
  <si>
    <t>TB1A1V3W270115000W</t>
  </si>
  <si>
    <t>TB1A2APK001107000W</t>
  </si>
  <si>
    <t>TB1A2APK001107500W</t>
  </si>
  <si>
    <t>TB1A2APK001108000W</t>
  </si>
  <si>
    <t>TB1A2APK001108500W</t>
  </si>
  <si>
    <t>TB1A2APK001109000W</t>
  </si>
  <si>
    <t>TB1A2APK001109500W</t>
  </si>
  <si>
    <t>TB1A2APK001110000W</t>
  </si>
  <si>
    <t>TB1A2APK001110500W</t>
  </si>
  <si>
    <t>TB1A2APK001111000W</t>
  </si>
  <si>
    <t>TB1A2APK001112000W</t>
  </si>
  <si>
    <t>TB1A2APK001113000W</t>
  </si>
  <si>
    <t>TB1A2APK001114000W</t>
  </si>
  <si>
    <t>TB1A2APK001115000W</t>
  </si>
  <si>
    <t>TB189645001107000W</t>
  </si>
  <si>
    <t>TB189645001107500W</t>
  </si>
  <si>
    <t>TB189645001108000W</t>
  </si>
  <si>
    <t>TB189645001108500W</t>
  </si>
  <si>
    <t>TB189645001109000W</t>
  </si>
  <si>
    <t>TB189645001109500W</t>
  </si>
  <si>
    <t>TB189645001110000W</t>
  </si>
  <si>
    <t>TB189645001110500W</t>
  </si>
  <si>
    <t>TB189645001111000W</t>
  </si>
  <si>
    <t>TB189645001111500W</t>
  </si>
  <si>
    <t>TB189645001112000W</t>
  </si>
  <si>
    <t>TB189645001113000W</t>
  </si>
  <si>
    <t>TB189645001114000W</t>
  </si>
  <si>
    <t>TB189645001115000W</t>
  </si>
  <si>
    <t>TB189646214107000M</t>
  </si>
  <si>
    <t>TB189646214107500M</t>
  </si>
  <si>
    <t>TB189646214108000M</t>
  </si>
  <si>
    <t>TB189646214108500M</t>
  </si>
  <si>
    <t>TB189646214109000M</t>
  </si>
  <si>
    <t>TB189646214109500M</t>
  </si>
  <si>
    <t>TB189646214110000M</t>
  </si>
  <si>
    <t>TB189646214110500M</t>
  </si>
  <si>
    <t>TB189646214111000M</t>
  </si>
  <si>
    <t>TB189646214111500M</t>
  </si>
  <si>
    <t>TB189646214112000M</t>
  </si>
  <si>
    <t>TB189646214113000M</t>
  </si>
  <si>
    <t>TB189646214114000M</t>
  </si>
  <si>
    <t>TB189646214115000M</t>
  </si>
  <si>
    <t>TB189646214107000W</t>
  </si>
  <si>
    <t>TB189646214107500W</t>
  </si>
  <si>
    <t>TB189646214108000W</t>
  </si>
  <si>
    <t>TB189646214108500W</t>
  </si>
  <si>
    <t>TB189646214109000W</t>
  </si>
  <si>
    <t>TB189646214109500W</t>
  </si>
  <si>
    <t>TB189646214110000W</t>
  </si>
  <si>
    <t>TB189646214110500W</t>
  </si>
  <si>
    <t>TB189646214111000W</t>
  </si>
  <si>
    <t>TB189646214111500W</t>
  </si>
  <si>
    <t>TB189646214112000W</t>
  </si>
  <si>
    <t>TB189646214113000W</t>
  </si>
  <si>
    <t>TB189646214114000W</t>
  </si>
  <si>
    <t>TB189646214115000W</t>
  </si>
  <si>
    <t>TB1A21B7231107000W</t>
  </si>
  <si>
    <t>TB1A21B7231107500W</t>
  </si>
  <si>
    <t>TB1A21B7231108000W</t>
  </si>
  <si>
    <t>TB1A21B7231108500W</t>
  </si>
  <si>
    <t>TB1A21B7231109000W</t>
  </si>
  <si>
    <t>TB1A21B7231109500W</t>
  </si>
  <si>
    <t>TB1A21B7231110000W</t>
  </si>
  <si>
    <t>TB1A21B7231110500W</t>
  </si>
  <si>
    <t>TB1A21B7231111000W</t>
  </si>
  <si>
    <t>TB1A21B7231112000W</t>
  </si>
  <si>
    <t>TB1A21B7231113000W</t>
  </si>
  <si>
    <t>TB1A21B7231114000W</t>
  </si>
  <si>
    <t>TB1A21B7231115000W</t>
  </si>
  <si>
    <t>TB0A67B3W02107000M</t>
  </si>
  <si>
    <t>TB0A67B3W02107500M</t>
  </si>
  <si>
    <t>TB0A67B3W02108000M</t>
  </si>
  <si>
    <t>TB0A67B3W02108500M</t>
  </si>
  <si>
    <t>TB0A67B3W02109000M</t>
  </si>
  <si>
    <t>TB0A67B3W02109500M</t>
  </si>
  <si>
    <t>TB0A67B3W02110000M</t>
  </si>
  <si>
    <t>TB0A67B3W02110500M</t>
  </si>
  <si>
    <t>TB0A67B3W02111000M</t>
  </si>
  <si>
    <t>TB0A67B3W02111500M</t>
  </si>
  <si>
    <t>TB0A67B3W02112000M</t>
  </si>
  <si>
    <t>TB0A67B3W02113000M</t>
  </si>
  <si>
    <t>TB0A67B3W02114000M</t>
  </si>
  <si>
    <t>TB0A67B3W02115000M</t>
  </si>
  <si>
    <t>TB0A67B3W02107000W</t>
  </si>
  <si>
    <t>TB0A67B3W02107500W</t>
  </si>
  <si>
    <t>TB0A67B3W02108000W</t>
  </si>
  <si>
    <t>TB0A67B3W02108500W</t>
  </si>
  <si>
    <t>TB0A67B3W02109000W</t>
  </si>
  <si>
    <t>TB0A67B3W02109500W</t>
  </si>
  <si>
    <t>TB0A67B3W02110000W</t>
  </si>
  <si>
    <t>TB0A67B3W02110500W</t>
  </si>
  <si>
    <t>TB0A67B3W02111000W</t>
  </si>
  <si>
    <t>TB0A67B3W02111500W</t>
  </si>
  <si>
    <t>TB0A67B3W02112000W</t>
  </si>
  <si>
    <t>TB0A67B3W02113000W</t>
  </si>
  <si>
    <t>TB0A67B3W02114000W</t>
  </si>
  <si>
    <t>TB0A67B3W02115000W</t>
  </si>
  <si>
    <t>TB1A29S7001107000W</t>
  </si>
  <si>
    <t>TB1A29S7001107500W</t>
  </si>
  <si>
    <t>TB1A29S7001108000W</t>
  </si>
  <si>
    <t>TB1A29S7001108500W</t>
  </si>
  <si>
    <t>TB1A29S7001109000W</t>
  </si>
  <si>
    <t>TB1A29S7001109500W</t>
  </si>
  <si>
    <t>TB1A29S7001110000W</t>
  </si>
  <si>
    <t>TB1A29S7001110500W</t>
  </si>
  <si>
    <t>TB1A29S7001111000W</t>
  </si>
  <si>
    <t>TB1A29S7001112000W</t>
  </si>
  <si>
    <t>TB1A29S7001113000W</t>
  </si>
  <si>
    <t>TB1A29S7001114000W</t>
  </si>
  <si>
    <t>TB1A29S7001115000W</t>
  </si>
  <si>
    <t>TB1A131D001107000W</t>
  </si>
  <si>
    <t>TB1A131D001107500W</t>
  </si>
  <si>
    <t>TB1A131D001108000W</t>
  </si>
  <si>
    <t>TB1A131D001108500W</t>
  </si>
  <si>
    <t>TB1A131D001109000W</t>
  </si>
  <si>
    <t>TB1A131D001109500W</t>
  </si>
  <si>
    <t>TB1A131D001110000W</t>
  </si>
  <si>
    <t>TB1A131D001110500W</t>
  </si>
  <si>
    <t>TB1A131D001111000W</t>
  </si>
  <si>
    <t>TB1A131D001112000W</t>
  </si>
  <si>
    <t>TB1A131D001113000W</t>
  </si>
  <si>
    <t>TB1A131D001114000W</t>
  </si>
  <si>
    <t>TB1A131D001115000W</t>
  </si>
  <si>
    <t>TB1A1VYP001107000W</t>
  </si>
  <si>
    <t>TB1A1VYP001107500W</t>
  </si>
  <si>
    <t>TB1A1VYP001108000W</t>
  </si>
  <si>
    <t>TB1A1VYP001108500W</t>
  </si>
  <si>
    <t>TB1A1VYP001109000W</t>
  </si>
  <si>
    <t>TB1A1VYP001109500W</t>
  </si>
  <si>
    <t>TB1A1VYP001110000W</t>
  </si>
  <si>
    <t>TB1A1VYP001110500W</t>
  </si>
  <si>
    <t>TB1A1VYP001111000W</t>
  </si>
  <si>
    <t>TB1A1VYP001112000W</t>
  </si>
  <si>
    <t>TB1A1VYP001113000W</t>
  </si>
  <si>
    <t>TB1A1VYP001114000W</t>
  </si>
  <si>
    <t>TB1A1VYP001115000W</t>
  </si>
  <si>
    <t>TB0A63V6W02107000M</t>
  </si>
  <si>
    <t>TB0A63V6W02107500M</t>
  </si>
  <si>
    <t>TB0A63V6W02108000M</t>
  </si>
  <si>
    <t>TB0A63V6W02108500M</t>
  </si>
  <si>
    <t>TB0A63V6W02109000M</t>
  </si>
  <si>
    <t>TB0A63V6W02109500M</t>
  </si>
  <si>
    <t>TB0A63V6W02110000M</t>
  </si>
  <si>
    <t>TB0A63V6W02110500M</t>
  </si>
  <si>
    <t>TB0A63V6W02111000M</t>
  </si>
  <si>
    <t>TB0A63V6W02111500M</t>
  </si>
  <si>
    <t>TB0A63V6W02112000M</t>
  </si>
  <si>
    <t>TB0A63V6W02113000M</t>
  </si>
  <si>
    <t>TB0A63V6W02114000M</t>
  </si>
  <si>
    <t>TB0A63V6W02115000M</t>
  </si>
  <si>
    <t>TB0A63V6W02107000W</t>
  </si>
  <si>
    <t>TB0A63V6W02107500W</t>
  </si>
  <si>
    <t>TB0A63V6W02108000W</t>
  </si>
  <si>
    <t>TB0A63V6W02108500W</t>
  </si>
  <si>
    <t>TB0A63V6W02109000W</t>
  </si>
  <si>
    <t>TB0A63V6W02109500W</t>
  </si>
  <si>
    <t>TB0A63V6W02110000W</t>
  </si>
  <si>
    <t>TB0A63V6W02110500W</t>
  </si>
  <si>
    <t>TB0A63V6W02111000W</t>
  </si>
  <si>
    <t>TB0A63V6W02111500W</t>
  </si>
  <si>
    <t>TB0A63V6W02112000W</t>
  </si>
  <si>
    <t>TB0A63V6W02113000W</t>
  </si>
  <si>
    <t>TB0A63V6W02114000W</t>
  </si>
  <si>
    <t>TB0A63V6W02115000W</t>
  </si>
  <si>
    <t>TB0A66G7EDW107000M</t>
  </si>
  <si>
    <t>TB0A66G7EDW107500M</t>
  </si>
  <si>
    <t>TB0A66G7EDW108000M</t>
  </si>
  <si>
    <t>TB0A66G7EDW108500M</t>
  </si>
  <si>
    <t>TB0A66G7EDW109000M</t>
  </si>
  <si>
    <t>TB0A66G7EDW109500M</t>
  </si>
  <si>
    <t>TB0A66G7EDW110000M</t>
  </si>
  <si>
    <t>TB0A66G7EDW110500M</t>
  </si>
  <si>
    <t>TB0A66G7EDW111000M</t>
  </si>
  <si>
    <t>TB0A66G7EDW111500M</t>
  </si>
  <si>
    <t>TB0A66G7EDW112000M</t>
  </si>
  <si>
    <t>TB0A66G7EDW113000M</t>
  </si>
  <si>
    <t>TB0A66G7EDW114000M</t>
  </si>
  <si>
    <t>TB0A66G7EDW115000M</t>
  </si>
  <si>
    <t>TB0A66G7EDW107000W</t>
  </si>
  <si>
    <t>TB0A66G7EDW107500W</t>
  </si>
  <si>
    <t>TB0A66G7EDW108000W</t>
  </si>
  <si>
    <t>TB0A66G7EDW108500W</t>
  </si>
  <si>
    <t>TB0A66G7EDW109000W</t>
  </si>
  <si>
    <t>TB0A66G7EDW109500W</t>
  </si>
  <si>
    <t>TB0A66G7EDW110000W</t>
  </si>
  <si>
    <t>TB0A66G7EDW110500W</t>
  </si>
  <si>
    <t>TB0A66G7EDW111000W</t>
  </si>
  <si>
    <t>TB0A66G7EDW111500W</t>
  </si>
  <si>
    <t>TB0A66G7EDW112000W</t>
  </si>
  <si>
    <t>TB0A66G7EDW113000W</t>
  </si>
  <si>
    <t>TB0A66G7EDW114000W</t>
  </si>
  <si>
    <t>TB0A66G7EDW115000W</t>
  </si>
  <si>
    <t>TB1A1VY3001103500W</t>
  </si>
  <si>
    <t>TB1A1VY3001104000W</t>
  </si>
  <si>
    <t>TB1A1VY3001104500W</t>
  </si>
  <si>
    <t>TB1A1VY3001105000W</t>
  </si>
  <si>
    <t>TB1A1VY3001105500W</t>
  </si>
  <si>
    <t>TB1A1VY3001106000W</t>
  </si>
  <si>
    <t>TB1A1VY3001106500W</t>
  </si>
  <si>
    <t>TB1A1VY3001107000W</t>
  </si>
  <si>
    <t>TB1A1VY3001107500W</t>
  </si>
  <si>
    <t>TB1A1VY3001108000W</t>
  </si>
  <si>
    <t>TB1A1VY3001108500W</t>
  </si>
  <si>
    <t>TB1A1VY3001109000W</t>
  </si>
  <si>
    <t>TB1A1VY3001109500W</t>
  </si>
  <si>
    <t>TB1A1VY3001110000W</t>
  </si>
  <si>
    <t>TB1A1VY3001110500W</t>
  </si>
  <si>
    <t>TB1A1VY3001111000W</t>
  </si>
  <si>
    <t>TB1A1VY3001112000W</t>
  </si>
  <si>
    <t>TB1A1VY3001113000W</t>
  </si>
  <si>
    <t>TB1A1VY3001114000W</t>
  </si>
  <si>
    <t>TB1A1VY3001115000W</t>
  </si>
  <si>
    <t>TB1A1WUT001103500W</t>
  </si>
  <si>
    <t>TB1A1WUT001104000W</t>
  </si>
  <si>
    <t>TB1A1WUT001104500W</t>
  </si>
  <si>
    <t>TB1A1WUT001105000W</t>
  </si>
  <si>
    <t>TB1A1WUT001105500W</t>
  </si>
  <si>
    <t>TB1A1WUT001106000W</t>
  </si>
  <si>
    <t>TB1A1WUT001106500W</t>
  </si>
  <si>
    <t>TB1A1WUT001107000W</t>
  </si>
  <si>
    <t>TB1A1WUT001107500W</t>
  </si>
  <si>
    <t>TB1A1WUT001108000W</t>
  </si>
  <si>
    <t>TB1A1WUT001108500W</t>
  </si>
  <si>
    <t>TB1A1WUT001109000W</t>
  </si>
  <si>
    <t>TB1A1WUT001109500W</t>
  </si>
  <si>
    <t>TB1A1WUT001110000W</t>
  </si>
  <si>
    <t>TB1A1WUT001110500W</t>
  </si>
  <si>
    <t>TB1A1WUT001111000W</t>
  </si>
  <si>
    <t>TB1A1WUT001112000W</t>
  </si>
  <si>
    <t>TB1A1WUT001113000W</t>
  </si>
  <si>
    <t>TB1A1WUT001114000W</t>
  </si>
  <si>
    <t>TB1A1WUT001115000W</t>
  </si>
  <si>
    <t>TB0A5MA1W02107000W</t>
  </si>
  <si>
    <t>TB0A5MA1W02107500W</t>
  </si>
  <si>
    <t>TB0A5MA1W02108000W</t>
  </si>
  <si>
    <t>TB0A5MA1W02108500W</t>
  </si>
  <si>
    <t>TB0A5MA1W02109000W</t>
  </si>
  <si>
    <t>TB0A5MA1W02109500W</t>
  </si>
  <si>
    <t>TB0A5MA1W02110000W</t>
  </si>
  <si>
    <t>TB0A5MA1W02110500W</t>
  </si>
  <si>
    <t>TB0A5MA1W02111000W</t>
  </si>
  <si>
    <t>TB0A5MA1W02112000W</t>
  </si>
  <si>
    <t>TB0A5MA1W02113000W</t>
  </si>
  <si>
    <t>TB0A5MA1W02114000W</t>
  </si>
  <si>
    <t>TB0A5MA1W02115000W</t>
  </si>
  <si>
    <t>TB1A21WK001107500W</t>
  </si>
  <si>
    <t>TB1A21WK001111000W</t>
  </si>
  <si>
    <t>TB1A21WK001112000W</t>
  </si>
  <si>
    <t>TB1A21WK001113000W</t>
  </si>
  <si>
    <t>TB1A21WK001114000W</t>
  </si>
  <si>
    <t>TB1A21WK001115000W</t>
  </si>
  <si>
    <t>TB1A21X7214107000W</t>
  </si>
  <si>
    <t>TB1A21X7214107500W</t>
  </si>
  <si>
    <t>TB1A21X7214108000W</t>
  </si>
  <si>
    <t>TB1A21X7214108500W</t>
  </si>
  <si>
    <t>TB1A21X7214109000W</t>
  </si>
  <si>
    <t>TB1A21X7214109500W</t>
  </si>
  <si>
    <t>TB1A21X7214110000W</t>
  </si>
  <si>
    <t>TB1A21X7214110500W</t>
  </si>
  <si>
    <t>TB1A21X7214111000W</t>
  </si>
  <si>
    <t>TB1A21X7214112000W</t>
  </si>
  <si>
    <t>TB1A21X7214113000W</t>
  </si>
  <si>
    <t>TB1A21X7214114000W</t>
  </si>
  <si>
    <t>TB1A21X7214115000W</t>
  </si>
  <si>
    <t>TB191670001107000W</t>
  </si>
  <si>
    <t>TB191670001107500W</t>
  </si>
  <si>
    <t>TB191670001108000W</t>
  </si>
  <si>
    <t>TB191670001108500W</t>
  </si>
  <si>
    <t>TB191670001109000W</t>
  </si>
  <si>
    <t>TB191670001109500W</t>
  </si>
  <si>
    <t>TB191670001110000W</t>
  </si>
  <si>
    <t>TB191670001110500W</t>
  </si>
  <si>
    <t>TB191670001111000W</t>
  </si>
  <si>
    <t>TB191670001112000W</t>
  </si>
  <si>
    <t>TB191670001113000W</t>
  </si>
  <si>
    <t>TB191670001114000W</t>
  </si>
  <si>
    <t>TB191670001115000W</t>
  </si>
  <si>
    <t>TB0A5ZX3001107000W</t>
  </si>
  <si>
    <t>TB0A5ZX3001107500W</t>
  </si>
  <si>
    <t>TB0A5ZX3001108000W</t>
  </si>
  <si>
    <t>TB0A5ZX3001108500W</t>
  </si>
  <si>
    <t>TB0A5ZX3001109000W</t>
  </si>
  <si>
    <t>TB0A5ZX3001109500W</t>
  </si>
  <si>
    <t>TB0A5ZX3001110000W</t>
  </si>
  <si>
    <t>TB0A5ZX3001110500W</t>
  </si>
  <si>
    <t>TB0A5ZX3001111000W</t>
  </si>
  <si>
    <t>TB0A5ZX3001112000W</t>
  </si>
  <si>
    <t>TB0A5ZX3001113000W</t>
  </si>
  <si>
    <t>TB0A5ZX3001114000W</t>
  </si>
  <si>
    <t>TB0A5ZX3001115000W</t>
  </si>
  <si>
    <t>TB0A61YH065107000W</t>
  </si>
  <si>
    <t>TB0A61YH065107500W</t>
  </si>
  <si>
    <t>TB0A61YH065108000W</t>
  </si>
  <si>
    <t>TB0A61YH065108500W</t>
  </si>
  <si>
    <t>TB0A61YH065109000W</t>
  </si>
  <si>
    <t>TB0A61YH065109500W</t>
  </si>
  <si>
    <t>TB0A61YH065110000W</t>
  </si>
  <si>
    <t>TB0A61YH065110500W</t>
  </si>
  <si>
    <t>TB0A61YH065111000W</t>
  </si>
  <si>
    <t>TB0A61YH065112000W</t>
  </si>
  <si>
    <t>TB0A61YH065113000W</t>
  </si>
  <si>
    <t>TB0A61YH065114000W</t>
  </si>
  <si>
    <t>TB0A61YH065115000W</t>
  </si>
  <si>
    <t>TB0A63GKEM4107000W</t>
  </si>
  <si>
    <t>TB0A63GKEM4107500W</t>
  </si>
  <si>
    <t>TB0A63GKEM4108000W</t>
  </si>
  <si>
    <t>TB0A63GKEM4108500W</t>
  </si>
  <si>
    <t>TB0A63GKEM4109000W</t>
  </si>
  <si>
    <t>TB0A63GKEM4109500W</t>
  </si>
  <si>
    <t>TB0A63GKEM4110000W</t>
  </si>
  <si>
    <t>TB0A63GKEM4110500W</t>
  </si>
  <si>
    <t>TB0A63GKEM4111000W</t>
  </si>
  <si>
    <t>TB0A63GKEM4112000W</t>
  </si>
  <si>
    <t>TB0A63GKEM4113000W</t>
  </si>
  <si>
    <t>TB0A63GKEM4114000W</t>
  </si>
  <si>
    <t>TB0A63GKEM4115000W</t>
  </si>
  <si>
    <t>TB0A63GKEDX107000M</t>
  </si>
  <si>
    <t>TB0A63GKEDX107500M</t>
  </si>
  <si>
    <t>TB0A63GKEDX108000M</t>
  </si>
  <si>
    <t>TB0A63GKEDX108500M</t>
  </si>
  <si>
    <t>TB0A63GKEDX109000M</t>
  </si>
  <si>
    <t>TB0A63GKEDX109500M</t>
  </si>
  <si>
    <t>TB0A63GKEDX110000M</t>
  </si>
  <si>
    <t>TB0A63GKEDX110500M</t>
  </si>
  <si>
    <t>TB0A63GKEDX111000M</t>
  </si>
  <si>
    <t>TB0A63GKEDX111500M</t>
  </si>
  <si>
    <t>TB0A63GKEDX112000M</t>
  </si>
  <si>
    <t>TB0A63GKEDX113000M</t>
  </si>
  <si>
    <t>TB0A63GKEDX114000M</t>
  </si>
  <si>
    <t>TB0A63GKEDX115000M</t>
  </si>
  <si>
    <t>TB0A63GKEDX107000W</t>
  </si>
  <si>
    <t>TB0A63GKEDX107500W</t>
  </si>
  <si>
    <t>TB0A63GKEDX108000W</t>
  </si>
  <si>
    <t>TB0A63GKEDX108500W</t>
  </si>
  <si>
    <t>TB0A63GKEDX109000W</t>
  </si>
  <si>
    <t>TB0A63GKEDX109500W</t>
  </si>
  <si>
    <t>TB0A63GKEDX110000W</t>
  </si>
  <si>
    <t>TB0A63GKEDX110500W</t>
  </si>
  <si>
    <t>TB0A63GKEDX111000W</t>
  </si>
  <si>
    <t>TB0A63GKEDX111500W</t>
  </si>
  <si>
    <t>TB0A63GKEDX112000W</t>
  </si>
  <si>
    <t>TB0A63GKEDX113000W</t>
  </si>
  <si>
    <t>TB0A63GKEDX114000W</t>
  </si>
  <si>
    <t>TB0A63GKEDX115000W</t>
  </si>
  <si>
    <t>TB0A5TTPENR107000W</t>
  </si>
  <si>
    <t>TB0A5TTPENR107500W</t>
  </si>
  <si>
    <t>TB0A5TTPENR108000W</t>
  </si>
  <si>
    <t>TB0A5TTPENR108500W</t>
  </si>
  <si>
    <t>TB0A5TTPENR109000W</t>
  </si>
  <si>
    <t>TB0A5TTPENR109500W</t>
  </si>
  <si>
    <t>TB0A5TTPENR110000W</t>
  </si>
  <si>
    <t>TB0A5TTPENR110500W</t>
  </si>
  <si>
    <t>TB0A5TTPENR111000W</t>
  </si>
  <si>
    <t>TB0A5TTPENR112000W</t>
  </si>
  <si>
    <t>TB0A5TTPENR113000W</t>
  </si>
  <si>
    <t>TB0A5TTPENR114000W</t>
  </si>
  <si>
    <t>TB0A5TTPENR115000W</t>
  </si>
  <si>
    <t>TB0A42EGEM6107000W</t>
  </si>
  <si>
    <t>TB0A42EGEM6107500W</t>
  </si>
  <si>
    <t>TB0A42EGEM6108000W</t>
  </si>
  <si>
    <t>TB0A42EGEM6108500W</t>
  </si>
  <si>
    <t>TB0A42EGEM6109000W</t>
  </si>
  <si>
    <t>TB0A42EGEM6109500W</t>
  </si>
  <si>
    <t>TB0A42EGEM6110000W</t>
  </si>
  <si>
    <t>TB0A42EGEM6111000W</t>
  </si>
  <si>
    <t>TB0A42EGEM6112000W</t>
  </si>
  <si>
    <t>TB0A42EGEM6113000W</t>
  </si>
  <si>
    <t>TB0A42EGEM6114000W</t>
  </si>
  <si>
    <t>TB0A42EGEM6115000W</t>
  </si>
  <si>
    <t>TB1A5T7K001107000W</t>
  </si>
  <si>
    <t>TB1A5T7K001108000W</t>
  </si>
  <si>
    <t>TB1A5T7K001108500W</t>
  </si>
  <si>
    <t>TB1A5T7K001109000W</t>
  </si>
  <si>
    <t>TB1A5T7K001109500W</t>
  </si>
  <si>
    <t>TB1A5T7K001110000W</t>
  </si>
  <si>
    <t>TB1A5T7K001110500W</t>
  </si>
  <si>
    <t>TB1A5T7K001111000W</t>
  </si>
  <si>
    <t>TB1A5T7K001112000W</t>
  </si>
  <si>
    <t>TB1A5T7K001113000W</t>
  </si>
  <si>
    <t>TB1A5T7K001114000W</t>
  </si>
  <si>
    <t>TB1A44ZW231107000W</t>
  </si>
  <si>
    <t>TB1A44ZW231107500W</t>
  </si>
  <si>
    <t>TB1A44ZW231110000W</t>
  </si>
  <si>
    <t>TB1A44ZW231110500W</t>
  </si>
  <si>
    <t>TB1A44ZW231111000W</t>
  </si>
  <si>
    <t>TB1A44ZW231112000W</t>
  </si>
  <si>
    <t>TB1A44ZW231114000W</t>
  </si>
  <si>
    <t>TB1A44ZW231115000W</t>
  </si>
  <si>
    <t>TB0A66KYEM4107000M</t>
  </si>
  <si>
    <t>TB0A66KYEM4107500M</t>
  </si>
  <si>
    <t>TB0A66KYEM4108000M</t>
  </si>
  <si>
    <t>TB0A66KYEM4108500M</t>
  </si>
  <si>
    <t>TB0A66KYEM4109000M</t>
  </si>
  <si>
    <t>TB0A66KYEM4109500M</t>
  </si>
  <si>
    <t>TB0A66KYEM4110000M</t>
  </si>
  <si>
    <t>TB0A66KYEM4110500M</t>
  </si>
  <si>
    <t>TB0A66KYEM4111000M</t>
  </si>
  <si>
    <t>TB0A66KYEM4111500M</t>
  </si>
  <si>
    <t>TB0A66KYEM4112000M</t>
  </si>
  <si>
    <t>TB0A66KYEM4113000M</t>
  </si>
  <si>
    <t>TB0A66KYEM4114000M</t>
  </si>
  <si>
    <t>TB0A66KYEM4115000M</t>
  </si>
  <si>
    <t>TB0A66KYEM4107000W</t>
  </si>
  <si>
    <t>TB0A66KYEM4107500W</t>
  </si>
  <si>
    <t>TB0A66KYEM4108000W</t>
  </si>
  <si>
    <t>TB0A66KYEM4108500W</t>
  </si>
  <si>
    <t>TB0A66KYEM4109000W</t>
  </si>
  <si>
    <t>TB0A66KYEM4109500W</t>
  </si>
  <si>
    <t>TB0A66KYEM4110000W</t>
  </si>
  <si>
    <t>TB0A66KYEM4110500W</t>
  </si>
  <si>
    <t>TB0A66KYEM4111000W</t>
  </si>
  <si>
    <t>TB0A66KYEM4111500W</t>
  </si>
  <si>
    <t>TB0A66KYEM4112000W</t>
  </si>
  <si>
    <t>TB0A66KYEM4113000W</t>
  </si>
  <si>
    <t>TB0A66KYEM4114000W</t>
  </si>
  <si>
    <t>TB0A66KYEM4115000W</t>
  </si>
  <si>
    <t>TB191631214107000W</t>
  </si>
  <si>
    <t>TB191631214107500W</t>
  </si>
  <si>
    <t>TB191631214108000W</t>
  </si>
  <si>
    <t>TB191631214108500W</t>
  </si>
  <si>
    <t>TB191631214109000W</t>
  </si>
  <si>
    <t>TB191631214109500W</t>
  </si>
  <si>
    <t>TB191631214110000W</t>
  </si>
  <si>
    <t>TB191631214110500W</t>
  </si>
  <si>
    <t>TB191631214111000W</t>
  </si>
  <si>
    <t>TB191631214112000W</t>
  </si>
  <si>
    <t>TB191631214113000W</t>
  </si>
  <si>
    <t>TB191631214114000W</t>
  </si>
  <si>
    <t>TB191631214115000W</t>
  </si>
  <si>
    <t>TB1A11UT001107000W</t>
  </si>
  <si>
    <t>TB1A11UT001107500W</t>
  </si>
  <si>
    <t>TB1A11UT001108000W</t>
  </si>
  <si>
    <t>TB1A11UT001108500W</t>
  </si>
  <si>
    <t>TB1A11UT001109000W</t>
  </si>
  <si>
    <t>TB1A11UT001109500W</t>
  </si>
  <si>
    <t>TB1A11UT001110000W</t>
  </si>
  <si>
    <t>TB1A11UT001110500W</t>
  </si>
  <si>
    <t>TB1A11UT001111000W</t>
  </si>
  <si>
    <t>TB1A11UT001112000W</t>
  </si>
  <si>
    <t>TB1A11UT001113000W</t>
  </si>
  <si>
    <t>TB1A11UT001114000W</t>
  </si>
  <si>
    <t>TB1A11UT001115000W</t>
  </si>
  <si>
    <t>TB1A22H2231107000W</t>
  </si>
  <si>
    <t>TB1A22H2231107500W</t>
  </si>
  <si>
    <t>TB1A22H2231108000W</t>
  </si>
  <si>
    <t>TB1A22H2231108500W</t>
  </si>
  <si>
    <t>TB1A22H2231109000W</t>
  </si>
  <si>
    <t>TB1A22H2231109500W</t>
  </si>
  <si>
    <t>TB1A22H2231110000W</t>
  </si>
  <si>
    <t>TB1A22H2231110500W</t>
  </si>
  <si>
    <t>TB1A22H2231111000W</t>
  </si>
  <si>
    <t>TB1A22H2231112000W</t>
  </si>
  <si>
    <t>TB1A22H2231113000W</t>
  </si>
  <si>
    <t>TB1A22H2231114000W</t>
  </si>
  <si>
    <t>TB1A22H2231115000W</t>
  </si>
  <si>
    <t>TB0A5ZZK214107000M</t>
  </si>
  <si>
    <t>TB0A5ZZK214107500M</t>
  </si>
  <si>
    <t>TB0A5ZZK214108000M</t>
  </si>
  <si>
    <t>TB0A5ZZK214108500M</t>
  </si>
  <si>
    <t>TB0A5ZZK214109000M</t>
  </si>
  <si>
    <t>TB0A5ZZK214109500M</t>
  </si>
  <si>
    <t>TB0A5ZZK214110000M</t>
  </si>
  <si>
    <t>TB0A5ZZK214110500M</t>
  </si>
  <si>
    <t>TB0A5ZZK214111000M</t>
  </si>
  <si>
    <t>TB0A5ZZK214112000M</t>
  </si>
  <si>
    <t>TB0A5ZZK214113000M</t>
  </si>
  <si>
    <t>TB0A5ZZK214114000M</t>
  </si>
  <si>
    <t>TB0A5ZZK214115000M</t>
  </si>
  <si>
    <t>TB0A6117001107000M</t>
  </si>
  <si>
    <t>TB0A6117001107500M</t>
  </si>
  <si>
    <t>TB0A6117001108000M</t>
  </si>
  <si>
    <t>TB0A6117001108500M</t>
  </si>
  <si>
    <t>TB0A6117001109000M</t>
  </si>
  <si>
    <t>TB0A6117001109500M</t>
  </si>
  <si>
    <t>TB0A6117001110000M</t>
  </si>
  <si>
    <t>TB0A6117001110500M</t>
  </si>
  <si>
    <t>TB0A6117001111000M</t>
  </si>
  <si>
    <t>TB0A6117001112000M</t>
  </si>
  <si>
    <t>TB0A6117001113000M</t>
  </si>
  <si>
    <t>TB0A6117001114000M</t>
  </si>
  <si>
    <t>TB0A6117001115000M</t>
  </si>
  <si>
    <t>TB0A5X93214107000W</t>
  </si>
  <si>
    <t>TB0A5X93214107500W</t>
  </si>
  <si>
    <t>TB0A5X93214108000W</t>
  </si>
  <si>
    <t>TB0A5X93214108500W</t>
  </si>
  <si>
    <t>TB0A5X93214109000W</t>
  </si>
  <si>
    <t>TB0A5X93214109500W</t>
  </si>
  <si>
    <t>TB0A5X93214110000W</t>
  </si>
  <si>
    <t>TB0A5X93214110500W</t>
  </si>
  <si>
    <t>TB0A5X93214111000W</t>
  </si>
  <si>
    <t>TB0A5X93214112000W</t>
  </si>
  <si>
    <t>TB0A5X93214113000W</t>
  </si>
  <si>
    <t>TB0A5X93214114000W</t>
  </si>
  <si>
    <t>TB0A5X93214115000W</t>
  </si>
  <si>
    <t>TB0A5YYF001107000W</t>
  </si>
  <si>
    <t>TB0A5YYF001107500W</t>
  </si>
  <si>
    <t>TB0A5YYF001108000W</t>
  </si>
  <si>
    <t>TB0A5YYF001108500W</t>
  </si>
  <si>
    <t>TB0A5YYF001109000W</t>
  </si>
  <si>
    <t>TB0A5YYF001109500W</t>
  </si>
  <si>
    <t>TB0A5YYF001110000W</t>
  </si>
  <si>
    <t>TB0A5YYF001110500W</t>
  </si>
  <si>
    <t>TB0A5YYF001111000W</t>
  </si>
  <si>
    <t>TB0A5YYF001111500W</t>
  </si>
  <si>
    <t>TB0A5YYF001112000W</t>
  </si>
  <si>
    <t>TB0A5YYF001113000W</t>
  </si>
  <si>
    <t>TB0A5YYF001114000W</t>
  </si>
  <si>
    <t>TB0A5YYF001115000W</t>
  </si>
  <si>
    <t>TB0A67SFEL0107000M</t>
  </si>
  <si>
    <t>TB0A67SFEL0107500M</t>
  </si>
  <si>
    <t>TB0A67SFEL0108000M</t>
  </si>
  <si>
    <t>TB0A67SFEL0108500M</t>
  </si>
  <si>
    <t>TB0A67SFEL0109000M</t>
  </si>
  <si>
    <t>TB0A67SFEL0109500M</t>
  </si>
  <si>
    <t>TB0A67SFEL0110000M</t>
  </si>
  <si>
    <t>TB0A67SFEL0110500M</t>
  </si>
  <si>
    <t>TB0A67SFEL0111000M</t>
  </si>
  <si>
    <t>TB0A67SFEL0111500M</t>
  </si>
  <si>
    <t>TB0A67SFEL0112000M</t>
  </si>
  <si>
    <t>TB0A67SFEL0113000M</t>
  </si>
  <si>
    <t>TB0A67SFEL0114000M</t>
  </si>
  <si>
    <t>TB0A67SFEL0115000M</t>
  </si>
  <si>
    <t>TB0A67SFEL0107000W</t>
  </si>
  <si>
    <t>TB0A67SFEL0107500W</t>
  </si>
  <si>
    <t>TB0A67SFEL0108000W</t>
  </si>
  <si>
    <t>TB0A67SFEL0108500W</t>
  </si>
  <si>
    <t>TB0A67SFEL0109000W</t>
  </si>
  <si>
    <t>TB0A67SFEL0109500W</t>
  </si>
  <si>
    <t>TB0A67SFEL0110000W</t>
  </si>
  <si>
    <t>TB0A67SFEL0110500W</t>
  </si>
  <si>
    <t>TB0A67SFEL0111000W</t>
  </si>
  <si>
    <t>TB0A67SFEL0111500W</t>
  </si>
  <si>
    <t>TB0A67SFEL0112000W</t>
  </si>
  <si>
    <t>TB0A67SFEL0113000W</t>
  </si>
  <si>
    <t>TB0A67SFEL0114000W</t>
  </si>
  <si>
    <t>TB0A67SFEL0115000W</t>
  </si>
  <si>
    <t>TB0A6167001107000W</t>
  </si>
  <si>
    <t>TB0A6167001107500W</t>
  </si>
  <si>
    <t>TB0A6167001108000W</t>
  </si>
  <si>
    <t>TB0A6167001108500W</t>
  </si>
  <si>
    <t>TB0A6167001109000W</t>
  </si>
  <si>
    <t>TB0A6167001109500W</t>
  </si>
  <si>
    <t>TB0A6167001110000W</t>
  </si>
  <si>
    <t>TB0A6167001110500W</t>
  </si>
  <si>
    <t>TB0A6167001111000W</t>
  </si>
  <si>
    <t>TB0A6167001112000W</t>
  </si>
  <si>
    <t>TB0A6167001113000W</t>
  </si>
  <si>
    <t>TB0A6167001114000W</t>
  </si>
  <si>
    <t>TB0A6167001115000W</t>
  </si>
  <si>
    <t>TB1A278X001107000W</t>
  </si>
  <si>
    <t>TB1A278X001107500W</t>
  </si>
  <si>
    <t>TB1A278X001108000W</t>
  </si>
  <si>
    <t>TB1A278X001108500W</t>
  </si>
  <si>
    <t>TB1A278X001109000W</t>
  </si>
  <si>
    <t>TB1A278X001109500W</t>
  </si>
  <si>
    <t>TB1A278X001110000W</t>
  </si>
  <si>
    <t>TB1A278X001110500W</t>
  </si>
  <si>
    <t>TB1A278X001111000W</t>
  </si>
  <si>
    <t>TB1A278X001112000W</t>
  </si>
  <si>
    <t>TB1A278X001113000W</t>
  </si>
  <si>
    <t>TB1A278X001114000W</t>
  </si>
  <si>
    <t>TB1A278X001115000W</t>
  </si>
  <si>
    <t>TB1A2CB8001107000M</t>
  </si>
  <si>
    <t>TB1A2CB8001107500M</t>
  </si>
  <si>
    <t>TB1A2CB8001108000M</t>
  </si>
  <si>
    <t>TB1A2CB8001108500M</t>
  </si>
  <si>
    <t>TB1A2CB8001109000M</t>
  </si>
  <si>
    <t>TB1A2CB8001109500M</t>
  </si>
  <si>
    <t>TB1A2CB8001110000M</t>
  </si>
  <si>
    <t>TB1A2CB8001110500M</t>
  </si>
  <si>
    <t>TB1A2CB8001111000M</t>
  </si>
  <si>
    <t>TB1A2CB8001111500M</t>
  </si>
  <si>
    <t>TB1A2CB8001112000M</t>
  </si>
  <si>
    <t>TB1A2CB8001113000M</t>
  </si>
  <si>
    <t>TB1A2CB8001114000M</t>
  </si>
  <si>
    <t>TB1A2CB8001115000M</t>
  </si>
  <si>
    <t>TB1A2CB8001107000W</t>
  </si>
  <si>
    <t>TB1A2CB8001107500W</t>
  </si>
  <si>
    <t>TB1A2CB8001108000W</t>
  </si>
  <si>
    <t>TB1A2CB8001108500W</t>
  </si>
  <si>
    <t>TB1A2CB8001109000W</t>
  </si>
  <si>
    <t>TB1A2CB8001109500W</t>
  </si>
  <si>
    <t>TB1A2CB8001110000W</t>
  </si>
  <si>
    <t>TB1A2CB8001110500W</t>
  </si>
  <si>
    <t>TB1A2CB8001111000W</t>
  </si>
  <si>
    <t>TB1A2CB8001111500W</t>
  </si>
  <si>
    <t>TB1A2CB8001112000W</t>
  </si>
  <si>
    <t>TB1A2CB8001113000W</t>
  </si>
  <si>
    <t>TB1A2CB8001114000W</t>
  </si>
  <si>
    <t>TB1A2CB8001115000W</t>
  </si>
  <si>
    <t>TB0A61T7214107000W</t>
  </si>
  <si>
    <t>TB0A61T7214107500W</t>
  </si>
  <si>
    <t>TB0A61T7214108000W</t>
  </si>
  <si>
    <t>TB0A61T7214108500W</t>
  </si>
  <si>
    <t>TB0A61T7214109000W</t>
  </si>
  <si>
    <t>TB0A61T7214109500W</t>
  </si>
  <si>
    <t>TB0A61T7214110000W</t>
  </si>
  <si>
    <t>TB0A61T7214110500W</t>
  </si>
  <si>
    <t>TB0A61T7214111000W</t>
  </si>
  <si>
    <t>TB0A61T7214112000W</t>
  </si>
  <si>
    <t>TB0A61T7214113000W</t>
  </si>
  <si>
    <t>TB0A61T7214114000W</t>
  </si>
  <si>
    <t>TB0A61T7214115000W</t>
  </si>
  <si>
    <t>TB1A27XS214107000W</t>
  </si>
  <si>
    <t>TB1A27XS214107500W</t>
  </si>
  <si>
    <t>TB1A27XS214108000W</t>
  </si>
  <si>
    <t>TB1A27XS214108500W</t>
  </si>
  <si>
    <t>TB1A27XS214109000W</t>
  </si>
  <si>
    <t>TB1A27XS214109500W</t>
  </si>
  <si>
    <t>TB1A27XS214110000W</t>
  </si>
  <si>
    <t>TB1A27XS214110500W</t>
  </si>
  <si>
    <t>TB1A27XS214111000W</t>
  </si>
  <si>
    <t>TB1A27XS214112000W</t>
  </si>
  <si>
    <t>TB1A27XS214113000W</t>
  </si>
  <si>
    <t>TB1A27XS214114000W</t>
  </si>
  <si>
    <t>TB1A27XS214115000W</t>
  </si>
  <si>
    <t>TB0A63XBEPB107000W</t>
  </si>
  <si>
    <t>TB0A63XBEPB107500W</t>
  </si>
  <si>
    <t>TB0A63XBEPB108000W</t>
  </si>
  <si>
    <t>TB0A63XBEPB108500W</t>
  </si>
  <si>
    <t>TB0A63XBEPB109000W</t>
  </si>
  <si>
    <t>TB0A63XBEPB109500W</t>
  </si>
  <si>
    <t>TB0A63XBEPB110000W</t>
  </si>
  <si>
    <t>TB0A63XBEPB110500W</t>
  </si>
  <si>
    <t>TB0A63XBEPB111000W</t>
  </si>
  <si>
    <t>TB0A63XBEPB112000W</t>
  </si>
  <si>
    <t>TB0A63XBEPB113000W</t>
  </si>
  <si>
    <t>TB0A63XBEPB114000W</t>
  </si>
  <si>
    <t>TB0A63XBEPB115000W</t>
  </si>
  <si>
    <t>TB0A63XYEK5107000W</t>
  </si>
  <si>
    <t>TB0A63XYEK5107500W</t>
  </si>
  <si>
    <t>TB0A63XYEK5108000W</t>
  </si>
  <si>
    <t>TB0A63XYEK5108500W</t>
  </si>
  <si>
    <t>TB0A63XYEK5109000W</t>
  </si>
  <si>
    <t>TB0A63XYEK5109500W</t>
  </si>
  <si>
    <t>TB0A63XYEK5110000W</t>
  </si>
  <si>
    <t>TB0A63XYEK5110500W</t>
  </si>
  <si>
    <t>TB0A63XYEK5111000W</t>
  </si>
  <si>
    <t>TB0A63XYEK5112000W</t>
  </si>
  <si>
    <t>TB0A63XYEK5113000W</t>
  </si>
  <si>
    <t>TB0A63XYEK5114000W</t>
  </si>
  <si>
    <t>TB0A63XYEK5115000W</t>
  </si>
  <si>
    <t>TB0A5MANEM4107000W</t>
  </si>
  <si>
    <t>TB0A5MANEM4107500W</t>
  </si>
  <si>
    <t>TB0A5MANEM4108000W</t>
  </si>
  <si>
    <t>TB0A5MANEM4108500W</t>
  </si>
  <si>
    <t>TB0A5MANEM4109000W</t>
  </si>
  <si>
    <t>TB0A5MANEM4109500W</t>
  </si>
  <si>
    <t>TB0A5MANEM4110000W</t>
  </si>
  <si>
    <t>TB0A5MANEM4110500W</t>
  </si>
  <si>
    <t>TB0A5MANEM4111000W</t>
  </si>
  <si>
    <t>TB0A5MANEM4112000W</t>
  </si>
  <si>
    <t>TB0A5MANEM4113000W</t>
  </si>
  <si>
    <t>TB0A5MANEM4114000W</t>
  </si>
  <si>
    <t>TB0A5MANEM4115000W</t>
  </si>
  <si>
    <t>TB1A5U6Y214107000W</t>
  </si>
  <si>
    <t>TB1A5U6Y214107500W</t>
  </si>
  <si>
    <t>TB1A5U6Y214108000W</t>
  </si>
  <si>
    <t>TB1A5U6Y214108500W</t>
  </si>
  <si>
    <t>TB1A5U6Y214109000W</t>
  </si>
  <si>
    <t>TB1A5U6Y214109500W</t>
  </si>
  <si>
    <t>TB1A5U6Y214110000W</t>
  </si>
  <si>
    <t>TB1A5U6Y214110500W</t>
  </si>
  <si>
    <t>TB1A5U6Y214111000W</t>
  </si>
  <si>
    <t>TB1A5U6Y214112000W</t>
  </si>
  <si>
    <t>TB1A5U6Y214113000W</t>
  </si>
  <si>
    <t>TB1A5U6Y214114000W</t>
  </si>
  <si>
    <t>TB1A5U6Y214115000W</t>
  </si>
  <si>
    <t>TB1A4499214107000W</t>
  </si>
  <si>
    <t>TB1A4499214107500W</t>
  </si>
  <si>
    <t>TB1A4499214108000W</t>
  </si>
  <si>
    <t>TB1A4499214108500W</t>
  </si>
  <si>
    <t>TB1A4499214109000W</t>
  </si>
  <si>
    <t>TB1A4499214109500W</t>
  </si>
  <si>
    <t>TB1A4499214110000W</t>
  </si>
  <si>
    <t>TB1A4499214110500W</t>
  </si>
  <si>
    <t>TB1A4499214111000W</t>
  </si>
  <si>
    <t>TB1A4499214112000W</t>
  </si>
  <si>
    <t>TB1A4499214113000W</t>
  </si>
  <si>
    <t>TB1A4499214114000W</t>
  </si>
  <si>
    <t>TB1A4499214115000W</t>
  </si>
  <si>
    <t>TB1A5QXJ001104000W</t>
  </si>
  <si>
    <t>TB1A5QXJ001105000W</t>
  </si>
  <si>
    <t>TB1A5QXJ001106000W</t>
  </si>
  <si>
    <t>TB1A5QXJ001107000W</t>
  </si>
  <si>
    <t>TB1A5QXJ001108000W</t>
  </si>
  <si>
    <t>TB1A5QXJ001109000W</t>
  </si>
  <si>
    <t>TB1A5QXJ001110000W</t>
  </si>
  <si>
    <t>TB1A5QXJ001111000W</t>
  </si>
  <si>
    <t>TB1A5QXJ001112000W</t>
  </si>
  <si>
    <t>TB1A5QXJ001113000W</t>
  </si>
  <si>
    <t>TB1A5QXJ001114000W</t>
  </si>
  <si>
    <t>TB1A5QXJ001115000W</t>
  </si>
  <si>
    <t>TB1A5QXJ001116000W</t>
  </si>
  <si>
    <t>TB1A1KQS001105500W</t>
  </si>
  <si>
    <t>TB1A1KQS001106000W</t>
  </si>
  <si>
    <t>TB1A1KQS001106500W</t>
  </si>
  <si>
    <t>TB1A1KQS001107000W</t>
  </si>
  <si>
    <t>TB1A1KQS001107500W</t>
  </si>
  <si>
    <t>TB1A1KQS001108000W</t>
  </si>
  <si>
    <t>TB1A1KQS001108500W</t>
  </si>
  <si>
    <t>TB1A1KQS001109000W</t>
  </si>
  <si>
    <t>TB1A1KQS001109500W</t>
  </si>
  <si>
    <t>TB1A1KQS001110000W</t>
  </si>
  <si>
    <t>TB1A1KQS001111000W</t>
  </si>
  <si>
    <t>TB1A22SD231105500W</t>
  </si>
  <si>
    <t>TB1A22SD231106000W</t>
  </si>
  <si>
    <t>TB1A22SD231106500W</t>
  </si>
  <si>
    <t>TB1A22SD231107000W</t>
  </si>
  <si>
    <t>TB1A22SD231107500W</t>
  </si>
  <si>
    <t>TB1A22SD231108000W</t>
  </si>
  <si>
    <t>TB1A22SD231108500W</t>
  </si>
  <si>
    <t>TB1A22SD231109000W</t>
  </si>
  <si>
    <t>TB1A22SD231109500W</t>
  </si>
  <si>
    <t>TB1A22SD231110000W</t>
  </si>
  <si>
    <t>TB1A22SD231111000W</t>
  </si>
  <si>
    <t>TB0A612F214105000M</t>
  </si>
  <si>
    <t>TB0A612F214105500M</t>
  </si>
  <si>
    <t>TB0A612F214106000M</t>
  </si>
  <si>
    <t>TB0A612F214106500M</t>
  </si>
  <si>
    <t>TB0A612F214107000M</t>
  </si>
  <si>
    <t>TB0A612F214107500M</t>
  </si>
  <si>
    <t>TB0A612F214108000M</t>
  </si>
  <si>
    <t>TB0A612F214108500M</t>
  </si>
  <si>
    <t>TB0A612F214109000M</t>
  </si>
  <si>
    <t>TB0A612F214109500M</t>
  </si>
  <si>
    <t>TB0A612F214110000M</t>
  </si>
  <si>
    <t>TB0A612F214111000M</t>
  </si>
  <si>
    <t>TB0A66T7ECS105500W</t>
  </si>
  <si>
    <t>TB0A66T7ECS106000W</t>
  </si>
  <si>
    <t>TB0A66T7ECS106500W</t>
  </si>
  <si>
    <t>TB0A66T7ECS107000W</t>
  </si>
  <si>
    <t>TB0A66T7ECS107500W</t>
  </si>
  <si>
    <t>TB0A66T7ECS108000W</t>
  </si>
  <si>
    <t>TB0A66T7ECS108500W</t>
  </si>
  <si>
    <t>TB0A66T7ECS109000W</t>
  </si>
  <si>
    <t>TB0A66T7ECS109500W</t>
  </si>
  <si>
    <t>TB0A66T7ECS110000W</t>
  </si>
  <si>
    <t>TB0A66T7ECS111000W</t>
  </si>
  <si>
    <t>TB0A632U001105500W</t>
  </si>
  <si>
    <t>TB0A632U001106000W</t>
  </si>
  <si>
    <t>TB0A632U001106500W</t>
  </si>
  <si>
    <t>TB0A632U001107000W</t>
  </si>
  <si>
    <t>TB0A632U001107500W</t>
  </si>
  <si>
    <t>TB0A632U001108000W</t>
  </si>
  <si>
    <t>TB0A632U001108500W</t>
  </si>
  <si>
    <t>TB0A632U001109000W</t>
  </si>
  <si>
    <t>TB0A632U001109500W</t>
  </si>
  <si>
    <t>TB0A632U001110000W</t>
  </si>
  <si>
    <t>TB0A632U001111000W</t>
  </si>
  <si>
    <t>TB0A6247065105500W</t>
  </si>
  <si>
    <t>TB0A6247065106000W</t>
  </si>
  <si>
    <t>TB0A6247065106500W</t>
  </si>
  <si>
    <t>TB0A6247065107000W</t>
  </si>
  <si>
    <t>TB0A6247065107500W</t>
  </si>
  <si>
    <t>TB0A6247065108000W</t>
  </si>
  <si>
    <t>TB0A6247065108500W</t>
  </si>
  <si>
    <t>TB0A6247065109000W</t>
  </si>
  <si>
    <t>TB0A6247065109500W</t>
  </si>
  <si>
    <t>TB0A6247065110000W</t>
  </si>
  <si>
    <t>TB0A6247065111000W</t>
  </si>
  <si>
    <t>TB1A2A63001106500W</t>
  </si>
  <si>
    <t>TB1A2A63001107000W</t>
  </si>
  <si>
    <t>TB1A2A63001107500W</t>
  </si>
  <si>
    <t>TB1A2A63001108000W</t>
  </si>
  <si>
    <t>TB1A2A63001108500W</t>
  </si>
  <si>
    <t>TB1A2KAJ231105500W</t>
  </si>
  <si>
    <t>TB1A2KAJ231106000W</t>
  </si>
  <si>
    <t>TB1A2KAJ231106500W</t>
  </si>
  <si>
    <t>TB1A2KAJ231107000W</t>
  </si>
  <si>
    <t>TB1A2KAJ231107500W</t>
  </si>
  <si>
    <t>TB1A2KAJ231108000W</t>
  </si>
  <si>
    <t>TB1A2KAJ231108500W</t>
  </si>
  <si>
    <t>TB1A2KAJ231109000W</t>
  </si>
  <si>
    <t>TB1A2KAJ231109500W</t>
  </si>
  <si>
    <t>TB1A2KAJ231110000W</t>
  </si>
  <si>
    <t>TB1A2KAJ231111000W</t>
  </si>
  <si>
    <t>TB0A67T3EL0105500W</t>
  </si>
  <si>
    <t>TB0A67T3EL0106000W</t>
  </si>
  <si>
    <t>TB0A67T3EL0106500W</t>
  </si>
  <si>
    <t>TB0A67T3EL0107000W</t>
  </si>
  <si>
    <t>TB0A67T3EL0107500W</t>
  </si>
  <si>
    <t>TB0A67T3EL0108000W</t>
  </si>
  <si>
    <t>TB0A67T3EL0108500W</t>
  </si>
  <si>
    <t>TB0A67T3EL0109000W</t>
  </si>
  <si>
    <t>TB0A67T3EL0109500W</t>
  </si>
  <si>
    <t>TB0A67T3EL0110000W</t>
  </si>
  <si>
    <t>TB0A67T3EL0111000W</t>
  </si>
  <si>
    <t>TB0A5MT2D021028030</t>
  </si>
  <si>
    <t>TB0A5MT2D021030030</t>
  </si>
  <si>
    <t>TB0A5MT2D021031030</t>
  </si>
  <si>
    <t>TB0A5MT2D021032030</t>
  </si>
  <si>
    <t>TB0A5MT2D021033030</t>
  </si>
  <si>
    <t>TB0A5MT2D021034030</t>
  </si>
  <si>
    <t>TB0A5MT2D021036030</t>
  </si>
  <si>
    <t>TB0A5MT2D021038030</t>
  </si>
  <si>
    <t>TB0A5MT2D021040030</t>
  </si>
  <si>
    <t>TB0A5MT2D021042030</t>
  </si>
  <si>
    <t>TB0A5MT2D021044030</t>
  </si>
  <si>
    <t>TB0A5MT2D021046030</t>
  </si>
  <si>
    <t>TB0A5MT2D021028032</t>
  </si>
  <si>
    <t>TB0A5MT2D021030032</t>
  </si>
  <si>
    <t>TB0A5MT2D021031032</t>
  </si>
  <si>
    <t>TB0A5MT2D021032032</t>
  </si>
  <si>
    <t>TB0A5MT2D021033032</t>
  </si>
  <si>
    <t>TB0A5MT2D021034032</t>
  </si>
  <si>
    <t>TB0A5MT2D021036032</t>
  </si>
  <si>
    <t>TB0A5MT2D021038032</t>
  </si>
  <si>
    <t>TB0A5MT2D021040032</t>
  </si>
  <si>
    <t>TB0A5MT2D021042032</t>
  </si>
  <si>
    <t>TB0A5MT2D021044032</t>
  </si>
  <si>
    <t>TB0A5MT2D021046032</t>
  </si>
  <si>
    <t>TB0A5MT2D021028034</t>
  </si>
  <si>
    <t>TB0A5MT2D021030034</t>
  </si>
  <si>
    <t>TB0A5MT2D021031034</t>
  </si>
  <si>
    <t>TB0A5MT2D021032034</t>
  </si>
  <si>
    <t>TB0A5MT2D021033034</t>
  </si>
  <si>
    <t>TB0A5MT2D021034034</t>
  </si>
  <si>
    <t>TB0A5MT2D021036034</t>
  </si>
  <si>
    <t>TB0A5MT2D021038034</t>
  </si>
  <si>
    <t>TB0A5MT2D021040034</t>
  </si>
  <si>
    <t>TB0A5MT2D021042034</t>
  </si>
  <si>
    <t>TB0A5MT2D021044034</t>
  </si>
  <si>
    <t>TB0A5MT2D021046034</t>
  </si>
  <si>
    <t>TB0A5MT2D021028037</t>
  </si>
  <si>
    <t>TB0A5MT2D021030037</t>
  </si>
  <si>
    <t>TB0A5MT2D021032037</t>
  </si>
  <si>
    <t>TB0A5MT2D021034037</t>
  </si>
  <si>
    <t>TB0A5MT2D021036037</t>
  </si>
  <si>
    <t>TB0A5MT2D021038037</t>
  </si>
  <si>
    <t>TB0A5MT2D021040037</t>
  </si>
  <si>
    <t>TB0A5MT2D021042037</t>
  </si>
  <si>
    <t>TB0A5MT2D021044037</t>
  </si>
  <si>
    <t>TB0A5MT2D021046037</t>
  </si>
  <si>
    <t>TB0A5MT2D021048037</t>
  </si>
  <si>
    <t>TB0A5MT2D021050037</t>
  </si>
  <si>
    <t>TB0A5MT2D021052037</t>
  </si>
  <si>
    <t>TB0A5MT2D021054037</t>
  </si>
  <si>
    <t>TB0A5MT2D021056037</t>
  </si>
  <si>
    <t>TB0A5MT2D021058037</t>
  </si>
  <si>
    <t>TB0A5MT2D021060037</t>
  </si>
  <si>
    <t>TB1A237TD02100S000</t>
  </si>
  <si>
    <t>TB1A237TD02100M000</t>
  </si>
  <si>
    <t>TB1A237TD021XXL000</t>
  </si>
  <si>
    <t>TB0A5MR2827104000W</t>
  </si>
  <si>
    <t>TB0A5MR2827105000W</t>
  </si>
  <si>
    <t>TB0A5MR2827106000W</t>
  </si>
  <si>
    <t>TB0A5MR2827107000W</t>
  </si>
  <si>
    <t>TB0A5MR2827108000W</t>
  </si>
  <si>
    <t>TB0A5MR2827109000W</t>
  </si>
  <si>
    <t>TB0A5MR2827110000W</t>
  </si>
  <si>
    <t>TB0A5MR2827111000W</t>
  </si>
  <si>
    <t>TB0A5MR2827112000W</t>
  </si>
  <si>
    <t>TB0A5MR2827113000W</t>
  </si>
  <si>
    <t>TB0A5MR2827114000W</t>
  </si>
  <si>
    <t>TB0A5MR2827115000W</t>
  </si>
  <si>
    <t>TB0A5MR2827116000W</t>
  </si>
  <si>
    <t>TB0A5TTB484104000W</t>
  </si>
  <si>
    <t>TB0A5TTB484105000W</t>
  </si>
  <si>
    <t>TB0A5TTB484106000W</t>
  </si>
  <si>
    <t>TB0A5TTB484107000W</t>
  </si>
  <si>
    <t>TB0A5TTB484108000W</t>
  </si>
  <si>
    <t>TB0A5TTB484109000W</t>
  </si>
  <si>
    <t>TB0A5TTB484110000W</t>
  </si>
  <si>
    <t>TB0A5TTB484111000W</t>
  </si>
  <si>
    <t>TB0A5TTB484112000W</t>
  </si>
  <si>
    <t>TB0A5TTB484113000W</t>
  </si>
  <si>
    <t>TB0A5TTB484115000W</t>
  </si>
  <si>
    <t>TB0A5TTB484116000W</t>
  </si>
  <si>
    <t>TB0A6667EOQ10XS00M</t>
  </si>
  <si>
    <t>TB0A6667EOQ100S00M</t>
  </si>
  <si>
    <t>TB0A6667EOQ100M00M</t>
  </si>
  <si>
    <t>TB0A6667EOQ100L00M</t>
  </si>
  <si>
    <t>TB0A6667EOQ10XL00M</t>
  </si>
  <si>
    <t>TB0A6667EOQ1XXL00M</t>
  </si>
  <si>
    <t>TB09162182710XS00M</t>
  </si>
  <si>
    <t>TB091621827100S00M</t>
  </si>
  <si>
    <t>TB091621827100M00M</t>
  </si>
  <si>
    <t>TB091621827100L00M</t>
  </si>
  <si>
    <t>TB09162182710XL00M</t>
  </si>
  <si>
    <t>TB0916218271XXL00M</t>
  </si>
  <si>
    <t>TB0A2EPW00010OS000</t>
  </si>
  <si>
    <t>Material #</t>
  </si>
  <si>
    <t>Material Name</t>
  </si>
  <si>
    <t>Navigation 1</t>
  </si>
  <si>
    <t>Navigation 2</t>
  </si>
  <si>
    <t>Navigation 3</t>
  </si>
  <si>
    <t>Navigation 4</t>
  </si>
  <si>
    <t>Size Scale</t>
  </si>
  <si>
    <t>Size1</t>
  </si>
  <si>
    <t>Size2</t>
  </si>
  <si>
    <t>UPC Code</t>
  </si>
  <si>
    <t>Wholesale</t>
  </si>
  <si>
    <t>OTS Date</t>
  </si>
  <si>
    <t>TB0A417GEDU1</t>
  </si>
  <si>
    <t>Footwear</t>
  </si>
  <si>
    <t>MENS</t>
  </si>
  <si>
    <t>MENS WORK SNEAKERS</t>
  </si>
  <si>
    <t xml:space="preserve">198266552873  </t>
  </si>
  <si>
    <t>80.00</t>
  </si>
  <si>
    <t xml:space="preserve">198266553160  </t>
  </si>
  <si>
    <t xml:space="preserve">198266553351  </t>
  </si>
  <si>
    <t xml:space="preserve">198266553610  </t>
  </si>
  <si>
    <t xml:space="preserve">198266553788  </t>
  </si>
  <si>
    <t xml:space="preserve">198266554020  </t>
  </si>
  <si>
    <t xml:space="preserve">198266554181  </t>
  </si>
  <si>
    <t xml:space="preserve">198266554358  </t>
  </si>
  <si>
    <t xml:space="preserve">198266554631  </t>
  </si>
  <si>
    <t xml:space="preserve">198266554785  </t>
  </si>
  <si>
    <t xml:space="preserve">198266555041  </t>
  </si>
  <si>
    <t xml:space="preserve">198266555201  </t>
  </si>
  <si>
    <t xml:space="preserve">198266555409  </t>
  </si>
  <si>
    <t>TB0A417GEK51</t>
  </si>
  <si>
    <t xml:space="preserve">198267051702  </t>
  </si>
  <si>
    <t xml:space="preserve">198267051733  </t>
  </si>
  <si>
    <t xml:space="preserve">198267051771  </t>
  </si>
  <si>
    <t xml:space="preserve">198267051818  </t>
  </si>
  <si>
    <t xml:space="preserve">198267051856  </t>
  </si>
  <si>
    <t xml:space="preserve">198267051894  </t>
  </si>
  <si>
    <t xml:space="preserve">198267051931  </t>
  </si>
  <si>
    <t xml:space="preserve">198267051979  </t>
  </si>
  <si>
    <t xml:space="preserve">198267052112  </t>
  </si>
  <si>
    <t xml:space="preserve">198267052150  </t>
  </si>
  <si>
    <t xml:space="preserve">198267052181  </t>
  </si>
  <si>
    <t xml:space="preserve">198267052228  </t>
  </si>
  <si>
    <t xml:space="preserve">198267052266  </t>
  </si>
  <si>
    <t>TB0A66SKEFB1</t>
  </si>
  <si>
    <t xml:space="preserve">197064846191  </t>
  </si>
  <si>
    <t>75.00</t>
  </si>
  <si>
    <t xml:space="preserve">197064846351  </t>
  </si>
  <si>
    <t xml:space="preserve">197064846528  </t>
  </si>
  <si>
    <t xml:space="preserve">197064846580  </t>
  </si>
  <si>
    <t xml:space="preserve">197064846665  </t>
  </si>
  <si>
    <t xml:space="preserve">197064846849  </t>
  </si>
  <si>
    <t xml:space="preserve">197064847020  </t>
  </si>
  <si>
    <t xml:space="preserve">197064847099  </t>
  </si>
  <si>
    <t xml:space="preserve">197064847242  </t>
  </si>
  <si>
    <t xml:space="preserve">197064847297  </t>
  </si>
  <si>
    <t xml:space="preserve">197064847440  </t>
  </si>
  <si>
    <t xml:space="preserve">197064847471  </t>
  </si>
  <si>
    <t xml:space="preserve">197064847723  </t>
  </si>
  <si>
    <t>TB0A66SKEEM1</t>
  </si>
  <si>
    <t xml:space="preserve">197064544769  </t>
  </si>
  <si>
    <t xml:space="preserve">197064544776  </t>
  </si>
  <si>
    <t xml:space="preserve">197064544783  </t>
  </si>
  <si>
    <t xml:space="preserve">197064544790  </t>
  </si>
  <si>
    <t xml:space="preserve">197064545407  </t>
  </si>
  <si>
    <t xml:space="preserve">197064545414  </t>
  </si>
  <si>
    <t xml:space="preserve">197064545421  </t>
  </si>
  <si>
    <t xml:space="preserve">197064545438  </t>
  </si>
  <si>
    <t xml:space="preserve">197064545445  </t>
  </si>
  <si>
    <t xml:space="preserve">197064545452  </t>
  </si>
  <si>
    <t xml:space="preserve">197064545469  </t>
  </si>
  <si>
    <t xml:space="preserve">197064545476  </t>
  </si>
  <si>
    <t xml:space="preserve">197064545483  </t>
  </si>
  <si>
    <t>TB0A44QYEEA1</t>
  </si>
  <si>
    <t xml:space="preserve">198266558295  </t>
  </si>
  <si>
    <t>65.00</t>
  </si>
  <si>
    <t xml:space="preserve">198266558448  </t>
  </si>
  <si>
    <t xml:space="preserve">198266558615  </t>
  </si>
  <si>
    <t xml:space="preserve">198266558820  </t>
  </si>
  <si>
    <t xml:space="preserve">198266559018  </t>
  </si>
  <si>
    <t xml:space="preserve">198266559216  </t>
  </si>
  <si>
    <t xml:space="preserve">198266559407  </t>
  </si>
  <si>
    <t xml:space="preserve">198266559490  </t>
  </si>
  <si>
    <t xml:space="preserve">198266559681  </t>
  </si>
  <si>
    <t xml:space="preserve">198266559988  </t>
  </si>
  <si>
    <t xml:space="preserve">198266560083  </t>
  </si>
  <si>
    <t xml:space="preserve">198266560281  </t>
  </si>
  <si>
    <t xml:space="preserve">198266560472  </t>
  </si>
  <si>
    <t>TB0A66WBV961</t>
  </si>
  <si>
    <t xml:space="preserve">197063754428  </t>
  </si>
  <si>
    <t>85.00</t>
  </si>
  <si>
    <t xml:space="preserve">197063754466  </t>
  </si>
  <si>
    <t xml:space="preserve">197063754527  </t>
  </si>
  <si>
    <t xml:space="preserve">197063754572  </t>
  </si>
  <si>
    <t xml:space="preserve">197063754732  </t>
  </si>
  <si>
    <t xml:space="preserve">197063754800  </t>
  </si>
  <si>
    <t xml:space="preserve">197063754848  </t>
  </si>
  <si>
    <t xml:space="preserve">197063754893  </t>
  </si>
  <si>
    <t xml:space="preserve">197063755043  </t>
  </si>
  <si>
    <t xml:space="preserve">197063755081  </t>
  </si>
  <si>
    <t xml:space="preserve">197063755234  </t>
  </si>
  <si>
    <t xml:space="preserve">197063755272  </t>
  </si>
  <si>
    <t xml:space="preserve">197063755302  </t>
  </si>
  <si>
    <t>TB1A2A550011</t>
  </si>
  <si>
    <t xml:space="preserve">197064737093  </t>
  </si>
  <si>
    <t xml:space="preserve">197064737604  </t>
  </si>
  <si>
    <t xml:space="preserve">197064737710  </t>
  </si>
  <si>
    <t xml:space="preserve">197064737925  </t>
  </si>
  <si>
    <t xml:space="preserve">197064738137  </t>
  </si>
  <si>
    <t xml:space="preserve">197064738250  </t>
  </si>
  <si>
    <t xml:space="preserve">197064738496  </t>
  </si>
  <si>
    <t xml:space="preserve">197064738748  </t>
  </si>
  <si>
    <t xml:space="preserve">197064738960  </t>
  </si>
  <si>
    <t xml:space="preserve">197064739073  </t>
  </si>
  <si>
    <t xml:space="preserve">197064739295  </t>
  </si>
  <si>
    <t xml:space="preserve">197064739509  </t>
  </si>
  <si>
    <t xml:space="preserve">197064739592  </t>
  </si>
  <si>
    <t>TB0A66EBW021</t>
  </si>
  <si>
    <t>MENS WORK 8 INCH BOOTS</t>
  </si>
  <si>
    <t xml:space="preserve">197642619131  </t>
  </si>
  <si>
    <t>150.00</t>
  </si>
  <si>
    <t xml:space="preserve">197064840755  </t>
  </si>
  <si>
    <t xml:space="preserve">197064840946  </t>
  </si>
  <si>
    <t xml:space="preserve">197064841127  </t>
  </si>
  <si>
    <t xml:space="preserve">197064841417  </t>
  </si>
  <si>
    <t xml:space="preserve">197064841615  </t>
  </si>
  <si>
    <t xml:space="preserve">197064841813  </t>
  </si>
  <si>
    <t xml:space="preserve">197064842001  </t>
  </si>
  <si>
    <t xml:space="preserve">197064842209  </t>
  </si>
  <si>
    <t xml:space="preserve">197064842292  </t>
  </si>
  <si>
    <t xml:space="preserve">197642619162  </t>
  </si>
  <si>
    <t xml:space="preserve">197064842568  </t>
  </si>
  <si>
    <t xml:space="preserve">197064842766  </t>
  </si>
  <si>
    <t xml:space="preserve">197064842957  </t>
  </si>
  <si>
    <t xml:space="preserve">197064843220  </t>
  </si>
  <si>
    <t>TB0A64A7W021</t>
  </si>
  <si>
    <t xml:space="preserve">197803898801  </t>
  </si>
  <si>
    <t>130.00</t>
  </si>
  <si>
    <t xml:space="preserve">197803898887  </t>
  </si>
  <si>
    <t xml:space="preserve">197803899143  </t>
  </si>
  <si>
    <t xml:space="preserve">197803899181  </t>
  </si>
  <si>
    <t xml:space="preserve">197803899419  </t>
  </si>
  <si>
    <t xml:space="preserve">197803899440  </t>
  </si>
  <si>
    <t xml:space="preserve">197803899471  </t>
  </si>
  <si>
    <t xml:space="preserve">197803899808  </t>
  </si>
  <si>
    <t xml:space="preserve">197803899839  </t>
  </si>
  <si>
    <t xml:space="preserve">197803899853  </t>
  </si>
  <si>
    <t xml:space="preserve">197803899877  </t>
  </si>
  <si>
    <t xml:space="preserve">197803900108  </t>
  </si>
  <si>
    <t xml:space="preserve">197803900139  </t>
  </si>
  <si>
    <t>TB0A63PUEM41</t>
  </si>
  <si>
    <t xml:space="preserve">197803894827  </t>
  </si>
  <si>
    <t>137.50</t>
  </si>
  <si>
    <t xml:space="preserve">197803895244  </t>
  </si>
  <si>
    <t xml:space="preserve">197803895640  </t>
  </si>
  <si>
    <t xml:space="preserve">197803896067  </t>
  </si>
  <si>
    <t xml:space="preserve">197803896487  </t>
  </si>
  <si>
    <t xml:space="preserve">197803896876  </t>
  </si>
  <si>
    <t xml:space="preserve">197803897248  </t>
  </si>
  <si>
    <t xml:space="preserve">197803897521  </t>
  </si>
  <si>
    <t xml:space="preserve">197803897781  </t>
  </si>
  <si>
    <t xml:space="preserve">197803898160  </t>
  </si>
  <si>
    <t xml:space="preserve">197803898504  </t>
  </si>
  <si>
    <t xml:space="preserve">197803898764  </t>
  </si>
  <si>
    <t xml:space="preserve">197803899099  </t>
  </si>
  <si>
    <t xml:space="preserve">197803899525  </t>
  </si>
  <si>
    <t xml:space="preserve">197803899686  </t>
  </si>
  <si>
    <t xml:space="preserve">197803899969  </t>
  </si>
  <si>
    <t xml:space="preserve">197803900085  </t>
  </si>
  <si>
    <t xml:space="preserve">197803900290  </t>
  </si>
  <si>
    <t xml:space="preserve">197803900443  </t>
  </si>
  <si>
    <t xml:space="preserve">197803900603  </t>
  </si>
  <si>
    <t xml:space="preserve">197803900825  </t>
  </si>
  <si>
    <t xml:space="preserve">197803895046  </t>
  </si>
  <si>
    <t xml:space="preserve">197803895541  </t>
  </si>
  <si>
    <t xml:space="preserve">197803895862  </t>
  </si>
  <si>
    <t xml:space="preserve">197803896289  </t>
  </si>
  <si>
    <t xml:space="preserve">197803896692  </t>
  </si>
  <si>
    <t xml:space="preserve">197803897064  </t>
  </si>
  <si>
    <t xml:space="preserve">197803897323  </t>
  </si>
  <si>
    <t xml:space="preserve">197803897705  </t>
  </si>
  <si>
    <t xml:space="preserve">197803897989  </t>
  </si>
  <si>
    <t xml:space="preserve">197803898313  </t>
  </si>
  <si>
    <t xml:space="preserve">197803898580  </t>
  </si>
  <si>
    <t xml:space="preserve">197803898962  </t>
  </si>
  <si>
    <t xml:space="preserve">197803899310  </t>
  </si>
  <si>
    <t xml:space="preserve">197803899587  </t>
  </si>
  <si>
    <t xml:space="preserve">197803899778  </t>
  </si>
  <si>
    <t xml:space="preserve">197803900023  </t>
  </si>
  <si>
    <t xml:space="preserve">197803900238  </t>
  </si>
  <si>
    <t xml:space="preserve">197803900368  </t>
  </si>
  <si>
    <t xml:space="preserve">197803900528  </t>
  </si>
  <si>
    <t xml:space="preserve">197803900689  </t>
  </si>
  <si>
    <t xml:space="preserve">197803900962  </t>
  </si>
  <si>
    <t>TB0A63PUW021</t>
  </si>
  <si>
    <t xml:space="preserve">197803894711  </t>
  </si>
  <si>
    <t xml:space="preserve">197803894797  </t>
  </si>
  <si>
    <t xml:space="preserve">197803894988  </t>
  </si>
  <si>
    <t xml:space="preserve">197803895169  </t>
  </si>
  <si>
    <t xml:space="preserve">197803895350  </t>
  </si>
  <si>
    <t xml:space="preserve">197803895442  </t>
  </si>
  <si>
    <t xml:space="preserve">197803895725  </t>
  </si>
  <si>
    <t xml:space="preserve">197803895916  </t>
  </si>
  <si>
    <t xml:space="preserve">197803896104  </t>
  </si>
  <si>
    <t xml:space="preserve">197804656912  </t>
  </si>
  <si>
    <t xml:space="preserve">197803896302  </t>
  </si>
  <si>
    <t xml:space="preserve">197803896500  </t>
  </si>
  <si>
    <t xml:space="preserve">197803896593  </t>
  </si>
  <si>
    <t xml:space="preserve">197803896791  </t>
  </si>
  <si>
    <t>TB0A67TQEM41</t>
  </si>
  <si>
    <t xml:space="preserve">197803900733  </t>
  </si>
  <si>
    <t xml:space="preserve">197803900771  </t>
  </si>
  <si>
    <t xml:space="preserve">197803901518  </t>
  </si>
  <si>
    <t xml:space="preserve">197803901556  </t>
  </si>
  <si>
    <t xml:space="preserve">197803901594  </t>
  </si>
  <si>
    <t xml:space="preserve">197803902133  </t>
  </si>
  <si>
    <t xml:space="preserve">197803902164  </t>
  </si>
  <si>
    <t xml:space="preserve">197803902607  </t>
  </si>
  <si>
    <t xml:space="preserve">197803902621  </t>
  </si>
  <si>
    <t xml:space="preserve">197803902645  </t>
  </si>
  <si>
    <t xml:space="preserve">197803902669  </t>
  </si>
  <si>
    <t xml:space="preserve">197803902683  </t>
  </si>
  <si>
    <t xml:space="preserve">197803903307  </t>
  </si>
  <si>
    <t xml:space="preserve">197803903321  </t>
  </si>
  <si>
    <t xml:space="preserve">197803900757  </t>
  </si>
  <si>
    <t xml:space="preserve">197803900795  </t>
  </si>
  <si>
    <t xml:space="preserve">197803901532  </t>
  </si>
  <si>
    <t xml:space="preserve">197803901570  </t>
  </si>
  <si>
    <t xml:space="preserve">197803902119  </t>
  </si>
  <si>
    <t xml:space="preserve">197803902140  </t>
  </si>
  <si>
    <t xml:space="preserve">197803902188  </t>
  </si>
  <si>
    <t xml:space="preserve">197803902614  </t>
  </si>
  <si>
    <t xml:space="preserve">197803902638  </t>
  </si>
  <si>
    <t xml:space="preserve">197803902652  </t>
  </si>
  <si>
    <t xml:space="preserve">197803902676  </t>
  </si>
  <si>
    <t xml:space="preserve">197803902690  </t>
  </si>
  <si>
    <t xml:space="preserve">197803903314  </t>
  </si>
  <si>
    <t xml:space="preserve">197803903338  </t>
  </si>
  <si>
    <t>TB0A639QW011</t>
  </si>
  <si>
    <t xml:space="preserve">197804656929  </t>
  </si>
  <si>
    <t>120.00</t>
  </si>
  <si>
    <t xml:space="preserve">197804656936  </t>
  </si>
  <si>
    <t xml:space="preserve">197804656943  </t>
  </si>
  <si>
    <t xml:space="preserve">197804656950  </t>
  </si>
  <si>
    <t xml:space="preserve">197804656967  </t>
  </si>
  <si>
    <t xml:space="preserve">197804656974  </t>
  </si>
  <si>
    <t xml:space="preserve">197804656981  </t>
  </si>
  <si>
    <t xml:space="preserve">197804656998  </t>
  </si>
  <si>
    <t xml:space="preserve">197804657209  </t>
  </si>
  <si>
    <t xml:space="preserve">197804657216  </t>
  </si>
  <si>
    <t xml:space="preserve">197804657230  </t>
  </si>
  <si>
    <t xml:space="preserve">197804657247  </t>
  </si>
  <si>
    <t xml:space="preserve">197804657254  </t>
  </si>
  <si>
    <t xml:space="preserve">197804657261  </t>
  </si>
  <si>
    <t xml:space="preserve">197803894612  </t>
  </si>
  <si>
    <t xml:space="preserve">197803894681  </t>
  </si>
  <si>
    <t xml:space="preserve">197803894872  </t>
  </si>
  <si>
    <t xml:space="preserve">197803895084  </t>
  </si>
  <si>
    <t xml:space="preserve">197803895275  </t>
  </si>
  <si>
    <t xml:space="preserve">197803895572  </t>
  </si>
  <si>
    <t xml:space="preserve">197803895664  </t>
  </si>
  <si>
    <t xml:space="preserve">197803895855  </t>
  </si>
  <si>
    <t xml:space="preserve">197803896043  </t>
  </si>
  <si>
    <t xml:space="preserve">197804657223  </t>
  </si>
  <si>
    <t xml:space="preserve">197803896241  </t>
  </si>
  <si>
    <t xml:space="preserve">197803896449  </t>
  </si>
  <si>
    <t xml:space="preserve">197803896647  </t>
  </si>
  <si>
    <t xml:space="preserve">197803896869  </t>
  </si>
  <si>
    <t>TB0A66MKELE1</t>
  </si>
  <si>
    <t xml:space="preserve">197064846221  </t>
  </si>
  <si>
    <t xml:space="preserve">197064846450  </t>
  </si>
  <si>
    <t xml:space="preserve">197064846795  </t>
  </si>
  <si>
    <t xml:space="preserve">197064847105  </t>
  </si>
  <si>
    <t xml:space="preserve">197064847310  </t>
  </si>
  <si>
    <t xml:space="preserve">197064847532  </t>
  </si>
  <si>
    <t xml:space="preserve">197064847655  </t>
  </si>
  <si>
    <t xml:space="preserve">197064847853  </t>
  </si>
  <si>
    <t xml:space="preserve">197064848089  </t>
  </si>
  <si>
    <t xml:space="preserve">197064848423  </t>
  </si>
  <si>
    <t xml:space="preserve">197064848553  </t>
  </si>
  <si>
    <t xml:space="preserve">197064848812  </t>
  </si>
  <si>
    <t xml:space="preserve">197064849161  </t>
  </si>
  <si>
    <t xml:space="preserve">197064849512  </t>
  </si>
  <si>
    <t xml:space="preserve">197064846283  </t>
  </si>
  <si>
    <t xml:space="preserve">197064846726  </t>
  </si>
  <si>
    <t xml:space="preserve">197064846955  </t>
  </si>
  <si>
    <t xml:space="preserve">197064847150  </t>
  </si>
  <si>
    <t xml:space="preserve">197064847396  </t>
  </si>
  <si>
    <t xml:space="preserve">197064847594  </t>
  </si>
  <si>
    <t xml:space="preserve">197064847808  </t>
  </si>
  <si>
    <t xml:space="preserve">197064848010  </t>
  </si>
  <si>
    <t xml:space="preserve">197064848256  </t>
  </si>
  <si>
    <t xml:space="preserve">197064848485  </t>
  </si>
  <si>
    <t xml:space="preserve">197064848737  </t>
  </si>
  <si>
    <t xml:space="preserve">197064848881  </t>
  </si>
  <si>
    <t xml:space="preserve">197064849338  </t>
  </si>
  <si>
    <t xml:space="preserve">197064849598  </t>
  </si>
  <si>
    <t>TB1A5M6J2141</t>
  </si>
  <si>
    <t xml:space="preserve">197064684939  </t>
  </si>
  <si>
    <t>140.00</t>
  </si>
  <si>
    <t xml:space="preserve">197064685011  </t>
  </si>
  <si>
    <t xml:space="preserve">197064685066  </t>
  </si>
  <si>
    <t xml:space="preserve">197064685202  </t>
  </si>
  <si>
    <t xml:space="preserve">197064685257  </t>
  </si>
  <si>
    <t xml:space="preserve">197064685288  </t>
  </si>
  <si>
    <t xml:space="preserve">197064685424  </t>
  </si>
  <si>
    <t xml:space="preserve">197064685455  </t>
  </si>
  <si>
    <t xml:space="preserve">197064685486  </t>
  </si>
  <si>
    <t xml:space="preserve">197064685516  </t>
  </si>
  <si>
    <t xml:space="preserve">197064685547  </t>
  </si>
  <si>
    <t xml:space="preserve">197064685561  </t>
  </si>
  <si>
    <t xml:space="preserve">197064685578  </t>
  </si>
  <si>
    <t>TB1A5X270011</t>
  </si>
  <si>
    <t xml:space="preserve">197064689873  </t>
  </si>
  <si>
    <t>125.00</t>
  </si>
  <si>
    <t xml:space="preserve">197064690077  </t>
  </si>
  <si>
    <t xml:space="preserve">197064690190  </t>
  </si>
  <si>
    <t xml:space="preserve">197064690404  </t>
  </si>
  <si>
    <t xml:space="preserve">197064690657  </t>
  </si>
  <si>
    <t xml:space="preserve">197064690909  </t>
  </si>
  <si>
    <t xml:space="preserve">197064691142  </t>
  </si>
  <si>
    <t xml:space="preserve">197064691265  </t>
  </si>
  <si>
    <t xml:space="preserve">197064691470  </t>
  </si>
  <si>
    <t xml:space="preserve">197064691692  </t>
  </si>
  <si>
    <t xml:space="preserve">197064691906  </t>
  </si>
  <si>
    <t xml:space="preserve">197064692118  </t>
  </si>
  <si>
    <t xml:space="preserve">197064692187  </t>
  </si>
  <si>
    <t>TB1A12EO0011</t>
  </si>
  <si>
    <t xml:space="preserve">197064682713  </t>
  </si>
  <si>
    <t xml:space="preserve">197064683000  </t>
  </si>
  <si>
    <t xml:space="preserve">197064683079  </t>
  </si>
  <si>
    <t xml:space="preserve">197064683376  </t>
  </si>
  <si>
    <t xml:space="preserve">197064683543  </t>
  </si>
  <si>
    <t xml:space="preserve">197064683833  </t>
  </si>
  <si>
    <t xml:space="preserve">197064684052  </t>
  </si>
  <si>
    <t xml:space="preserve">197064684236  </t>
  </si>
  <si>
    <t xml:space="preserve">197064684328  </t>
  </si>
  <si>
    <t xml:space="preserve">197064684502  </t>
  </si>
  <si>
    <t xml:space="preserve">197064684571  </t>
  </si>
  <si>
    <t xml:space="preserve">197064684632  </t>
  </si>
  <si>
    <t xml:space="preserve">197064684694  </t>
  </si>
  <si>
    <t>TB1A12EZ2141</t>
  </si>
  <si>
    <t xml:space="preserve">197064682362  </t>
  </si>
  <si>
    <t xml:space="preserve">197064682874  </t>
  </si>
  <si>
    <t xml:space="preserve">197064682980  </t>
  </si>
  <si>
    <t xml:space="preserve">197064683192  </t>
  </si>
  <si>
    <t xml:space="preserve">197064683291  </t>
  </si>
  <si>
    <t xml:space="preserve">197064683499  </t>
  </si>
  <si>
    <t xml:space="preserve">197064683703  </t>
  </si>
  <si>
    <t xml:space="preserve">197064683925  </t>
  </si>
  <si>
    <t xml:space="preserve">197064684106  </t>
  </si>
  <si>
    <t xml:space="preserve">197064684168  </t>
  </si>
  <si>
    <t xml:space="preserve">197064684403  </t>
  </si>
  <si>
    <t xml:space="preserve">197064684441  </t>
  </si>
  <si>
    <t xml:space="preserve">197064684472  </t>
  </si>
  <si>
    <t>TB1A1Q6Z0011</t>
  </si>
  <si>
    <t xml:space="preserve">197064682744  </t>
  </si>
  <si>
    <t>155.00</t>
  </si>
  <si>
    <t xml:space="preserve">197064683048  </t>
  </si>
  <si>
    <t xml:space="preserve">197064683338  </t>
  </si>
  <si>
    <t xml:space="preserve">197064683529  </t>
  </si>
  <si>
    <t xml:space="preserve">197064683802  </t>
  </si>
  <si>
    <t xml:space="preserve">197064683895  </t>
  </si>
  <si>
    <t xml:space="preserve">197064684076  </t>
  </si>
  <si>
    <t xml:space="preserve">197064684250  </t>
  </si>
  <si>
    <t xml:space="preserve">197064684342  </t>
  </si>
  <si>
    <t xml:space="preserve">197064684540  </t>
  </si>
  <si>
    <t xml:space="preserve">197064684625  </t>
  </si>
  <si>
    <t xml:space="preserve">197064684663  </t>
  </si>
  <si>
    <t xml:space="preserve">197064684823  </t>
  </si>
  <si>
    <t>TB1A1RW22141</t>
  </si>
  <si>
    <t xml:space="preserve">197064682768  </t>
  </si>
  <si>
    <t xml:space="preserve">197064683055  </t>
  </si>
  <si>
    <t xml:space="preserve">197064683345  </t>
  </si>
  <si>
    <t xml:space="preserve">197064683567  </t>
  </si>
  <si>
    <t xml:space="preserve">197064683864  </t>
  </si>
  <si>
    <t xml:space="preserve">197064684045  </t>
  </si>
  <si>
    <t xml:space="preserve">197064684229  </t>
  </si>
  <si>
    <t xml:space="preserve">197064684298  </t>
  </si>
  <si>
    <t xml:space="preserve">197064684397  </t>
  </si>
  <si>
    <t xml:space="preserve">197064684564  </t>
  </si>
  <si>
    <t xml:space="preserve">197064684595  </t>
  </si>
  <si>
    <t xml:space="preserve">197064684649  </t>
  </si>
  <si>
    <t xml:space="preserve">197064684816  </t>
  </si>
  <si>
    <t>TB1A1V3W2701</t>
  </si>
  <si>
    <t xml:space="preserve">197064669554  </t>
  </si>
  <si>
    <t xml:space="preserve">197064669820  </t>
  </si>
  <si>
    <t xml:space="preserve">197064669875  </t>
  </si>
  <si>
    <t xml:space="preserve">197064670154  </t>
  </si>
  <si>
    <t xml:space="preserve">197064670413  </t>
  </si>
  <si>
    <t xml:space="preserve">197064670475  </t>
  </si>
  <si>
    <t xml:space="preserve">197064670734  </t>
  </si>
  <si>
    <t xml:space="preserve">197064670796  </t>
  </si>
  <si>
    <t xml:space="preserve">197064671052  </t>
  </si>
  <si>
    <t xml:space="preserve">197064671090  </t>
  </si>
  <si>
    <t xml:space="preserve">197064671328  </t>
  </si>
  <si>
    <t xml:space="preserve">197064671359  </t>
  </si>
  <si>
    <t xml:space="preserve">197064671397  </t>
  </si>
  <si>
    <t>TB1A2APK0011</t>
  </si>
  <si>
    <t xml:space="preserve">197064671458  </t>
  </si>
  <si>
    <t xml:space="preserve">197064671540  </t>
  </si>
  <si>
    <t xml:space="preserve">197064671717  </t>
  </si>
  <si>
    <t xml:space="preserve">197064671816  </t>
  </si>
  <si>
    <t xml:space="preserve">197064671878  </t>
  </si>
  <si>
    <t xml:space="preserve">197064671977  </t>
  </si>
  <si>
    <t xml:space="preserve">197064672158  </t>
  </si>
  <si>
    <t xml:space="preserve">197064672189  </t>
  </si>
  <si>
    <t xml:space="preserve">197064672264  </t>
  </si>
  <si>
    <t xml:space="preserve">197064672455  </t>
  </si>
  <si>
    <t xml:space="preserve">197064672547  </t>
  </si>
  <si>
    <t xml:space="preserve">197064672752  </t>
  </si>
  <si>
    <t xml:space="preserve">197064672868  </t>
  </si>
  <si>
    <t>TB1896450011</t>
  </si>
  <si>
    <t xml:space="preserve">197064514120  </t>
  </si>
  <si>
    <t>160.00</t>
  </si>
  <si>
    <t xml:space="preserve">197064514205  </t>
  </si>
  <si>
    <t xml:space="preserve">197064514342  </t>
  </si>
  <si>
    <t xml:space="preserve">197064514496  </t>
  </si>
  <si>
    <t xml:space="preserve">197064514656  </t>
  </si>
  <si>
    <t xml:space="preserve">197064514809  </t>
  </si>
  <si>
    <t xml:space="preserve">197064514991  </t>
  </si>
  <si>
    <t xml:space="preserve">197064515240  </t>
  </si>
  <si>
    <t xml:space="preserve">197064515424  </t>
  </si>
  <si>
    <t xml:space="preserve">197642318270  </t>
  </si>
  <si>
    <t xml:space="preserve">197064515585  </t>
  </si>
  <si>
    <t xml:space="preserve">197064515745  </t>
  </si>
  <si>
    <t xml:space="preserve">197064515882  </t>
  </si>
  <si>
    <t xml:space="preserve">197064516063  </t>
  </si>
  <si>
    <t>TB1896462141</t>
  </si>
  <si>
    <t xml:space="preserve">197064514144  </t>
  </si>
  <si>
    <t xml:space="preserve">197064514526  </t>
  </si>
  <si>
    <t xml:space="preserve">197064514861  </t>
  </si>
  <si>
    <t xml:space="preserve">197064515332  </t>
  </si>
  <si>
    <t xml:space="preserve">197064515691  </t>
  </si>
  <si>
    <t xml:space="preserve">197064516025  </t>
  </si>
  <si>
    <t xml:space="preserve">197064516346  </t>
  </si>
  <si>
    <t xml:space="preserve">197064516681  </t>
  </si>
  <si>
    <t xml:space="preserve">197064517091  </t>
  </si>
  <si>
    <t xml:space="preserve">197642372081  </t>
  </si>
  <si>
    <t xml:space="preserve">197064517459  </t>
  </si>
  <si>
    <t xml:space="preserve">197064517800  </t>
  </si>
  <si>
    <t xml:space="preserve">197064518135  </t>
  </si>
  <si>
    <t xml:space="preserve">197064518548  </t>
  </si>
  <si>
    <t xml:space="preserve">197064514304  </t>
  </si>
  <si>
    <t xml:space="preserve">197064514700  </t>
  </si>
  <si>
    <t xml:space="preserve">197064515158  </t>
  </si>
  <si>
    <t xml:space="preserve">197064515509  </t>
  </si>
  <si>
    <t xml:space="preserve">197064515875  </t>
  </si>
  <si>
    <t xml:space="preserve">197064516186  </t>
  </si>
  <si>
    <t xml:space="preserve">197064516513  </t>
  </si>
  <si>
    <t xml:space="preserve">197064516827  </t>
  </si>
  <si>
    <t xml:space="preserve">197064517244  </t>
  </si>
  <si>
    <t xml:space="preserve">197642372098  </t>
  </si>
  <si>
    <t xml:space="preserve">197064517633  </t>
  </si>
  <si>
    <t xml:space="preserve">197064517961  </t>
  </si>
  <si>
    <t xml:space="preserve">197064518388  </t>
  </si>
  <si>
    <t xml:space="preserve">197064518708  </t>
  </si>
  <si>
    <t>TB1A21B72311</t>
  </si>
  <si>
    <t xml:space="preserve">197064668670  </t>
  </si>
  <si>
    <t xml:space="preserve">197064668861  </t>
  </si>
  <si>
    <t xml:space="preserve">197064669103  </t>
  </si>
  <si>
    <t xml:space="preserve">197064669349  </t>
  </si>
  <si>
    <t xml:space="preserve">197064669479  </t>
  </si>
  <si>
    <t xml:space="preserve">197064669714  </t>
  </si>
  <si>
    <t xml:space="preserve">197064669912  </t>
  </si>
  <si>
    <t xml:space="preserve">197064670086  </t>
  </si>
  <si>
    <t xml:space="preserve">197064670307  </t>
  </si>
  <si>
    <t xml:space="preserve">197064670543  </t>
  </si>
  <si>
    <t xml:space="preserve">197064670673  </t>
  </si>
  <si>
    <t xml:space="preserve">197064670871  </t>
  </si>
  <si>
    <t xml:space="preserve">197064671106  </t>
  </si>
  <si>
    <t>TB0A67B3W021</t>
  </si>
  <si>
    <t xml:space="preserve">197065819484  </t>
  </si>
  <si>
    <t>175.00</t>
  </si>
  <si>
    <t xml:space="preserve">197065819606  </t>
  </si>
  <si>
    <t xml:space="preserve">197065819637  </t>
  </si>
  <si>
    <t xml:space="preserve">197065819651  </t>
  </si>
  <si>
    <t xml:space="preserve">197065819675  </t>
  </si>
  <si>
    <t xml:space="preserve">197065819699  </t>
  </si>
  <si>
    <t xml:space="preserve">197065819712  </t>
  </si>
  <si>
    <t xml:space="preserve">197065819736  </t>
  </si>
  <si>
    <t xml:space="preserve">197065819750  </t>
  </si>
  <si>
    <t xml:space="preserve">197642389393  </t>
  </si>
  <si>
    <t xml:space="preserve">197065819774  </t>
  </si>
  <si>
    <t xml:space="preserve">197065819798  </t>
  </si>
  <si>
    <t xml:space="preserve">197065819811  </t>
  </si>
  <si>
    <t xml:space="preserve">197065819828  </t>
  </si>
  <si>
    <t xml:space="preserve">197064848591  </t>
  </si>
  <si>
    <t xml:space="preserve">197064848775  </t>
  </si>
  <si>
    <t xml:space="preserve">197064848843  </t>
  </si>
  <si>
    <t xml:space="preserve">197064849130  </t>
  </si>
  <si>
    <t xml:space="preserve">197064849321  </t>
  </si>
  <si>
    <t xml:space="preserve">197064849390  </t>
  </si>
  <si>
    <t xml:space="preserve">197064849581  </t>
  </si>
  <si>
    <t xml:space="preserve">197064849758  </t>
  </si>
  <si>
    <t xml:space="preserve">197064849901  </t>
  </si>
  <si>
    <t xml:space="preserve">197642389409  </t>
  </si>
  <si>
    <t xml:space="preserve">197064849970  </t>
  </si>
  <si>
    <t xml:space="preserve">197064850112  </t>
  </si>
  <si>
    <t xml:space="preserve">197064850174  </t>
  </si>
  <si>
    <t xml:space="preserve">197064850334  </t>
  </si>
  <si>
    <t>TB1A29S70011</t>
  </si>
  <si>
    <t xml:space="preserve">197064711062  </t>
  </si>
  <si>
    <t>185.00</t>
  </si>
  <si>
    <t xml:space="preserve">197064711208  </t>
  </si>
  <si>
    <t xml:space="preserve">197064711246  </t>
  </si>
  <si>
    <t xml:space="preserve">197064711321  </t>
  </si>
  <si>
    <t xml:space="preserve">197064711383  </t>
  </si>
  <si>
    <t xml:space="preserve">197064711529  </t>
  </si>
  <si>
    <t xml:space="preserve">197064711581  </t>
  </si>
  <si>
    <t xml:space="preserve">197064711758  </t>
  </si>
  <si>
    <t xml:space="preserve">197064711802  </t>
  </si>
  <si>
    <t xml:space="preserve">197064711857  </t>
  </si>
  <si>
    <t xml:space="preserve">197064712007  </t>
  </si>
  <si>
    <t xml:space="preserve">197064712052  </t>
  </si>
  <si>
    <t xml:space="preserve">197064712090  </t>
  </si>
  <si>
    <t>TB1A131D0011</t>
  </si>
  <si>
    <t xml:space="preserve">197064668786  </t>
  </si>
  <si>
    <t>170.00</t>
  </si>
  <si>
    <t xml:space="preserve">197064668939  </t>
  </si>
  <si>
    <t xml:space="preserve">197064668991  </t>
  </si>
  <si>
    <t xml:space="preserve">197064669271  </t>
  </si>
  <si>
    <t xml:space="preserve">197064669530  </t>
  </si>
  <si>
    <t xml:space="preserve">197064669813  </t>
  </si>
  <si>
    <t xml:space="preserve">197064669899  </t>
  </si>
  <si>
    <t xml:space="preserve">197064670130  </t>
  </si>
  <si>
    <t xml:space="preserve">197064670192  </t>
  </si>
  <si>
    <t xml:space="preserve">197064670451  </t>
  </si>
  <si>
    <t xml:space="preserve">197064670703  </t>
  </si>
  <si>
    <t xml:space="preserve">197064670772  </t>
  </si>
  <si>
    <t xml:space="preserve">197064671021  </t>
  </si>
  <si>
    <t>TB1A1VYP0011</t>
  </si>
  <si>
    <t xml:space="preserve">197064647484  </t>
  </si>
  <si>
    <t xml:space="preserve">197064647750  </t>
  </si>
  <si>
    <t xml:space="preserve">197064647910  </t>
  </si>
  <si>
    <t xml:space="preserve">197064647972  </t>
  </si>
  <si>
    <t xml:space="preserve">197064648146  </t>
  </si>
  <si>
    <t xml:space="preserve">197064648313  </t>
  </si>
  <si>
    <t xml:space="preserve">197064648375  </t>
  </si>
  <si>
    <t xml:space="preserve">197064648559  </t>
  </si>
  <si>
    <t xml:space="preserve">197064648733  </t>
  </si>
  <si>
    <t xml:space="preserve">197064648900  </t>
  </si>
  <si>
    <t xml:space="preserve">197064648979  </t>
  </si>
  <si>
    <t xml:space="preserve">197064649242  </t>
  </si>
  <si>
    <t xml:space="preserve">197064649297  </t>
  </si>
  <si>
    <t>TB0A63V6W021</t>
  </si>
  <si>
    <t xml:space="preserve">197803894759  </t>
  </si>
  <si>
    <t xml:space="preserve">197803895152  </t>
  </si>
  <si>
    <t xml:space="preserve">197803895411  </t>
  </si>
  <si>
    <t xml:space="preserve">197803895770  </t>
  </si>
  <si>
    <t xml:space="preserve">197803896166  </t>
  </si>
  <si>
    <t xml:space="preserve">197803896531  </t>
  </si>
  <si>
    <t xml:space="preserve">197803896906  </t>
  </si>
  <si>
    <t xml:space="preserve">197803897149  </t>
  </si>
  <si>
    <t xml:space="preserve">197803897484  </t>
  </si>
  <si>
    <t xml:space="preserve">197803897811  </t>
  </si>
  <si>
    <t xml:space="preserve">197803898047  </t>
  </si>
  <si>
    <t xml:space="preserve">197803898269  </t>
  </si>
  <si>
    <t xml:space="preserve">197803898603  </t>
  </si>
  <si>
    <t xml:space="preserve">197803898825  </t>
  </si>
  <si>
    <t xml:space="preserve">197803894940  </t>
  </si>
  <si>
    <t xml:space="preserve">197803895336  </t>
  </si>
  <si>
    <t xml:space="preserve">197803895497  </t>
  </si>
  <si>
    <t xml:space="preserve">197803895978  </t>
  </si>
  <si>
    <t xml:space="preserve">197803896357  </t>
  </si>
  <si>
    <t xml:space="preserve">197803896722  </t>
  </si>
  <si>
    <t xml:space="preserve">197803896975  </t>
  </si>
  <si>
    <t xml:space="preserve">197803897408  </t>
  </si>
  <si>
    <t xml:space="preserve">197803897651  </t>
  </si>
  <si>
    <t xml:space="preserve">197803897873  </t>
  </si>
  <si>
    <t xml:space="preserve">197803898092  </t>
  </si>
  <si>
    <t xml:space="preserve">197803898436  </t>
  </si>
  <si>
    <t xml:space="preserve">197803898658  </t>
  </si>
  <si>
    <t xml:space="preserve">197803898894  </t>
  </si>
  <si>
    <t>TB0A66G7EDW1</t>
  </si>
  <si>
    <t xml:space="preserve">197642618950  </t>
  </si>
  <si>
    <t>165.00</t>
  </si>
  <si>
    <t xml:space="preserve">197642618967  </t>
  </si>
  <si>
    <t xml:space="preserve">197642618974  </t>
  </si>
  <si>
    <t xml:space="preserve">197642618981  </t>
  </si>
  <si>
    <t xml:space="preserve">197642618998  </t>
  </si>
  <si>
    <t xml:space="preserve">197642619100  </t>
  </si>
  <si>
    <t xml:space="preserve">197642619117  </t>
  </si>
  <si>
    <t xml:space="preserve">197642619124  </t>
  </si>
  <si>
    <t xml:space="preserve">197642619148  </t>
  </si>
  <si>
    <t xml:space="preserve">197642619155  </t>
  </si>
  <si>
    <t xml:space="preserve">197642619186  </t>
  </si>
  <si>
    <t xml:space="preserve">197642619193  </t>
  </si>
  <si>
    <t xml:space="preserve">197642619209  </t>
  </si>
  <si>
    <t xml:space="preserve">197642619216  </t>
  </si>
  <si>
    <t xml:space="preserve">197064840779  </t>
  </si>
  <si>
    <t xml:space="preserve">197064840922  </t>
  </si>
  <si>
    <t xml:space="preserve">197064840991  </t>
  </si>
  <si>
    <t xml:space="preserve">197064841172  </t>
  </si>
  <si>
    <t xml:space="preserve">197064841462  </t>
  </si>
  <si>
    <t xml:space="preserve">197064841646  </t>
  </si>
  <si>
    <t xml:space="preserve">197064841820  </t>
  </si>
  <si>
    <t xml:space="preserve">197064842018  </t>
  </si>
  <si>
    <t xml:space="preserve">197064842094  </t>
  </si>
  <si>
    <t xml:space="preserve">197642619179  </t>
  </si>
  <si>
    <t xml:space="preserve">197064842261  </t>
  </si>
  <si>
    <t xml:space="preserve">197064842582  </t>
  </si>
  <si>
    <t xml:space="preserve">197064842759  </t>
  </si>
  <si>
    <t xml:space="preserve">197064842919  </t>
  </si>
  <si>
    <t>TB1A1VY30011</t>
  </si>
  <si>
    <t xml:space="preserve">197064682799  </t>
  </si>
  <si>
    <t xml:space="preserve">197064683093  </t>
  </si>
  <si>
    <t xml:space="preserve">197064683369  </t>
  </si>
  <si>
    <t xml:space="preserve">197064683550  </t>
  </si>
  <si>
    <t xml:space="preserve">197064683826  </t>
  </si>
  <si>
    <t xml:space="preserve">197064684014  </t>
  </si>
  <si>
    <t xml:space="preserve">197064684090  </t>
  </si>
  <si>
    <t xml:space="preserve">197064684267  </t>
  </si>
  <si>
    <t xml:space="preserve">197064684359  </t>
  </si>
  <si>
    <t xml:space="preserve">197064684557  </t>
  </si>
  <si>
    <t xml:space="preserve">197064684618  </t>
  </si>
  <si>
    <t xml:space="preserve">197064684670  </t>
  </si>
  <si>
    <t xml:space="preserve">197064684847  </t>
  </si>
  <si>
    <t xml:space="preserve">197064684861  </t>
  </si>
  <si>
    <t xml:space="preserve">197064684908  </t>
  </si>
  <si>
    <t xml:space="preserve">197064684946  </t>
  </si>
  <si>
    <t xml:space="preserve">197064684984  </t>
  </si>
  <si>
    <t xml:space="preserve">197064685035  </t>
  </si>
  <si>
    <t xml:space="preserve">197064685080  </t>
  </si>
  <si>
    <t xml:space="preserve">197064685233  </t>
  </si>
  <si>
    <t>TB1A1WUT0011</t>
  </si>
  <si>
    <t xml:space="preserve">197064682782  </t>
  </si>
  <si>
    <t xml:space="preserve">197064683062  </t>
  </si>
  <si>
    <t xml:space="preserve">197064683383  </t>
  </si>
  <si>
    <t xml:space="preserve">197064683574  </t>
  </si>
  <si>
    <t xml:space="preserve">197064683857  </t>
  </si>
  <si>
    <t xml:space="preserve">197064684021  </t>
  </si>
  <si>
    <t xml:space="preserve">197064684212  </t>
  </si>
  <si>
    <t xml:space="preserve">197064684304  </t>
  </si>
  <si>
    <t xml:space="preserve">197064684366  </t>
  </si>
  <si>
    <t xml:space="preserve">197064684519  </t>
  </si>
  <si>
    <t xml:space="preserve">197064684588  </t>
  </si>
  <si>
    <t xml:space="preserve">197064684656  </t>
  </si>
  <si>
    <t xml:space="preserve">197064684809  </t>
  </si>
  <si>
    <t xml:space="preserve">197064684854  </t>
  </si>
  <si>
    <t xml:space="preserve">197064684892  </t>
  </si>
  <si>
    <t xml:space="preserve">197064684922  </t>
  </si>
  <si>
    <t xml:space="preserve">197064684977  </t>
  </si>
  <si>
    <t xml:space="preserve">197064685028  </t>
  </si>
  <si>
    <t xml:space="preserve">197064685073  </t>
  </si>
  <si>
    <t xml:space="preserve">197064685226  </t>
  </si>
  <si>
    <t>TB0A5MA1W021</t>
  </si>
  <si>
    <t xml:space="preserve">197805935665  </t>
  </si>
  <si>
    <t xml:space="preserve">197805935672  </t>
  </si>
  <si>
    <t xml:space="preserve">197805935689  </t>
  </si>
  <si>
    <t xml:space="preserve">197805935696  </t>
  </si>
  <si>
    <t xml:space="preserve">197805935801  </t>
  </si>
  <si>
    <t xml:space="preserve">197805935818  </t>
  </si>
  <si>
    <t xml:space="preserve">197805935825  </t>
  </si>
  <si>
    <t xml:space="preserve">197805935832  </t>
  </si>
  <si>
    <t xml:space="preserve">197805935849  </t>
  </si>
  <si>
    <t xml:space="preserve">197805935856  </t>
  </si>
  <si>
    <t xml:space="preserve">197805935863  </t>
  </si>
  <si>
    <t xml:space="preserve">197805935870  </t>
  </si>
  <si>
    <t xml:space="preserve">197805935887  </t>
  </si>
  <si>
    <t>TB1A21WK0011</t>
  </si>
  <si>
    <t>MENS WORK SHOES</t>
  </si>
  <si>
    <t xml:space="preserve">197064668779  </t>
  </si>
  <si>
    <t>90.00</t>
  </si>
  <si>
    <t xml:space="preserve">197064668946  </t>
  </si>
  <si>
    <t xml:space="preserve">197064669233  </t>
  </si>
  <si>
    <t xml:space="preserve">197064669516  </t>
  </si>
  <si>
    <t xml:space="preserve">197064669578  </t>
  </si>
  <si>
    <t xml:space="preserve">197064669851  </t>
  </si>
  <si>
    <t xml:space="preserve">197064670116  </t>
  </si>
  <si>
    <t xml:space="preserve">197064670178  </t>
  </si>
  <si>
    <t xml:space="preserve">197064670437  </t>
  </si>
  <si>
    <t xml:space="preserve">197064670499  </t>
  </si>
  <si>
    <t xml:space="preserve">197064670758  </t>
  </si>
  <si>
    <t xml:space="preserve">197064671014  </t>
  </si>
  <si>
    <t xml:space="preserve">197064671069  </t>
  </si>
  <si>
    <t>TB1A21X72141</t>
  </si>
  <si>
    <t xml:space="preserve">197064668687  </t>
  </si>
  <si>
    <t xml:space="preserve">197064669028  </t>
  </si>
  <si>
    <t xml:space="preserve">197064669134  </t>
  </si>
  <si>
    <t xml:space="preserve">197064669394  </t>
  </si>
  <si>
    <t xml:space="preserve">197064669622  </t>
  </si>
  <si>
    <t xml:space="preserve">197064669745  </t>
  </si>
  <si>
    <t xml:space="preserve">197064670000  </t>
  </si>
  <si>
    <t xml:space="preserve">197064670222  </t>
  </si>
  <si>
    <t xml:space="preserve">197064670345  </t>
  </si>
  <si>
    <t xml:space="preserve">197064670550  </t>
  </si>
  <si>
    <t xml:space="preserve">197064670666  </t>
  </si>
  <si>
    <t xml:space="preserve">197064670840  </t>
  </si>
  <si>
    <t xml:space="preserve">197064670956  </t>
  </si>
  <si>
    <t>TB1916700011</t>
  </si>
  <si>
    <t xml:space="preserve">197064647705  </t>
  </si>
  <si>
    <t>95.00</t>
  </si>
  <si>
    <t xml:space="preserve">197064647767  </t>
  </si>
  <si>
    <t xml:space="preserve">197064647934  </t>
  </si>
  <si>
    <t xml:space="preserve">197064648108  </t>
  </si>
  <si>
    <t xml:space="preserve">197064648191  </t>
  </si>
  <si>
    <t xml:space="preserve">197064648368  </t>
  </si>
  <si>
    <t xml:space="preserve">197064648535  </t>
  </si>
  <si>
    <t xml:space="preserve">197064648702  </t>
  </si>
  <si>
    <t xml:space="preserve">197064648795  </t>
  </si>
  <si>
    <t xml:space="preserve">197064648955  </t>
  </si>
  <si>
    <t xml:space="preserve">197064649228  </t>
  </si>
  <si>
    <t xml:space="preserve">197064649419  </t>
  </si>
  <si>
    <t xml:space="preserve">197064649471  </t>
  </si>
  <si>
    <t>TB0A5ZX30011</t>
  </si>
  <si>
    <t xml:space="preserve">194115973615  </t>
  </si>
  <si>
    <t xml:space="preserve">194115973981  </t>
  </si>
  <si>
    <t xml:space="preserve">194115974247  </t>
  </si>
  <si>
    <t xml:space="preserve">194115974490  </t>
  </si>
  <si>
    <t xml:space="preserve">194115974735  </t>
  </si>
  <si>
    <t xml:space="preserve">194115974971  </t>
  </si>
  <si>
    <t xml:space="preserve">194115975213  </t>
  </si>
  <si>
    <t xml:space="preserve">194115975435  </t>
  </si>
  <si>
    <t xml:space="preserve">194115975657  </t>
  </si>
  <si>
    <t xml:space="preserve">194115975855  </t>
  </si>
  <si>
    <t xml:space="preserve">194115976067  </t>
  </si>
  <si>
    <t xml:space="preserve">194115976340  </t>
  </si>
  <si>
    <t xml:space="preserve">194115976586  </t>
  </si>
  <si>
    <t>TB0A61YH0651</t>
  </si>
  <si>
    <t xml:space="preserve">194115973622  </t>
  </si>
  <si>
    <t xml:space="preserve">194115973998  </t>
  </si>
  <si>
    <t xml:space="preserve">194115974261  </t>
  </si>
  <si>
    <t xml:space="preserve">194115974513  </t>
  </si>
  <si>
    <t xml:space="preserve">194115974759  </t>
  </si>
  <si>
    <t xml:space="preserve">194115974995  </t>
  </si>
  <si>
    <t xml:space="preserve">194115975237  </t>
  </si>
  <si>
    <t xml:space="preserve">194115975459  </t>
  </si>
  <si>
    <t xml:space="preserve">194115975671  </t>
  </si>
  <si>
    <t xml:space="preserve">194115975879  </t>
  </si>
  <si>
    <t xml:space="preserve">194115976104  </t>
  </si>
  <si>
    <t xml:space="preserve">194115976371  </t>
  </si>
  <si>
    <t xml:space="preserve">194115976616  </t>
  </si>
  <si>
    <t>TB0A63GKEM41</t>
  </si>
  <si>
    <t>MENS WORK 6 INCH BOOTS</t>
  </si>
  <si>
    <t xml:space="preserve">197803894704  </t>
  </si>
  <si>
    <t xml:space="preserve">197803894773  </t>
  </si>
  <si>
    <t xml:space="preserve">197803894957  </t>
  </si>
  <si>
    <t xml:space="preserve">197803895145  </t>
  </si>
  <si>
    <t xml:space="preserve">197803895329  </t>
  </si>
  <si>
    <t xml:space="preserve">197803895404  </t>
  </si>
  <si>
    <t xml:space="preserve">197803895473  </t>
  </si>
  <si>
    <t xml:space="preserve">197803895787  </t>
  </si>
  <si>
    <t xml:space="preserve">197803895961  </t>
  </si>
  <si>
    <t xml:space="preserve">197803896159  </t>
  </si>
  <si>
    <t xml:space="preserve">197803896340  </t>
  </si>
  <si>
    <t xml:space="preserve">197803896524  </t>
  </si>
  <si>
    <t xml:space="preserve">197803896715  </t>
  </si>
  <si>
    <t>TB0A63GKEDX1</t>
  </si>
  <si>
    <t xml:space="preserve">197805790882  </t>
  </si>
  <si>
    <t xml:space="preserve">197805790899  </t>
  </si>
  <si>
    <t xml:space="preserve">197805791001  </t>
  </si>
  <si>
    <t xml:space="preserve">197805791018  </t>
  </si>
  <si>
    <t xml:space="preserve">197805791025  </t>
  </si>
  <si>
    <t xml:space="preserve">197805791032  </t>
  </si>
  <si>
    <t xml:space="preserve">197805791049  </t>
  </si>
  <si>
    <t xml:space="preserve">197805791056  </t>
  </si>
  <si>
    <t xml:space="preserve">197805791063  </t>
  </si>
  <si>
    <t xml:space="preserve">197805791070  </t>
  </si>
  <si>
    <t xml:space="preserve">197805791094  </t>
  </si>
  <si>
    <t xml:space="preserve">197805791100  </t>
  </si>
  <si>
    <t xml:space="preserve">197805791117  </t>
  </si>
  <si>
    <t xml:space="preserve">197805791124  </t>
  </si>
  <si>
    <t xml:space="preserve">197803894605  </t>
  </si>
  <si>
    <t xml:space="preserve">197803894667  </t>
  </si>
  <si>
    <t xml:space="preserve">197803894858  </t>
  </si>
  <si>
    <t xml:space="preserve">197803895053  </t>
  </si>
  <si>
    <t xml:space="preserve">197803895268  </t>
  </si>
  <si>
    <t xml:space="preserve">197803895565  </t>
  </si>
  <si>
    <t xml:space="preserve">197803895657  </t>
  </si>
  <si>
    <t xml:space="preserve">197803895848  </t>
  </si>
  <si>
    <t xml:space="preserve">197803896074  </t>
  </si>
  <si>
    <t xml:space="preserve">197805791087  </t>
  </si>
  <si>
    <t xml:space="preserve">197803896272  </t>
  </si>
  <si>
    <t xml:space="preserve">197803896494  </t>
  </si>
  <si>
    <t xml:space="preserve">197803896678  </t>
  </si>
  <si>
    <t xml:space="preserve">197803896883  </t>
  </si>
  <si>
    <t>TB0A5TTPENR1</t>
  </si>
  <si>
    <t xml:space="preserve">198266564524  </t>
  </si>
  <si>
    <t xml:space="preserve">198266564531  </t>
  </si>
  <si>
    <t xml:space="preserve">198266564548  </t>
  </si>
  <si>
    <t xml:space="preserve">198266564555  </t>
  </si>
  <si>
    <t xml:space="preserve">198266564562  </t>
  </si>
  <si>
    <t xml:space="preserve">198266564579  </t>
  </si>
  <si>
    <t xml:space="preserve">198266564586  </t>
  </si>
  <si>
    <t xml:space="preserve">198266564593  </t>
  </si>
  <si>
    <t xml:space="preserve">198266564609  </t>
  </si>
  <si>
    <t xml:space="preserve">198266564616  </t>
  </si>
  <si>
    <t xml:space="preserve">198266564623  </t>
  </si>
  <si>
    <t xml:space="preserve">198266564630  </t>
  </si>
  <si>
    <t xml:space="preserve">198266564647  </t>
  </si>
  <si>
    <t>TB0A42EGEM61</t>
  </si>
  <si>
    <t xml:space="preserve">198266552668  </t>
  </si>
  <si>
    <t>105.00</t>
  </si>
  <si>
    <t xml:space="preserve">198266552699  </t>
  </si>
  <si>
    <t xml:space="preserve">198266553030  </t>
  </si>
  <si>
    <t xml:space="preserve">198266553078  </t>
  </si>
  <si>
    <t xml:space="preserve">198266553511  </t>
  </si>
  <si>
    <t xml:space="preserve">198266553559  </t>
  </si>
  <si>
    <t xml:space="preserve">198266553597  </t>
  </si>
  <si>
    <t xml:space="preserve">198266553931  </t>
  </si>
  <si>
    <t xml:space="preserve">198266553979  </t>
  </si>
  <si>
    <t xml:space="preserve">198266554426  </t>
  </si>
  <si>
    <t xml:space="preserve">198266554440  </t>
  </si>
  <si>
    <t xml:space="preserve">198266554488  </t>
  </si>
  <si>
    <t xml:space="preserve">198266554921  </t>
  </si>
  <si>
    <t>TB1A5T7K0011</t>
  </si>
  <si>
    <t xml:space="preserve">197803894476  </t>
  </si>
  <si>
    <t>115.00</t>
  </si>
  <si>
    <t xml:space="preserve">197803894483  </t>
  </si>
  <si>
    <t xml:space="preserve">197803894490  </t>
  </si>
  <si>
    <t xml:space="preserve">197803894506  </t>
  </si>
  <si>
    <t xml:space="preserve">197803894513  </t>
  </si>
  <si>
    <t xml:space="preserve">197803894520  </t>
  </si>
  <si>
    <t xml:space="preserve">197803894537  </t>
  </si>
  <si>
    <t xml:space="preserve">197064705948  </t>
  </si>
  <si>
    <t xml:space="preserve">197064706129  </t>
  </si>
  <si>
    <t xml:space="preserve">197064706310  </t>
  </si>
  <si>
    <t xml:space="preserve">197064706617  </t>
  </si>
  <si>
    <t xml:space="preserve">197064706822  </t>
  </si>
  <si>
    <t xml:space="preserve">197064707010  </t>
  </si>
  <si>
    <t xml:space="preserve">197064707225  </t>
  </si>
  <si>
    <t xml:space="preserve">197064707416  </t>
  </si>
  <si>
    <t xml:space="preserve">197064707607  </t>
  </si>
  <si>
    <t xml:space="preserve">197064707683  </t>
  </si>
  <si>
    <t xml:space="preserve">197064707850  </t>
  </si>
  <si>
    <t xml:space="preserve">197064707911  </t>
  </si>
  <si>
    <t xml:space="preserve">197064707973  </t>
  </si>
  <si>
    <t>TB1A44ZW2311</t>
  </si>
  <si>
    <t xml:space="preserve">197064682843  </t>
  </si>
  <si>
    <t xml:space="preserve">197064682966  </t>
  </si>
  <si>
    <t xml:space="preserve">197064683130  </t>
  </si>
  <si>
    <t xml:space="preserve">197064683239  </t>
  </si>
  <si>
    <t xml:space="preserve">197064683444  </t>
  </si>
  <si>
    <t xml:space="preserve">197064683673  </t>
  </si>
  <si>
    <t xml:space="preserve">197064683789  </t>
  </si>
  <si>
    <t xml:space="preserve">197064683956  </t>
  </si>
  <si>
    <t xml:space="preserve">197064683994  </t>
  </si>
  <si>
    <t xml:space="preserve">197064684151  </t>
  </si>
  <si>
    <t xml:space="preserve">197064684199  </t>
  </si>
  <si>
    <t xml:space="preserve">197064684434  </t>
  </si>
  <si>
    <t xml:space="preserve">197064684465  </t>
  </si>
  <si>
    <t>TB0A66KYEM41</t>
  </si>
  <si>
    <t xml:space="preserve">197065819477  </t>
  </si>
  <si>
    <t xml:space="preserve">197065819491  </t>
  </si>
  <si>
    <t xml:space="preserve">197065819613  </t>
  </si>
  <si>
    <t xml:space="preserve">197065819620  </t>
  </si>
  <si>
    <t xml:space="preserve">197065819644  </t>
  </si>
  <si>
    <t xml:space="preserve">197065819668  </t>
  </si>
  <si>
    <t xml:space="preserve">197065819682  </t>
  </si>
  <si>
    <t xml:space="preserve">197065819705  </t>
  </si>
  <si>
    <t xml:space="preserve">197065819729  </t>
  </si>
  <si>
    <t xml:space="preserve">197642389379  </t>
  </si>
  <si>
    <t xml:space="preserve">197065819743  </t>
  </si>
  <si>
    <t xml:space="preserve">197065819767  </t>
  </si>
  <si>
    <t xml:space="preserve">197065819781  </t>
  </si>
  <si>
    <t xml:space="preserve">197065819804  </t>
  </si>
  <si>
    <t xml:space="preserve">197064845095  </t>
  </si>
  <si>
    <t xml:space="preserve">197064845330  </t>
  </si>
  <si>
    <t xml:space="preserve">197064845392  </t>
  </si>
  <si>
    <t xml:space="preserve">197064845644  </t>
  </si>
  <si>
    <t xml:space="preserve">197064845682  </t>
  </si>
  <si>
    <t xml:space="preserve">197064845835  </t>
  </si>
  <si>
    <t xml:space="preserve">197064845897  </t>
  </si>
  <si>
    <t xml:space="preserve">197064846047  </t>
  </si>
  <si>
    <t xml:space="preserve">197064846092  </t>
  </si>
  <si>
    <t xml:space="preserve">197642389386  </t>
  </si>
  <si>
    <t xml:space="preserve">197064846269  </t>
  </si>
  <si>
    <t xml:space="preserve">197064846436  </t>
  </si>
  <si>
    <t xml:space="preserve">197064846719  </t>
  </si>
  <si>
    <t xml:space="preserve">197064846771  </t>
  </si>
  <si>
    <t>TB1916312141</t>
  </si>
  <si>
    <t xml:space="preserve">197064514137  </t>
  </si>
  <si>
    <t>145.00</t>
  </si>
  <si>
    <t xml:space="preserve">197064514274  </t>
  </si>
  <si>
    <t xml:space="preserve">197064514458  </t>
  </si>
  <si>
    <t xml:space="preserve">197064514632  </t>
  </si>
  <si>
    <t xml:space="preserve">197064514878  </t>
  </si>
  <si>
    <t xml:space="preserve">197064515172  </t>
  </si>
  <si>
    <t xml:space="preserve">197064515363  </t>
  </si>
  <si>
    <t xml:space="preserve">197064515547  </t>
  </si>
  <si>
    <t xml:space="preserve">197064515714  </t>
  </si>
  <si>
    <t xml:space="preserve">197064515905  </t>
  </si>
  <si>
    <t xml:space="preserve">197064516124  </t>
  </si>
  <si>
    <t xml:space="preserve">197064516292  </t>
  </si>
  <si>
    <t xml:space="preserve">197064516469  </t>
  </si>
  <si>
    <t>TB1A11UT0011</t>
  </si>
  <si>
    <t xml:space="preserve">197064668663  </t>
  </si>
  <si>
    <t xml:space="preserve">197064668878  </t>
  </si>
  <si>
    <t xml:space="preserve">197064669158  </t>
  </si>
  <si>
    <t xml:space="preserve">197064669363  </t>
  </si>
  <si>
    <t xml:space="preserve">197064669608  </t>
  </si>
  <si>
    <t xml:space="preserve">197064669752  </t>
  </si>
  <si>
    <t xml:space="preserve">197064669974  </t>
  </si>
  <si>
    <t xml:space="preserve">197064670208  </t>
  </si>
  <si>
    <t xml:space="preserve">197064670338  </t>
  </si>
  <si>
    <t xml:space="preserve">197064670567  </t>
  </si>
  <si>
    <t xml:space="preserve">197064670697  </t>
  </si>
  <si>
    <t xml:space="preserve">197064670901  </t>
  </si>
  <si>
    <t xml:space="preserve">197064671120  </t>
  </si>
  <si>
    <t>TB1A22H22311</t>
  </si>
  <si>
    <t xml:space="preserve">197064647491  </t>
  </si>
  <si>
    <t xml:space="preserve">197064647743  </t>
  </si>
  <si>
    <t xml:space="preserve">197064647927  </t>
  </si>
  <si>
    <t xml:space="preserve">197064647996  </t>
  </si>
  <si>
    <t xml:space="preserve">197064648160  </t>
  </si>
  <si>
    <t xml:space="preserve">197064648337  </t>
  </si>
  <si>
    <t xml:space="preserve">197064648504  </t>
  </si>
  <si>
    <t xml:space="preserve">197064648573  </t>
  </si>
  <si>
    <t xml:space="preserve">197064648740  </t>
  </si>
  <si>
    <t xml:space="preserve">197064648917  </t>
  </si>
  <si>
    <t xml:space="preserve">197064648993  </t>
  </si>
  <si>
    <t xml:space="preserve">197064649266  </t>
  </si>
  <si>
    <t xml:space="preserve">197064649433  </t>
  </si>
  <si>
    <t>TB0A5ZZK2141</t>
  </si>
  <si>
    <t>MENS WORK MID BOOTS</t>
  </si>
  <si>
    <t xml:space="preserve">197064483242  </t>
  </si>
  <si>
    <t xml:space="preserve">197064483266  </t>
  </si>
  <si>
    <t xml:space="preserve">197064483280  </t>
  </si>
  <si>
    <t xml:space="preserve">197064483402  </t>
  </si>
  <si>
    <t xml:space="preserve">197064483426  </t>
  </si>
  <si>
    <t xml:space="preserve">197064483440  </t>
  </si>
  <si>
    <t xml:space="preserve">197064483464  </t>
  </si>
  <si>
    <t xml:space="preserve">197064483488  </t>
  </si>
  <si>
    <t xml:space="preserve">197064483495  </t>
  </si>
  <si>
    <t xml:space="preserve">197064483655  </t>
  </si>
  <si>
    <t xml:space="preserve">197064483679  </t>
  </si>
  <si>
    <t xml:space="preserve">197064483686  </t>
  </si>
  <si>
    <t xml:space="preserve">197064483693  </t>
  </si>
  <si>
    <t>TB0A61170011</t>
  </si>
  <si>
    <t xml:space="preserve">197064483143  </t>
  </si>
  <si>
    <t xml:space="preserve">197064483174  </t>
  </si>
  <si>
    <t xml:space="preserve">197064483198  </t>
  </si>
  <si>
    <t xml:space="preserve">197064483310  </t>
  </si>
  <si>
    <t xml:space="preserve">197064483334  </t>
  </si>
  <si>
    <t xml:space="preserve">197064483358  </t>
  </si>
  <si>
    <t xml:space="preserve">197064483372  </t>
  </si>
  <si>
    <t xml:space="preserve">197064483396  </t>
  </si>
  <si>
    <t xml:space="preserve">197064483518  </t>
  </si>
  <si>
    <t xml:space="preserve">197064483563  </t>
  </si>
  <si>
    <t xml:space="preserve">197064483570  </t>
  </si>
  <si>
    <t xml:space="preserve">197064483587  </t>
  </si>
  <si>
    <t xml:space="preserve">197064483594  </t>
  </si>
  <si>
    <t>TB0A5X932141</t>
  </si>
  <si>
    <t xml:space="preserve">194115976012  </t>
  </si>
  <si>
    <t xml:space="preserve">194115976289  </t>
  </si>
  <si>
    <t xml:space="preserve">194115976524  </t>
  </si>
  <si>
    <t xml:space="preserve">194115976784  </t>
  </si>
  <si>
    <t xml:space="preserve">194115977026  </t>
  </si>
  <si>
    <t xml:space="preserve">194115977248  </t>
  </si>
  <si>
    <t xml:space="preserve">194115977446  </t>
  </si>
  <si>
    <t xml:space="preserve">194115977682  </t>
  </si>
  <si>
    <t xml:space="preserve">194115977958  </t>
  </si>
  <si>
    <t xml:space="preserve">194115978191  </t>
  </si>
  <si>
    <t xml:space="preserve">194115978436  </t>
  </si>
  <si>
    <t xml:space="preserve">194115978672  </t>
  </si>
  <si>
    <t xml:space="preserve">194115978917  </t>
  </si>
  <si>
    <t>TB0A5YYF0011</t>
  </si>
  <si>
    <t xml:space="preserve">194115967379  </t>
  </si>
  <si>
    <t xml:space="preserve">194115967775  </t>
  </si>
  <si>
    <t xml:space="preserve">194115968178  </t>
  </si>
  <si>
    <t xml:space="preserve">194115968574  </t>
  </si>
  <si>
    <t xml:space="preserve">194115968970  </t>
  </si>
  <si>
    <t xml:space="preserve">194115969373  </t>
  </si>
  <si>
    <t xml:space="preserve">194115969779  </t>
  </si>
  <si>
    <t xml:space="preserve">194115970171  </t>
  </si>
  <si>
    <t xml:space="preserve">194115970522  </t>
  </si>
  <si>
    <t xml:space="preserve">194115970867  </t>
  </si>
  <si>
    <t xml:space="preserve">194115971208  </t>
  </si>
  <si>
    <t xml:space="preserve">194115971543  </t>
  </si>
  <si>
    <t xml:space="preserve">194115971888  </t>
  </si>
  <si>
    <t xml:space="preserve">194115972229  </t>
  </si>
  <si>
    <t>TB0A67SFEL01</t>
  </si>
  <si>
    <t>MENS WORK SNEAKER BOOTS</t>
  </si>
  <si>
    <t xml:space="preserve">197643467106  </t>
  </si>
  <si>
    <t>70.00</t>
  </si>
  <si>
    <t xml:space="preserve">197643467113  </t>
  </si>
  <si>
    <t xml:space="preserve">197643467120  </t>
  </si>
  <si>
    <t xml:space="preserve">197643467137  </t>
  </si>
  <si>
    <t xml:space="preserve">197643467144  </t>
  </si>
  <si>
    <t xml:space="preserve">197643467151  </t>
  </si>
  <si>
    <t xml:space="preserve">197643467168  </t>
  </si>
  <si>
    <t xml:space="preserve">197643467175  </t>
  </si>
  <si>
    <t xml:space="preserve">197643467182  </t>
  </si>
  <si>
    <t xml:space="preserve">197804989386  </t>
  </si>
  <si>
    <t xml:space="preserve">197643467199  </t>
  </si>
  <si>
    <t xml:space="preserve">197643467205  </t>
  </si>
  <si>
    <t xml:space="preserve">197643467212  </t>
  </si>
  <si>
    <t xml:space="preserve">197643467229  </t>
  </si>
  <si>
    <t xml:space="preserve">197642725672  </t>
  </si>
  <si>
    <t xml:space="preserve">197642725832  </t>
  </si>
  <si>
    <t xml:space="preserve">197642725894  </t>
  </si>
  <si>
    <t xml:space="preserve">197642726044  </t>
  </si>
  <si>
    <t xml:space="preserve">197642726099  </t>
  </si>
  <si>
    <t xml:space="preserve">197642726341  </t>
  </si>
  <si>
    <t xml:space="preserve">197642726396  </t>
  </si>
  <si>
    <t xml:space="preserve">197642726532  </t>
  </si>
  <si>
    <t xml:space="preserve">197642726563  </t>
  </si>
  <si>
    <t xml:space="preserve">197804989393  </t>
  </si>
  <si>
    <t xml:space="preserve">197642726594  </t>
  </si>
  <si>
    <t xml:space="preserve">197642726815  </t>
  </si>
  <si>
    <t xml:space="preserve">197642726846  </t>
  </si>
  <si>
    <t xml:space="preserve">197642726877  </t>
  </si>
  <si>
    <t>TB0A61670011</t>
  </si>
  <si>
    <t xml:space="preserve">194115972748  </t>
  </si>
  <si>
    <t xml:space="preserve">194115972878  </t>
  </si>
  <si>
    <t xml:space="preserve">194115972991  </t>
  </si>
  <si>
    <t xml:space="preserve">194115973172  </t>
  </si>
  <si>
    <t xml:space="preserve">194115973363  </t>
  </si>
  <si>
    <t xml:space="preserve">194115973547  </t>
  </si>
  <si>
    <t xml:space="preserve">194115973721  </t>
  </si>
  <si>
    <t xml:space="preserve">194115973844  </t>
  </si>
  <si>
    <t xml:space="preserve">194115974049  </t>
  </si>
  <si>
    <t xml:space="preserve">194115974308  </t>
  </si>
  <si>
    <t xml:space="preserve">194115974551  </t>
  </si>
  <si>
    <t xml:space="preserve">194115974797  </t>
  </si>
  <si>
    <t xml:space="preserve">194115975039  </t>
  </si>
  <si>
    <t>TB1A278X0011</t>
  </si>
  <si>
    <t>MENS WORK HIKING BOOTS</t>
  </si>
  <si>
    <t xml:space="preserve">197064699285  </t>
  </si>
  <si>
    <t xml:space="preserve">197064699407  </t>
  </si>
  <si>
    <t xml:space="preserve">197064699445  </t>
  </si>
  <si>
    <t xml:space="preserve">197064699490  </t>
  </si>
  <si>
    <t xml:space="preserve">197064699636  </t>
  </si>
  <si>
    <t xml:space="preserve">197064699698  </t>
  </si>
  <si>
    <t xml:space="preserve">197064699940  </t>
  </si>
  <si>
    <t xml:space="preserve">197064699995  </t>
  </si>
  <si>
    <t xml:space="preserve">197064700233  </t>
  </si>
  <si>
    <t xml:space="preserve">197064700271  </t>
  </si>
  <si>
    <t xml:space="preserve">197064700523  </t>
  </si>
  <si>
    <t xml:space="preserve">197064700554  </t>
  </si>
  <si>
    <t xml:space="preserve">197064700592  </t>
  </si>
  <si>
    <t>TB1A2CB80011</t>
  </si>
  <si>
    <t xml:space="preserve">197064556861  </t>
  </si>
  <si>
    <t xml:space="preserve">197064557134  </t>
  </si>
  <si>
    <t xml:space="preserve">197064557196  </t>
  </si>
  <si>
    <t xml:space="preserve">197064557356  </t>
  </si>
  <si>
    <t xml:space="preserve">197064557417  </t>
  </si>
  <si>
    <t xml:space="preserve">197064557479  </t>
  </si>
  <si>
    <t xml:space="preserve">197064557639  </t>
  </si>
  <si>
    <t xml:space="preserve">197064557707  </t>
  </si>
  <si>
    <t xml:space="preserve">197064557769  </t>
  </si>
  <si>
    <t xml:space="preserve">197064557905  </t>
  </si>
  <si>
    <t xml:space="preserve">197064557943  </t>
  </si>
  <si>
    <t xml:space="preserve">197064557981  </t>
  </si>
  <si>
    <t xml:space="preserve">197064558124  </t>
  </si>
  <si>
    <t xml:space="preserve">197064558162  </t>
  </si>
  <si>
    <t xml:space="preserve">197064557103  </t>
  </si>
  <si>
    <t xml:space="preserve">197064557165  </t>
  </si>
  <si>
    <t xml:space="preserve">197064557325  </t>
  </si>
  <si>
    <t xml:space="preserve">197064557387  </t>
  </si>
  <si>
    <t xml:space="preserve">197064557448  </t>
  </si>
  <si>
    <t xml:space="preserve">197064557608  </t>
  </si>
  <si>
    <t xml:space="preserve">197064557660  </t>
  </si>
  <si>
    <t xml:space="preserve">197064557738  </t>
  </si>
  <si>
    <t xml:space="preserve">197064557783  </t>
  </si>
  <si>
    <t xml:space="preserve">197064557929  </t>
  </si>
  <si>
    <t xml:space="preserve">197064557967  </t>
  </si>
  <si>
    <t xml:space="preserve">197064558100  </t>
  </si>
  <si>
    <t xml:space="preserve">197064558148  </t>
  </si>
  <si>
    <t xml:space="preserve">197064558179  </t>
  </si>
  <si>
    <t>TB0A61T72141</t>
  </si>
  <si>
    <t xml:space="preserve">194115960998  </t>
  </si>
  <si>
    <t xml:space="preserve">194115961780  </t>
  </si>
  <si>
    <t xml:space="preserve">194115962220  </t>
  </si>
  <si>
    <t xml:space="preserve">194115962633  </t>
  </si>
  <si>
    <t xml:space="preserve">194115962893  </t>
  </si>
  <si>
    <t xml:space="preserve">194115963166  </t>
  </si>
  <si>
    <t xml:space="preserve">194115963548  </t>
  </si>
  <si>
    <t xml:space="preserve">194115963944  </t>
  </si>
  <si>
    <t xml:space="preserve">194115964392  </t>
  </si>
  <si>
    <t xml:space="preserve">194115964859  </t>
  </si>
  <si>
    <t xml:space="preserve">194115965313  </t>
  </si>
  <si>
    <t xml:space="preserve">194115965771  </t>
  </si>
  <si>
    <t xml:space="preserve">194115966235  </t>
  </si>
  <si>
    <t>TB1A27XS2141</t>
  </si>
  <si>
    <t xml:space="preserve">197064647477  </t>
  </si>
  <si>
    <t xml:space="preserve">197064647736  </t>
  </si>
  <si>
    <t xml:space="preserve">197064647903  </t>
  </si>
  <si>
    <t xml:space="preserve">197064647989  </t>
  </si>
  <si>
    <t xml:space="preserve">197064648153  </t>
  </si>
  <si>
    <t xml:space="preserve">197064648320  </t>
  </si>
  <si>
    <t xml:space="preserve">197064648399  </t>
  </si>
  <si>
    <t xml:space="preserve">197064648566  </t>
  </si>
  <si>
    <t xml:space="preserve">197064648726  </t>
  </si>
  <si>
    <t xml:space="preserve">197064648771  </t>
  </si>
  <si>
    <t xml:space="preserve">197064648948  </t>
  </si>
  <si>
    <t xml:space="preserve">197064649211  </t>
  </si>
  <si>
    <t xml:space="preserve">197064649402  </t>
  </si>
  <si>
    <t>TB0A63XBEPB1</t>
  </si>
  <si>
    <t xml:space="preserve">197642717486  </t>
  </si>
  <si>
    <t>100.00</t>
  </si>
  <si>
    <t xml:space="preserve">197642717769  </t>
  </si>
  <si>
    <t xml:space="preserve">197642718087  </t>
  </si>
  <si>
    <t xml:space="preserve">197642718179  </t>
  </si>
  <si>
    <t xml:space="preserve">197642718469  </t>
  </si>
  <si>
    <t xml:space="preserve">197642718650  </t>
  </si>
  <si>
    <t xml:space="preserve">197642718841  </t>
  </si>
  <si>
    <t xml:space="preserve">197642719152  </t>
  </si>
  <si>
    <t xml:space="preserve">197642719350  </t>
  </si>
  <si>
    <t xml:space="preserve">197642719572  </t>
  </si>
  <si>
    <t xml:space="preserve">197642719756  </t>
  </si>
  <si>
    <t xml:space="preserve">197642720028  </t>
  </si>
  <si>
    <t xml:space="preserve">197642720080  </t>
  </si>
  <si>
    <t>TB0A63XYEK51</t>
  </si>
  <si>
    <t xml:space="preserve">197642717509  </t>
  </si>
  <si>
    <t xml:space="preserve">197642717776  </t>
  </si>
  <si>
    <t xml:space="preserve">197642718049  </t>
  </si>
  <si>
    <t xml:space="preserve">197642718117  </t>
  </si>
  <si>
    <t xml:space="preserve">197642718414  </t>
  </si>
  <si>
    <t xml:space="preserve">197642718612  </t>
  </si>
  <si>
    <t xml:space="preserve">197642718704  </t>
  </si>
  <si>
    <t xml:space="preserve">197642718889  </t>
  </si>
  <si>
    <t xml:space="preserve">197642719183  </t>
  </si>
  <si>
    <t xml:space="preserve">197642719367  </t>
  </si>
  <si>
    <t xml:space="preserve">197642719534  </t>
  </si>
  <si>
    <t xml:space="preserve">197642719749  </t>
  </si>
  <si>
    <t xml:space="preserve">197642719800  </t>
  </si>
  <si>
    <t>TB0A5MANEM41</t>
  </si>
  <si>
    <t>MENS WORK PULL ON BOOTS</t>
  </si>
  <si>
    <t xml:space="preserve">198266558318  </t>
  </si>
  <si>
    <t xml:space="preserve">198266558370  </t>
  </si>
  <si>
    <t xml:space="preserve">198266558561  </t>
  </si>
  <si>
    <t xml:space="preserve">198266558752  </t>
  </si>
  <si>
    <t xml:space="preserve">198266558943  </t>
  </si>
  <si>
    <t xml:space="preserve">198266559124  </t>
  </si>
  <si>
    <t xml:space="preserve">198266559315  </t>
  </si>
  <si>
    <t xml:space="preserve">198266559506  </t>
  </si>
  <si>
    <t xml:space="preserve">198266559599  </t>
  </si>
  <si>
    <t xml:space="preserve">198266559797  </t>
  </si>
  <si>
    <t xml:space="preserve">198266559896  </t>
  </si>
  <si>
    <t xml:space="preserve">198266560182  </t>
  </si>
  <si>
    <t xml:space="preserve">198266560373  </t>
  </si>
  <si>
    <t>TB1A5U6Y2141</t>
  </si>
  <si>
    <t xml:space="preserve">197064765201  </t>
  </si>
  <si>
    <t xml:space="preserve">197064765409  </t>
  </si>
  <si>
    <t xml:space="preserve">197064765522  </t>
  </si>
  <si>
    <t xml:space="preserve">197064765713  </t>
  </si>
  <si>
    <t xml:space="preserve">197064765799  </t>
  </si>
  <si>
    <t xml:space="preserve">197064766024  </t>
  </si>
  <si>
    <t xml:space="preserve">197064766253  </t>
  </si>
  <si>
    <t xml:space="preserve">197064766505  </t>
  </si>
  <si>
    <t xml:space="preserve">197064766727  </t>
  </si>
  <si>
    <t xml:space="preserve">197064766826  </t>
  </si>
  <si>
    <t xml:space="preserve">197064767038  </t>
  </si>
  <si>
    <t xml:space="preserve">197064767250  </t>
  </si>
  <si>
    <t xml:space="preserve">197064767359  </t>
  </si>
  <si>
    <t>TB1A44992141</t>
  </si>
  <si>
    <t xml:space="preserve">197064590391  </t>
  </si>
  <si>
    <t xml:space="preserve">197064590445  </t>
  </si>
  <si>
    <t xml:space="preserve">197064590476  </t>
  </si>
  <si>
    <t xml:space="preserve">197064590520  </t>
  </si>
  <si>
    <t xml:space="preserve">197064590575  </t>
  </si>
  <si>
    <t xml:space="preserve">197064590629  </t>
  </si>
  <si>
    <t xml:space="preserve">197064590674  </t>
  </si>
  <si>
    <t xml:space="preserve">197064590735  </t>
  </si>
  <si>
    <t xml:space="preserve">197064590780  </t>
  </si>
  <si>
    <t xml:space="preserve">197064590926  </t>
  </si>
  <si>
    <t xml:space="preserve">197064590964  </t>
  </si>
  <si>
    <t xml:space="preserve">197064591015  </t>
  </si>
  <si>
    <t xml:space="preserve">197064591053  </t>
  </si>
  <si>
    <t>TB1A5QXJ0011</t>
  </si>
  <si>
    <t>MENS WORK SPECIALTY FOOTWEAR</t>
  </si>
  <si>
    <t xml:space="preserve">197064722259  </t>
  </si>
  <si>
    <t>187.50</t>
  </si>
  <si>
    <t xml:space="preserve">197064722457  </t>
  </si>
  <si>
    <t xml:space="preserve">197064722532  </t>
  </si>
  <si>
    <t xml:space="preserve">197064722716  </t>
  </si>
  <si>
    <t xml:space="preserve">197064722808  </t>
  </si>
  <si>
    <t xml:space="preserve">197064722891  </t>
  </si>
  <si>
    <t xml:space="preserve">197064723089  </t>
  </si>
  <si>
    <t xml:space="preserve">197064723133  </t>
  </si>
  <si>
    <t xml:space="preserve">197064723317  </t>
  </si>
  <si>
    <t xml:space="preserve">197064723393  </t>
  </si>
  <si>
    <t xml:space="preserve">197064723454  </t>
  </si>
  <si>
    <t xml:space="preserve">197064723508  </t>
  </si>
  <si>
    <t xml:space="preserve">197064723553  </t>
  </si>
  <si>
    <t>TB1A1KQS0011</t>
  </si>
  <si>
    <t>WOMENS</t>
  </si>
  <si>
    <t>WOMENS WORK 8 INCH BOOTS</t>
  </si>
  <si>
    <t xml:space="preserve">197064551002  </t>
  </si>
  <si>
    <t>135.00</t>
  </si>
  <si>
    <t xml:space="preserve">197064551019  </t>
  </si>
  <si>
    <t xml:space="preserve">197064551026  </t>
  </si>
  <si>
    <t xml:space="preserve">197064551033  </t>
  </si>
  <si>
    <t xml:space="preserve">197064551040  </t>
  </si>
  <si>
    <t xml:space="preserve">197064551057  </t>
  </si>
  <si>
    <t xml:space="preserve">197064551064  </t>
  </si>
  <si>
    <t xml:space="preserve">197064551071  </t>
  </si>
  <si>
    <t xml:space="preserve">197064551088  </t>
  </si>
  <si>
    <t xml:space="preserve">197064551095  </t>
  </si>
  <si>
    <t xml:space="preserve">197064551101  </t>
  </si>
  <si>
    <t>TB1A22SD2311</t>
  </si>
  <si>
    <t xml:space="preserve">197064682829  </t>
  </si>
  <si>
    <t xml:space="preserve">197064682928  </t>
  </si>
  <si>
    <t xml:space="preserve">197064683116  </t>
  </si>
  <si>
    <t xml:space="preserve">197064683222  </t>
  </si>
  <si>
    <t xml:space="preserve">197064683420  </t>
  </si>
  <si>
    <t xml:space="preserve">197064683642  </t>
  </si>
  <si>
    <t xml:space="preserve">197064683758  </t>
  </si>
  <si>
    <t xml:space="preserve">197064683949  </t>
  </si>
  <si>
    <t xml:space="preserve">197064684120  </t>
  </si>
  <si>
    <t xml:space="preserve">197064684175  </t>
  </si>
  <si>
    <t xml:space="preserve">197064684410  </t>
  </si>
  <si>
    <t>TB0A612F2141</t>
  </si>
  <si>
    <t>WOMENS WORK MID BOOTS</t>
  </si>
  <si>
    <t xml:space="preserve">197064483136  </t>
  </si>
  <si>
    <t xml:space="preserve">197064483150  </t>
  </si>
  <si>
    <t xml:space="preserve">197064483167  </t>
  </si>
  <si>
    <t xml:space="preserve">197064483181  </t>
  </si>
  <si>
    <t xml:space="preserve">197064483303  </t>
  </si>
  <si>
    <t xml:space="preserve">197064483327  </t>
  </si>
  <si>
    <t xml:space="preserve">197064483341  </t>
  </si>
  <si>
    <t xml:space="preserve">197064483365  </t>
  </si>
  <si>
    <t xml:space="preserve">197064483389  </t>
  </si>
  <si>
    <t xml:space="preserve">197064483501  </t>
  </si>
  <si>
    <t xml:space="preserve">197064483525  </t>
  </si>
  <si>
    <t xml:space="preserve">197064483549  </t>
  </si>
  <si>
    <t>TB0A66T7ECS1</t>
  </si>
  <si>
    <t>WOMENS WORK SNEAKERS</t>
  </si>
  <si>
    <t xml:space="preserve">197064634255  </t>
  </si>
  <si>
    <t xml:space="preserve">197064634811  </t>
  </si>
  <si>
    <t xml:space="preserve">197064634835  </t>
  </si>
  <si>
    <t xml:space="preserve">197064634859  </t>
  </si>
  <si>
    <t xml:space="preserve">197064634873  </t>
  </si>
  <si>
    <t xml:space="preserve">197064634897  </t>
  </si>
  <si>
    <t xml:space="preserve">197064634910  </t>
  </si>
  <si>
    <t xml:space="preserve">197064634941  </t>
  </si>
  <si>
    <t xml:space="preserve">197064634965  </t>
  </si>
  <si>
    <t xml:space="preserve">197064634996  </t>
  </si>
  <si>
    <t xml:space="preserve">197064635108  </t>
  </si>
  <si>
    <t>TB0A632U0011</t>
  </si>
  <si>
    <t xml:space="preserve">197063518372  </t>
  </si>
  <si>
    <t xml:space="preserve">197063518389  </t>
  </si>
  <si>
    <t xml:space="preserve">197063518396  </t>
  </si>
  <si>
    <t xml:space="preserve">197063518501  </t>
  </si>
  <si>
    <t xml:space="preserve">197063518518  </t>
  </si>
  <si>
    <t xml:space="preserve">197063518525  </t>
  </si>
  <si>
    <t xml:space="preserve">197063518532  </t>
  </si>
  <si>
    <t xml:space="preserve">197063518549  </t>
  </si>
  <si>
    <t xml:space="preserve">197063518556  </t>
  </si>
  <si>
    <t xml:space="preserve">197063518563  </t>
  </si>
  <si>
    <t xml:space="preserve">197063518570  </t>
  </si>
  <si>
    <t>TB0A62470651</t>
  </si>
  <si>
    <t xml:space="preserve">194116911968  </t>
  </si>
  <si>
    <t xml:space="preserve">194116911982  </t>
  </si>
  <si>
    <t xml:space="preserve">194116911975  </t>
  </si>
  <si>
    <t xml:space="preserve">194116911951  </t>
  </si>
  <si>
    <t xml:space="preserve">194116912002  </t>
  </si>
  <si>
    <t xml:space="preserve">194116911999  </t>
  </si>
  <si>
    <t xml:space="preserve">194116912019  </t>
  </si>
  <si>
    <t xml:space="preserve">194116912026  </t>
  </si>
  <si>
    <t xml:space="preserve">194116912033  </t>
  </si>
  <si>
    <t xml:space="preserve">194116912040  </t>
  </si>
  <si>
    <t xml:space="preserve">194116912057  </t>
  </si>
  <si>
    <t>TB1A2A630011</t>
  </si>
  <si>
    <t xml:space="preserve">197064737406  </t>
  </si>
  <si>
    <t xml:space="preserve">197064737611  </t>
  </si>
  <si>
    <t xml:space="preserve">197064737741  </t>
  </si>
  <si>
    <t xml:space="preserve">197064737970  </t>
  </si>
  <si>
    <t xml:space="preserve">197064738182  </t>
  </si>
  <si>
    <t xml:space="preserve">197064738410  </t>
  </si>
  <si>
    <t xml:space="preserve">197064738557  </t>
  </si>
  <si>
    <t xml:space="preserve">197064738762  </t>
  </si>
  <si>
    <t xml:space="preserve">197064738991  </t>
  </si>
  <si>
    <t xml:space="preserve">197064739219  </t>
  </si>
  <si>
    <t xml:space="preserve">197064739325  </t>
  </si>
  <si>
    <t>TB1A2KAJ2311</t>
  </si>
  <si>
    <t>WOMENS WORK 6 INCH BOOTS</t>
  </si>
  <si>
    <t xml:space="preserve">197064682720  </t>
  </si>
  <si>
    <t xml:space="preserve">197064683017  </t>
  </si>
  <si>
    <t xml:space="preserve">197064683307  </t>
  </si>
  <si>
    <t xml:space="preserve">197064683390  </t>
  </si>
  <si>
    <t xml:space="preserve">197064683581  </t>
  </si>
  <si>
    <t xml:space="preserve">197064683871  </t>
  </si>
  <si>
    <t xml:space="preserve">197064684069  </t>
  </si>
  <si>
    <t xml:space="preserve">197064684243  </t>
  </si>
  <si>
    <t xml:space="preserve">197064684281  </t>
  </si>
  <si>
    <t xml:space="preserve">197064684335  </t>
  </si>
  <si>
    <t xml:space="preserve">197064684526  </t>
  </si>
  <si>
    <t>TB0A67T3EL01</t>
  </si>
  <si>
    <t>WOMENS WORK SNEAKER BOOTS</t>
  </si>
  <si>
    <t xml:space="preserve">197642726112  </t>
  </si>
  <si>
    <t xml:space="preserve">197642726174  </t>
  </si>
  <si>
    <t xml:space="preserve">197642726235  </t>
  </si>
  <si>
    <t xml:space="preserve">197642726297  </t>
  </si>
  <si>
    <t xml:space="preserve">197642726457  </t>
  </si>
  <si>
    <t xml:space="preserve">197642726495  </t>
  </si>
  <si>
    <t xml:space="preserve">197642726648  </t>
  </si>
  <si>
    <t xml:space="preserve">197642726679  </t>
  </si>
  <si>
    <t xml:space="preserve">197642726716  </t>
  </si>
  <si>
    <t xml:space="preserve">197642726754  </t>
  </si>
  <si>
    <t xml:space="preserve">197642726792  </t>
  </si>
  <si>
    <t>TB0A6DBP0011</t>
  </si>
  <si>
    <t>Apparel</t>
  </si>
  <si>
    <t>WOMENS WORK PANTS</t>
  </si>
  <si>
    <t xml:space="preserve">196247829587  </t>
  </si>
  <si>
    <t>50.00</t>
  </si>
  <si>
    <t xml:space="preserve">196247829723  </t>
  </si>
  <si>
    <t xml:space="preserve">196247829877  </t>
  </si>
  <si>
    <t xml:space="preserve">196247830019  </t>
  </si>
  <si>
    <t xml:space="preserve">196247830170  </t>
  </si>
  <si>
    <t xml:space="preserve">196247830385  </t>
  </si>
  <si>
    <t xml:space="preserve">196247830545  </t>
  </si>
  <si>
    <t xml:space="preserve">194115993866  </t>
  </si>
  <si>
    <t>TB0A5MT2D021</t>
  </si>
  <si>
    <t>MENS WORK PANTS</t>
  </si>
  <si>
    <t xml:space="preserve">197643100874  </t>
  </si>
  <si>
    <t>35.00</t>
  </si>
  <si>
    <t xml:space="preserve">194115996270  </t>
  </si>
  <si>
    <t xml:space="preserve">198269706747  </t>
  </si>
  <si>
    <t xml:space="preserve">194115996546  </t>
  </si>
  <si>
    <t xml:space="preserve">198269706778  </t>
  </si>
  <si>
    <t xml:space="preserve">194115996782  </t>
  </si>
  <si>
    <t xml:space="preserve">194115997086  </t>
  </si>
  <si>
    <t xml:space="preserve">194115997383  </t>
  </si>
  <si>
    <t xml:space="preserve">194115997673  </t>
  </si>
  <si>
    <t xml:space="preserve">194115997925  </t>
  </si>
  <si>
    <t xml:space="preserve">197643101352  </t>
  </si>
  <si>
    <t xml:space="preserve">197643101499  </t>
  </si>
  <si>
    <t xml:space="preserve">197643100911  </t>
  </si>
  <si>
    <t xml:space="preserve">194115998076  </t>
  </si>
  <si>
    <t xml:space="preserve">198269706754  </t>
  </si>
  <si>
    <t xml:space="preserve">194115998182  </t>
  </si>
  <si>
    <t xml:space="preserve">198269706785  </t>
  </si>
  <si>
    <t xml:space="preserve">194115999226  </t>
  </si>
  <si>
    <t xml:space="preserve">194115999493  </t>
  </si>
  <si>
    <t xml:space="preserve">194115999592  </t>
  </si>
  <si>
    <t xml:space="preserve">194115999615  </t>
  </si>
  <si>
    <t xml:space="preserve">194115999844  </t>
  </si>
  <si>
    <t xml:space="preserve">197643101390  </t>
  </si>
  <si>
    <t xml:space="preserve">197643101536  </t>
  </si>
  <si>
    <t xml:space="preserve">197643100942  </t>
  </si>
  <si>
    <t xml:space="preserve">194115999868  </t>
  </si>
  <si>
    <t xml:space="preserve">198269706761  </t>
  </si>
  <si>
    <t xml:space="preserve">194115999882  </t>
  </si>
  <si>
    <t xml:space="preserve">198269706792  </t>
  </si>
  <si>
    <t xml:space="preserve">194115999967  </t>
  </si>
  <si>
    <t xml:space="preserve">194116900085  </t>
  </si>
  <si>
    <t xml:space="preserve">194116900184  </t>
  </si>
  <si>
    <t xml:space="preserve">194116900344  </t>
  </si>
  <si>
    <t xml:space="preserve">194116900566  </t>
  </si>
  <si>
    <t xml:space="preserve">197643101420  </t>
  </si>
  <si>
    <t xml:space="preserve">197643101567  </t>
  </si>
  <si>
    <t xml:space="preserve">197643100980  </t>
  </si>
  <si>
    <t xml:space="preserve">197643101017  </t>
  </si>
  <si>
    <t xml:space="preserve">197643101055  </t>
  </si>
  <si>
    <t xml:space="preserve">197643101086  </t>
  </si>
  <si>
    <t xml:space="preserve">197643101222  </t>
  </si>
  <si>
    <t xml:space="preserve">197643101253  </t>
  </si>
  <si>
    <t xml:space="preserve">197643101291  </t>
  </si>
  <si>
    <t xml:space="preserve">197643101321  </t>
  </si>
  <si>
    <t xml:space="preserve">197643101468  </t>
  </si>
  <si>
    <t xml:space="preserve">197643101703  </t>
  </si>
  <si>
    <t xml:space="preserve">197643101833  </t>
  </si>
  <si>
    <t xml:space="preserve">197643101963  </t>
  </si>
  <si>
    <t xml:space="preserve">197643102151  </t>
  </si>
  <si>
    <t xml:space="preserve">197643102236  </t>
  </si>
  <si>
    <t xml:space="preserve">197643102403  </t>
  </si>
  <si>
    <t xml:space="preserve">197643102489  </t>
  </si>
  <si>
    <t xml:space="preserve">197643102557  </t>
  </si>
  <si>
    <t>TB1A237TD021</t>
  </si>
  <si>
    <t>MENS WORK NON WATERPROOF JACKET</t>
  </si>
  <si>
    <t xml:space="preserve">197064716890  </t>
  </si>
  <si>
    <t xml:space="preserve">197064716791  </t>
  </si>
  <si>
    <t xml:space="preserve">197064716593  </t>
  </si>
  <si>
    <t xml:space="preserve">197064717095  </t>
  </si>
  <si>
    <t xml:space="preserve">197064717293  </t>
  </si>
  <si>
    <t>TB0A5MR28271</t>
  </si>
  <si>
    <t>Accessories</t>
  </si>
  <si>
    <t>MENS WORK BOOT LINERS</t>
  </si>
  <si>
    <t xml:space="preserve">196247823912  </t>
  </si>
  <si>
    <t xml:space="preserve">196246835848  </t>
  </si>
  <si>
    <t xml:space="preserve">196246836227  </t>
  </si>
  <si>
    <t xml:space="preserve">196246836081  </t>
  </si>
  <si>
    <t xml:space="preserve">196246836340  </t>
  </si>
  <si>
    <t xml:space="preserve">196246836463  </t>
  </si>
  <si>
    <t xml:space="preserve">196246836586  </t>
  </si>
  <si>
    <t xml:space="preserve">196246836722  </t>
  </si>
  <si>
    <t xml:space="preserve">196246836869  </t>
  </si>
  <si>
    <t xml:space="preserve">196246836982  </t>
  </si>
  <si>
    <t xml:space="preserve">196246837101  </t>
  </si>
  <si>
    <t xml:space="preserve">196246837231  </t>
  </si>
  <si>
    <t xml:space="preserve">196247823905  </t>
  </si>
  <si>
    <t>TB0A5TTB4841</t>
  </si>
  <si>
    <t xml:space="preserve">196247823943  </t>
  </si>
  <si>
    <t xml:space="preserve">196246835152  </t>
  </si>
  <si>
    <t xml:space="preserve">196246835190  </t>
  </si>
  <si>
    <t xml:space="preserve">196246835244  </t>
  </si>
  <si>
    <t xml:space="preserve">196246835268  </t>
  </si>
  <si>
    <t xml:space="preserve">196246835299  </t>
  </si>
  <si>
    <t xml:space="preserve">196246835312  </t>
  </si>
  <si>
    <t xml:space="preserve">196246835381  </t>
  </si>
  <si>
    <t xml:space="preserve">196246835404  </t>
  </si>
  <si>
    <t xml:space="preserve">196246835442  </t>
  </si>
  <si>
    <t xml:space="preserve">196246835473  </t>
  </si>
  <si>
    <t xml:space="preserve">196246835510  </t>
  </si>
  <si>
    <t xml:space="preserve">196247823950  </t>
  </si>
  <si>
    <t>TB0A6667EOQ1</t>
  </si>
  <si>
    <t>ADULT UNISEX</t>
  </si>
  <si>
    <t>MENS WORK INSOLES</t>
  </si>
  <si>
    <t xml:space="preserve">197803511946  </t>
  </si>
  <si>
    <t>22.50</t>
  </si>
  <si>
    <t xml:space="preserve">197803511922  </t>
  </si>
  <si>
    <t xml:space="preserve">197803511915  </t>
  </si>
  <si>
    <t xml:space="preserve">197803511908  </t>
  </si>
  <si>
    <t xml:space="preserve">197803511939  </t>
  </si>
  <si>
    <t xml:space="preserve">197803511953  </t>
  </si>
  <si>
    <t>TB0916218271</t>
  </si>
  <si>
    <t xml:space="preserve">887235293496  </t>
  </si>
  <si>
    <t>20.00</t>
  </si>
  <si>
    <t xml:space="preserve">887235293502  </t>
  </si>
  <si>
    <t xml:space="preserve">887235293519  </t>
  </si>
  <si>
    <t xml:space="preserve">887235293526  </t>
  </si>
  <si>
    <t xml:space="preserve">887235293533  </t>
  </si>
  <si>
    <t xml:space="preserve">887235293540  </t>
  </si>
  <si>
    <t>TB0A1ORE8271</t>
  </si>
  <si>
    <t xml:space="preserve">191475468881  </t>
  </si>
  <si>
    <t xml:space="preserve">191475468904  </t>
  </si>
  <si>
    <t xml:space="preserve">191475468928  </t>
  </si>
  <si>
    <t xml:space="preserve">191475468942  </t>
  </si>
  <si>
    <t xml:space="preserve">191475468966  </t>
  </si>
  <si>
    <t xml:space="preserve">191475468867  </t>
  </si>
  <si>
    <t>TB0A2EPW0001</t>
  </si>
  <si>
    <t>MENS WORK MISC ACC</t>
  </si>
  <si>
    <t xml:space="preserve">197065823870  </t>
  </si>
  <si>
    <t>15.00</t>
  </si>
  <si>
    <t>Unlocked Cells</t>
  </si>
  <si>
    <t>Multiple Cells</t>
  </si>
  <si>
    <t>Multiple Value</t>
  </si>
  <si>
    <t>J16</t>
  </si>
  <si>
    <t>1.00</t>
  </si>
  <si>
    <t>K16</t>
  </si>
  <si>
    <t>L16</t>
  </si>
  <si>
    <t>M16</t>
  </si>
  <si>
    <t>N16</t>
  </si>
  <si>
    <t>O16</t>
  </si>
  <si>
    <t>P16</t>
  </si>
  <si>
    <t>Q16</t>
  </si>
  <si>
    <t>R16</t>
  </si>
  <si>
    <t>S16</t>
  </si>
  <si>
    <t>T16</t>
  </si>
  <si>
    <t>U16</t>
  </si>
  <si>
    <t>V16</t>
  </si>
  <si>
    <t>J17</t>
  </si>
  <si>
    <t>K17</t>
  </si>
  <si>
    <t>L17</t>
  </si>
  <si>
    <t>M17</t>
  </si>
  <si>
    <t>N17</t>
  </si>
  <si>
    <t>O17</t>
  </si>
  <si>
    <t>P17</t>
  </si>
  <si>
    <t>Q17</t>
  </si>
  <si>
    <t>R17</t>
  </si>
  <si>
    <t>S17</t>
  </si>
  <si>
    <t>T17</t>
  </si>
  <si>
    <t>U17</t>
  </si>
  <si>
    <t>V17</t>
  </si>
  <si>
    <t>J18</t>
  </si>
  <si>
    <t>K18</t>
  </si>
  <si>
    <t>L18</t>
  </si>
  <si>
    <t>M18</t>
  </si>
  <si>
    <t>N18</t>
  </si>
  <si>
    <t>O18</t>
  </si>
  <si>
    <t>P18</t>
  </si>
  <si>
    <t>Q18</t>
  </si>
  <si>
    <t>R18</t>
  </si>
  <si>
    <t>S18</t>
  </si>
  <si>
    <t>T18</t>
  </si>
  <si>
    <t>U18</t>
  </si>
  <si>
    <t>V18</t>
  </si>
  <si>
    <t>J19</t>
  </si>
  <si>
    <t>K19</t>
  </si>
  <si>
    <t>L19</t>
  </si>
  <si>
    <t>M19</t>
  </si>
  <si>
    <t>N19</t>
  </si>
  <si>
    <t>O19</t>
  </si>
  <si>
    <t>P19</t>
  </si>
  <si>
    <t>Q19</t>
  </si>
  <si>
    <t>R19</t>
  </si>
  <si>
    <t>S19</t>
  </si>
  <si>
    <t>T19</t>
  </si>
  <si>
    <t>U19</t>
  </si>
  <si>
    <t>V19</t>
  </si>
  <si>
    <t>J20</t>
  </si>
  <si>
    <t>K20</t>
  </si>
  <si>
    <t>L20</t>
  </si>
  <si>
    <t>M20</t>
  </si>
  <si>
    <t>N20</t>
  </si>
  <si>
    <t>O20</t>
  </si>
  <si>
    <t>P20</t>
  </si>
  <si>
    <t>Q20</t>
  </si>
  <si>
    <t>R20</t>
  </si>
  <si>
    <t>S20</t>
  </si>
  <si>
    <t>T20</t>
  </si>
  <si>
    <t>U20</t>
  </si>
  <si>
    <t>V20</t>
  </si>
  <si>
    <t>V21</t>
  </si>
  <si>
    <t>J22</t>
  </si>
  <si>
    <t>K22</t>
  </si>
  <si>
    <t>L22</t>
  </si>
  <si>
    <t>M22</t>
  </si>
  <si>
    <t>N22</t>
  </si>
  <si>
    <t>O22</t>
  </si>
  <si>
    <t>P22</t>
  </si>
  <si>
    <t>Q22</t>
  </si>
  <si>
    <t>R22</t>
  </si>
  <si>
    <t>S22</t>
  </si>
  <si>
    <t>T22</t>
  </si>
  <si>
    <t>U22</t>
  </si>
  <si>
    <t>V22</t>
  </si>
  <si>
    <t>Z24</t>
  </si>
  <si>
    <t>Q25</t>
  </si>
  <si>
    <t>R25</t>
  </si>
  <si>
    <t>S25</t>
  </si>
  <si>
    <t>T25</t>
  </si>
  <si>
    <t>U25</t>
  </si>
  <si>
    <t>V25</t>
  </si>
  <si>
    <t>W25</t>
  </si>
  <si>
    <t>X25</t>
  </si>
  <si>
    <t>Y25</t>
  </si>
  <si>
    <t>Z25</t>
  </si>
  <si>
    <t>AA25</t>
  </si>
  <si>
    <t>AB25</t>
  </si>
  <si>
    <t>AC25</t>
  </si>
  <si>
    <t>AD25</t>
  </si>
  <si>
    <t>Q26</t>
  </si>
  <si>
    <t>R26</t>
  </si>
  <si>
    <t>S26</t>
  </si>
  <si>
    <t>T26</t>
  </si>
  <si>
    <t>U26</t>
  </si>
  <si>
    <t>V26</t>
  </si>
  <si>
    <t>W26</t>
  </si>
  <si>
    <t>X26</t>
  </si>
  <si>
    <t>Y26</t>
  </si>
  <si>
    <t>AA26</t>
  </si>
  <si>
    <t>AB26</t>
  </si>
  <si>
    <t>AC26</t>
  </si>
  <si>
    <t>AD26</t>
  </si>
  <si>
    <t>J27</t>
  </si>
  <si>
    <t>K27</t>
  </si>
  <si>
    <t>L27</t>
  </si>
  <si>
    <t>M27</t>
  </si>
  <si>
    <t>N27</t>
  </si>
  <si>
    <t>O27</t>
  </si>
  <si>
    <t>P27</t>
  </si>
  <si>
    <t>Q27</t>
  </si>
  <si>
    <t>R27</t>
  </si>
  <si>
    <t>S27</t>
  </si>
  <si>
    <t>T27</t>
  </si>
  <si>
    <t>U27</t>
  </si>
  <si>
    <t>V27</t>
  </si>
  <si>
    <t>W27</t>
  </si>
  <si>
    <t>X27</t>
  </si>
  <si>
    <t>Y27</t>
  </si>
  <si>
    <t>Z27</t>
  </si>
  <si>
    <t>AA27</t>
  </si>
  <si>
    <t>AB27</t>
  </si>
  <si>
    <t>AC27</t>
  </si>
  <si>
    <t>AD27</t>
  </si>
  <si>
    <t>J28</t>
  </si>
  <si>
    <t>K28</t>
  </si>
  <si>
    <t>L28</t>
  </si>
  <si>
    <t>M28</t>
  </si>
  <si>
    <t>N28</t>
  </si>
  <si>
    <t>O28</t>
  </si>
  <si>
    <t>P28</t>
  </si>
  <si>
    <t>Q28</t>
  </si>
  <si>
    <t>R28</t>
  </si>
  <si>
    <t>S28</t>
  </si>
  <si>
    <t>T28</t>
  </si>
  <si>
    <t>U28</t>
  </si>
  <si>
    <t>V28</t>
  </si>
  <si>
    <t>W28</t>
  </si>
  <si>
    <t>X28</t>
  </si>
  <si>
    <t>Y28</t>
  </si>
  <si>
    <t>Z28</t>
  </si>
  <si>
    <t>AA28</t>
  </si>
  <si>
    <t>AB28</t>
  </si>
  <si>
    <t>AC28</t>
  </si>
  <si>
    <t>AD28</t>
  </si>
  <si>
    <t>Q29</t>
  </si>
  <si>
    <t>R29</t>
  </si>
  <si>
    <t>S29</t>
  </si>
  <si>
    <t>T29</t>
  </si>
  <si>
    <t>U29</t>
  </si>
  <si>
    <t>V29</t>
  </si>
  <si>
    <t>W29</t>
  </si>
  <si>
    <t>X29</t>
  </si>
  <si>
    <t>Y29</t>
  </si>
  <si>
    <t>Z29</t>
  </si>
  <si>
    <t>AA29</t>
  </si>
  <si>
    <t>AB29</t>
  </si>
  <si>
    <t>AC29</t>
  </si>
  <si>
    <t>AD29</t>
  </si>
  <si>
    <t>Q30</t>
  </si>
  <si>
    <t>R30</t>
  </si>
  <si>
    <t>S30</t>
  </si>
  <si>
    <t>T30</t>
  </si>
  <si>
    <t>U30</t>
  </si>
  <si>
    <t>V30</t>
  </si>
  <si>
    <t>W30</t>
  </si>
  <si>
    <t>X30</t>
  </si>
  <si>
    <t>Y30</t>
  </si>
  <si>
    <t>Z30</t>
  </si>
  <si>
    <t>AA30</t>
  </si>
  <si>
    <t>AB30</t>
  </si>
  <si>
    <t>AC30</t>
  </si>
  <si>
    <t>Z31</t>
  </si>
  <si>
    <t>Q32</t>
  </si>
  <si>
    <t>R32</t>
  </si>
  <si>
    <t>S32</t>
  </si>
  <si>
    <t>T32</t>
  </si>
  <si>
    <t>U32</t>
  </si>
  <si>
    <t>V32</t>
  </si>
  <si>
    <t>W32</t>
  </si>
  <si>
    <t>X32</t>
  </si>
  <si>
    <t>Y32</t>
  </si>
  <si>
    <t>Z32</t>
  </si>
  <si>
    <t>Z33</t>
  </si>
  <si>
    <t>Q34</t>
  </si>
  <si>
    <t>R34</t>
  </si>
  <si>
    <t>S34</t>
  </si>
  <si>
    <t>T34</t>
  </si>
  <si>
    <t>U34</t>
  </si>
  <si>
    <t>V34</t>
  </si>
  <si>
    <t>W34</t>
  </si>
  <si>
    <t>X34</t>
  </si>
  <si>
    <t>Y34</t>
  </si>
  <si>
    <t>Z34</t>
  </si>
  <si>
    <t>AA34</t>
  </si>
  <si>
    <t>AB34</t>
  </si>
  <si>
    <t>AC34</t>
  </si>
  <si>
    <t>AD34</t>
  </si>
  <si>
    <t>Q35</t>
  </si>
  <si>
    <t>R35</t>
  </si>
  <si>
    <t>S35</t>
  </si>
  <si>
    <t>T35</t>
  </si>
  <si>
    <t>U35</t>
  </si>
  <si>
    <t>V35</t>
  </si>
  <si>
    <t>W35</t>
  </si>
  <si>
    <t>X35</t>
  </si>
  <si>
    <t>Y35</t>
  </si>
  <si>
    <t>Z35</t>
  </si>
  <si>
    <t>AA35</t>
  </si>
  <si>
    <t>AB35</t>
  </si>
  <si>
    <t>AC35</t>
  </si>
  <si>
    <t>AD35</t>
  </si>
  <si>
    <t>Q36</t>
  </si>
  <si>
    <t>R36</t>
  </si>
  <si>
    <t>S36</t>
  </si>
  <si>
    <t>T36</t>
  </si>
  <si>
    <t>U36</t>
  </si>
  <si>
    <t>V36</t>
  </si>
  <si>
    <t>W36</t>
  </si>
  <si>
    <t>X36</t>
  </si>
  <si>
    <t>Y36</t>
  </si>
  <si>
    <t>AA36</t>
  </si>
  <si>
    <t>AB36</t>
  </si>
  <si>
    <t>AC36</t>
  </si>
  <si>
    <t>AD36</t>
  </si>
  <si>
    <t>AD37</t>
  </si>
  <si>
    <t>Q38</t>
  </si>
  <si>
    <t>R38</t>
  </si>
  <si>
    <t>S38</t>
  </si>
  <si>
    <t>T38</t>
  </si>
  <si>
    <t>U38</t>
  </si>
  <si>
    <t>V38</t>
  </si>
  <si>
    <t>W38</t>
  </si>
  <si>
    <t>X38</t>
  </si>
  <si>
    <t>Y38</t>
  </si>
  <si>
    <t>AA38</t>
  </si>
  <si>
    <t>AB38</t>
  </si>
  <si>
    <t>AC38</t>
  </si>
  <si>
    <t>AD38</t>
  </si>
  <si>
    <t>Q39</t>
  </si>
  <si>
    <t>R39</t>
  </si>
  <si>
    <t>S39</t>
  </si>
  <si>
    <t>T39</t>
  </si>
  <si>
    <t>U39</t>
  </si>
  <si>
    <t>V39</t>
  </si>
  <si>
    <t>W39</t>
  </si>
  <si>
    <t>X39</t>
  </si>
  <si>
    <t>Y39</t>
  </si>
  <si>
    <t>AA39</t>
  </si>
  <si>
    <t>AB39</t>
  </si>
  <si>
    <t>AC39</t>
  </si>
  <si>
    <t>AD39</t>
  </si>
  <si>
    <t>Q40</t>
  </si>
  <si>
    <t>R40</t>
  </si>
  <si>
    <t>S40</t>
  </si>
  <si>
    <t>T40</t>
  </si>
  <si>
    <t>U40</t>
  </si>
  <si>
    <t>V40</t>
  </si>
  <si>
    <t>W40</t>
  </si>
  <si>
    <t>X40</t>
  </si>
  <si>
    <t>Y40</t>
  </si>
  <si>
    <t>AA40</t>
  </si>
  <si>
    <t>AB40</t>
  </si>
  <si>
    <t>AC40</t>
  </si>
  <si>
    <t>AD40</t>
  </si>
  <si>
    <t>Q41</t>
  </si>
  <si>
    <t>R41</t>
  </si>
  <si>
    <t>S41</t>
  </si>
  <si>
    <t>T41</t>
  </si>
  <si>
    <t>U41</t>
  </si>
  <si>
    <t>V41</t>
  </si>
  <si>
    <t>W41</t>
  </si>
  <si>
    <t>X41</t>
  </si>
  <si>
    <t>Y41</t>
  </si>
  <si>
    <t>AA41</t>
  </si>
  <si>
    <t>AB41</t>
  </si>
  <si>
    <t>AC41</t>
  </si>
  <si>
    <t>AD41</t>
  </si>
  <si>
    <t>Q42</t>
  </si>
  <si>
    <t>R42</t>
  </si>
  <si>
    <t>S42</t>
  </si>
  <si>
    <t>T42</t>
  </si>
  <si>
    <t>U42</t>
  </si>
  <si>
    <t>V42</t>
  </si>
  <si>
    <t>W42</t>
  </si>
  <si>
    <t>X42</t>
  </si>
  <si>
    <t>Y42</t>
  </si>
  <si>
    <t>AA42</t>
  </si>
  <si>
    <t>AB42</t>
  </si>
  <si>
    <t>AC42</t>
  </si>
  <si>
    <t>AD42</t>
  </si>
  <si>
    <t>Q43</t>
  </si>
  <si>
    <t>R43</t>
  </si>
  <si>
    <t>S43</t>
  </si>
  <si>
    <t>T43</t>
  </si>
  <si>
    <t>U43</t>
  </si>
  <si>
    <t>V43</t>
  </si>
  <si>
    <t>W43</t>
  </si>
  <si>
    <t>X43</t>
  </si>
  <si>
    <t>Y43</t>
  </si>
  <si>
    <t>AA43</t>
  </si>
  <si>
    <t>AB43</t>
  </si>
  <si>
    <t>AC43</t>
  </si>
  <si>
    <t>AD43</t>
  </si>
  <si>
    <t>Q44</t>
  </si>
  <si>
    <t>R44</t>
  </si>
  <si>
    <t>S44</t>
  </si>
  <si>
    <t>T44</t>
  </si>
  <si>
    <t>U44</t>
  </si>
  <si>
    <t>V44</t>
  </si>
  <si>
    <t>W44</t>
  </si>
  <si>
    <t>X44</t>
  </si>
  <si>
    <t>Y44</t>
  </si>
  <si>
    <t>Z44</t>
  </si>
  <si>
    <t>AA44</t>
  </si>
  <si>
    <t>AB44</t>
  </si>
  <si>
    <t>AC44</t>
  </si>
  <si>
    <t>AD44</t>
  </si>
  <si>
    <t>Q45</t>
  </si>
  <si>
    <t>R45</t>
  </si>
  <si>
    <t>S45</t>
  </si>
  <si>
    <t>T45</t>
  </si>
  <si>
    <t>U45</t>
  </si>
  <si>
    <t>V45</t>
  </si>
  <si>
    <t>W45</t>
  </si>
  <si>
    <t>X45</t>
  </si>
  <si>
    <t>Y45</t>
  </si>
  <si>
    <t>Z45</t>
  </si>
  <si>
    <t>AA45</t>
  </si>
  <si>
    <t>AB45</t>
  </si>
  <si>
    <t>AC45</t>
  </si>
  <si>
    <t>AD45</t>
  </si>
  <si>
    <t>Q46</t>
  </si>
  <si>
    <t>R46</t>
  </si>
  <si>
    <t>S46</t>
  </si>
  <si>
    <t>T46</t>
  </si>
  <si>
    <t>U46</t>
  </si>
  <si>
    <t>V46</t>
  </si>
  <si>
    <t>W46</t>
  </si>
  <si>
    <t>X46</t>
  </si>
  <si>
    <t>Y46</t>
  </si>
  <si>
    <t>Z46</t>
  </si>
  <si>
    <t>AA46</t>
  </si>
  <si>
    <t>AB46</t>
  </si>
  <si>
    <t>AC46</t>
  </si>
  <si>
    <t>AD46</t>
  </si>
  <si>
    <t>Q47</t>
  </si>
  <si>
    <t>R47</t>
  </si>
  <si>
    <t>S47</t>
  </si>
  <si>
    <t>T47</t>
  </si>
  <si>
    <t>U47</t>
  </si>
  <si>
    <t>V47</t>
  </si>
  <si>
    <t>W47</t>
  </si>
  <si>
    <t>X47</t>
  </si>
  <si>
    <t>Y47</t>
  </si>
  <si>
    <t>AA47</t>
  </si>
  <si>
    <t>AB47</t>
  </si>
  <si>
    <t>AC47</t>
  </si>
  <si>
    <t>AD47</t>
  </si>
  <si>
    <t>Q48</t>
  </si>
  <si>
    <t>R48</t>
  </si>
  <si>
    <t>S48</t>
  </si>
  <si>
    <t>T48</t>
  </si>
  <si>
    <t>U48</t>
  </si>
  <si>
    <t>V48</t>
  </si>
  <si>
    <t>W48</t>
  </si>
  <si>
    <t>X48</t>
  </si>
  <si>
    <t>Y48</t>
  </si>
  <si>
    <t>Z48</t>
  </si>
  <si>
    <t>AA48</t>
  </si>
  <si>
    <t>AB48</t>
  </si>
  <si>
    <t>AC48</t>
  </si>
  <si>
    <t>AD48</t>
  </si>
  <si>
    <t>Q49</t>
  </si>
  <si>
    <t>R49</t>
  </si>
  <si>
    <t>S49</t>
  </si>
  <si>
    <t>T49</t>
  </si>
  <si>
    <t>U49</t>
  </si>
  <si>
    <t>V49</t>
  </si>
  <si>
    <t>W49</t>
  </si>
  <si>
    <t>X49</t>
  </si>
  <si>
    <t>Y49</t>
  </si>
  <si>
    <t>Z49</t>
  </si>
  <si>
    <t>AA49</t>
  </si>
  <si>
    <t>AB49</t>
  </si>
  <si>
    <t>AC49</t>
  </si>
  <si>
    <t>AD49</t>
  </si>
  <si>
    <t>Q50</t>
  </si>
  <si>
    <t>R50</t>
  </si>
  <si>
    <t>S50</t>
  </si>
  <si>
    <t>T50</t>
  </si>
  <si>
    <t>U50</t>
  </si>
  <si>
    <t>V50</t>
  </si>
  <si>
    <t>W50</t>
  </si>
  <si>
    <t>X50</t>
  </si>
  <si>
    <t>Y50</t>
  </si>
  <si>
    <t>AA50</t>
  </si>
  <si>
    <t>AB50</t>
  </si>
  <si>
    <t>AC50</t>
  </si>
  <si>
    <t>AD50</t>
  </si>
  <si>
    <t>Q51</t>
  </si>
  <si>
    <t>R51</t>
  </si>
  <si>
    <t>S51</t>
  </si>
  <si>
    <t>T51</t>
  </si>
  <si>
    <t>U51</t>
  </si>
  <si>
    <t>V51</t>
  </si>
  <si>
    <t>W51</t>
  </si>
  <si>
    <t>X51</t>
  </si>
  <si>
    <t>Y51</t>
  </si>
  <si>
    <t>AA51</t>
  </si>
  <si>
    <t>AB51</t>
  </si>
  <si>
    <t>AC51</t>
  </si>
  <si>
    <t>AD51</t>
  </si>
  <si>
    <t>Q52</t>
  </si>
  <si>
    <t>R52</t>
  </si>
  <si>
    <t>S52</t>
  </si>
  <si>
    <t>T52</t>
  </si>
  <si>
    <t>U52</t>
  </si>
  <si>
    <t>V52</t>
  </si>
  <si>
    <t>W52</t>
  </si>
  <si>
    <t>X52</t>
  </si>
  <si>
    <t>Y52</t>
  </si>
  <si>
    <t>AA52</t>
  </si>
  <si>
    <t>AB52</t>
  </si>
  <si>
    <t>AC52</t>
  </si>
  <si>
    <t>AD52</t>
  </si>
  <si>
    <t>Q53</t>
  </si>
  <si>
    <t>R53</t>
  </si>
  <si>
    <t>S53</t>
  </si>
  <si>
    <t>T53</t>
  </si>
  <si>
    <t>U53</t>
  </si>
  <si>
    <t>V53</t>
  </si>
  <si>
    <t>W53</t>
  </si>
  <si>
    <t>X53</t>
  </si>
  <si>
    <t>Y53</t>
  </si>
  <si>
    <t>Z53</t>
  </si>
  <si>
    <t>AA53</t>
  </si>
  <si>
    <t>AB53</t>
  </si>
  <si>
    <t>AC53</t>
  </si>
  <si>
    <t>AD53</t>
  </si>
  <si>
    <t>Q54</t>
  </si>
  <si>
    <t>R54</t>
  </si>
  <si>
    <t>S54</t>
  </si>
  <si>
    <t>T54</t>
  </si>
  <si>
    <t>U54</t>
  </si>
  <si>
    <t>V54</t>
  </si>
  <si>
    <t>W54</t>
  </si>
  <si>
    <t>X54</t>
  </si>
  <si>
    <t>Y54</t>
  </si>
  <si>
    <t>Z54</t>
  </si>
  <si>
    <t>AA54</t>
  </si>
  <si>
    <t>AB54</t>
  </si>
  <si>
    <t>AC54</t>
  </si>
  <si>
    <t>AD54</t>
  </si>
  <si>
    <t>Q55</t>
  </si>
  <si>
    <t>R55</t>
  </si>
  <si>
    <t>S55</t>
  </si>
  <si>
    <t>T55</t>
  </si>
  <si>
    <t>U55</t>
  </si>
  <si>
    <t>V55</t>
  </si>
  <si>
    <t>W55</t>
  </si>
  <si>
    <t>X55</t>
  </si>
  <si>
    <t>Y55</t>
  </si>
  <si>
    <t>Z55</t>
  </si>
  <si>
    <t>AA55</t>
  </si>
  <si>
    <t>AB55</t>
  </si>
  <si>
    <t>AC55</t>
  </si>
  <si>
    <t>AD55</t>
  </si>
  <si>
    <t>Q56</t>
  </si>
  <si>
    <t>R56</t>
  </si>
  <si>
    <t>S56</t>
  </si>
  <si>
    <t>T56</t>
  </si>
  <si>
    <t>U56</t>
  </si>
  <si>
    <t>V56</t>
  </si>
  <si>
    <t>W56</t>
  </si>
  <si>
    <t>X56</t>
  </si>
  <si>
    <t>Y56</t>
  </si>
  <si>
    <t>Z56</t>
  </si>
  <si>
    <t>AA56</t>
  </si>
  <si>
    <t>AB56</t>
  </si>
  <si>
    <t>AC56</t>
  </si>
  <si>
    <t>AD56</t>
  </si>
  <si>
    <t>J57</t>
  </si>
  <si>
    <t>K57</t>
  </si>
  <si>
    <t>L57</t>
  </si>
  <si>
    <t>M57</t>
  </si>
  <si>
    <t>N57</t>
  </si>
  <si>
    <t>O57</t>
  </si>
  <si>
    <t>P57</t>
  </si>
  <si>
    <t>Q57</t>
  </si>
  <si>
    <t>R57</t>
  </si>
  <si>
    <t>S57</t>
  </si>
  <si>
    <t>T57</t>
  </si>
  <si>
    <t>U57</t>
  </si>
  <si>
    <t>V57</t>
  </si>
  <si>
    <t>W57</t>
  </si>
  <si>
    <t>X57</t>
  </si>
  <si>
    <t>Y57</t>
  </si>
  <si>
    <t>AA57</t>
  </si>
  <si>
    <t>AB57</t>
  </si>
  <si>
    <t>AC57</t>
  </si>
  <si>
    <t>AD57</t>
  </si>
  <si>
    <t>J58</t>
  </si>
  <si>
    <t>K58</t>
  </si>
  <si>
    <t>L58</t>
  </si>
  <si>
    <t>M58</t>
  </si>
  <si>
    <t>N58</t>
  </si>
  <si>
    <t>O58</t>
  </si>
  <si>
    <t>P58</t>
  </si>
  <si>
    <t>Q58</t>
  </si>
  <si>
    <t>R58</t>
  </si>
  <si>
    <t>S58</t>
  </si>
  <si>
    <t>T58</t>
  </si>
  <si>
    <t>U58</t>
  </si>
  <si>
    <t>V58</t>
  </si>
  <si>
    <t>W58</t>
  </si>
  <si>
    <t>X58</t>
  </si>
  <si>
    <t>Y58</t>
  </si>
  <si>
    <t>AA58</t>
  </si>
  <si>
    <t>AB58</t>
  </si>
  <si>
    <t>AC58</t>
  </si>
  <si>
    <t>AD58</t>
  </si>
  <si>
    <t>Q59</t>
  </si>
  <si>
    <t>R59</t>
  </si>
  <si>
    <t>S59</t>
  </si>
  <si>
    <t>T59</t>
  </si>
  <si>
    <t>U59</t>
  </si>
  <si>
    <t>V59</t>
  </si>
  <si>
    <t>W59</t>
  </si>
  <si>
    <t>X59</t>
  </si>
  <si>
    <t>Y59</t>
  </si>
  <si>
    <t>AA59</t>
  </si>
  <si>
    <t>AB59</t>
  </si>
  <si>
    <t>AC59</t>
  </si>
  <si>
    <t>AD59</t>
  </si>
  <si>
    <t>K61</t>
  </si>
  <si>
    <t>R61</t>
  </si>
  <si>
    <t>S61</t>
  </si>
  <si>
    <t>T61</t>
  </si>
  <si>
    <t>U61</t>
  </si>
  <si>
    <t>V61</t>
  </si>
  <si>
    <t>J62</t>
  </si>
  <si>
    <t>K62</t>
  </si>
  <si>
    <t>L62</t>
  </si>
  <si>
    <t>M62</t>
  </si>
  <si>
    <t>N62</t>
  </si>
  <si>
    <t>O62</t>
  </si>
  <si>
    <t>P62</t>
  </si>
  <si>
    <t>Q62</t>
  </si>
  <si>
    <t>R62</t>
  </si>
  <si>
    <t>S62</t>
  </si>
  <si>
    <t>T62</t>
  </si>
  <si>
    <t>U62</t>
  </si>
  <si>
    <t>V62</t>
  </si>
  <si>
    <t>J63</t>
  </si>
  <si>
    <t>K63</t>
  </si>
  <si>
    <t>L63</t>
  </si>
  <si>
    <t>M63</t>
  </si>
  <si>
    <t>N63</t>
  </si>
  <si>
    <t>O63</t>
  </si>
  <si>
    <t>P63</t>
  </si>
  <si>
    <t>Q63</t>
  </si>
  <si>
    <t>R63</t>
  </si>
  <si>
    <t>S63</t>
  </si>
  <si>
    <t>T63</t>
  </si>
  <si>
    <t>U63</t>
  </si>
  <si>
    <t>V63</t>
  </si>
  <si>
    <t>J64</t>
  </si>
  <si>
    <t>K64</t>
  </si>
  <si>
    <t>L64</t>
  </si>
  <si>
    <t>M64</t>
  </si>
  <si>
    <t>N64</t>
  </si>
  <si>
    <t>O64</t>
  </si>
  <si>
    <t>P64</t>
  </si>
  <si>
    <t>Q64</t>
  </si>
  <si>
    <t>R64</t>
  </si>
  <si>
    <t>S64</t>
  </si>
  <si>
    <t>T64</t>
  </si>
  <si>
    <t>U64</t>
  </si>
  <si>
    <t>V64</t>
  </si>
  <si>
    <t>J65</t>
  </si>
  <si>
    <t>K65</t>
  </si>
  <si>
    <t>L65</t>
  </si>
  <si>
    <t>M65</t>
  </si>
  <si>
    <t>N65</t>
  </si>
  <si>
    <t>O65</t>
  </si>
  <si>
    <t>P65</t>
  </si>
  <si>
    <t>Q65</t>
  </si>
  <si>
    <t>R65</t>
  </si>
  <si>
    <t>S65</t>
  </si>
  <si>
    <t>T65</t>
  </si>
  <si>
    <t>U65</t>
  </si>
  <si>
    <t>V65</t>
  </si>
  <si>
    <t>Q67</t>
  </si>
  <si>
    <t>R67</t>
  </si>
  <si>
    <t>S67</t>
  </si>
  <si>
    <t>T67</t>
  </si>
  <si>
    <t>U67</t>
  </si>
  <si>
    <t>V67</t>
  </si>
  <si>
    <t>W67</t>
  </si>
  <si>
    <t>X67</t>
  </si>
  <si>
    <t>Y67</t>
  </si>
  <si>
    <t>AA67</t>
  </si>
  <si>
    <t>AB67</t>
  </si>
  <si>
    <t>AC67</t>
  </si>
  <si>
    <t>AD67</t>
  </si>
  <si>
    <t>Q68</t>
  </si>
  <si>
    <t>R68</t>
  </si>
  <si>
    <t>S68</t>
  </si>
  <si>
    <t>T68</t>
  </si>
  <si>
    <t>U68</t>
  </si>
  <si>
    <t>V68</t>
  </si>
  <si>
    <t>W68</t>
  </si>
  <si>
    <t>X68</t>
  </si>
  <si>
    <t>Y68</t>
  </si>
  <si>
    <t>Z68</t>
  </si>
  <si>
    <t>AA68</t>
  </si>
  <si>
    <t>AB68</t>
  </si>
  <si>
    <t>AC68</t>
  </si>
  <si>
    <t>AD68</t>
  </si>
  <si>
    <t>Q69</t>
  </si>
  <si>
    <t>R69</t>
  </si>
  <si>
    <t>S69</t>
  </si>
  <si>
    <t>T69</t>
  </si>
  <si>
    <t>U69</t>
  </si>
  <si>
    <t>V69</t>
  </si>
  <si>
    <t>W69</t>
  </si>
  <si>
    <t>X69</t>
  </si>
  <si>
    <t>Y69</t>
  </si>
  <si>
    <t>Z69</t>
  </si>
  <si>
    <t>AA69</t>
  </si>
  <si>
    <t>AB69</t>
  </si>
  <si>
    <t>AC69</t>
  </si>
  <si>
    <t>AD69</t>
  </si>
  <si>
    <t>Q70</t>
  </si>
  <si>
    <t>R70</t>
  </si>
  <si>
    <t>S70</t>
  </si>
  <si>
    <t>T70</t>
  </si>
  <si>
    <t>U70</t>
  </si>
  <si>
    <t>V70</t>
  </si>
  <si>
    <t>W70</t>
  </si>
  <si>
    <t>X70</t>
  </si>
  <si>
    <t>Y70</t>
  </si>
  <si>
    <t>AA70</t>
  </si>
  <si>
    <t>AB70</t>
  </si>
  <si>
    <t>AC70</t>
  </si>
  <si>
    <t>AD70</t>
  </si>
  <si>
    <t>Q71</t>
  </si>
  <si>
    <t>R71</t>
  </si>
  <si>
    <t>S71</t>
  </si>
  <si>
    <t>T71</t>
  </si>
  <si>
    <t>U71</t>
  </si>
  <si>
    <t>V71</t>
  </si>
  <si>
    <t>W71</t>
  </si>
  <si>
    <t>Y71</t>
  </si>
  <si>
    <t>AA71</t>
  </si>
  <si>
    <t>AB71</t>
  </si>
  <si>
    <t>AC71</t>
  </si>
  <si>
    <t>AD71</t>
  </si>
  <si>
    <t>Q72</t>
  </si>
  <si>
    <t>S72</t>
  </si>
  <si>
    <t>T72</t>
  </si>
  <si>
    <t>U72</t>
  </si>
  <si>
    <t>V72</t>
  </si>
  <si>
    <t>W72</t>
  </si>
  <si>
    <t>X72</t>
  </si>
  <si>
    <t>Y72</t>
  </si>
  <si>
    <t>AA72</t>
  </si>
  <si>
    <t>AB72</t>
  </si>
  <si>
    <t>AC72</t>
  </si>
  <si>
    <t>Q73</t>
  </si>
  <si>
    <t>R73</t>
  </si>
  <si>
    <t>W73</t>
  </si>
  <si>
    <t>X73</t>
  </si>
  <si>
    <t>Y73</t>
  </si>
  <si>
    <t>AA73</t>
  </si>
  <si>
    <t>AC73</t>
  </si>
  <si>
    <t>AD73</t>
  </si>
  <si>
    <t>Q74</t>
  </si>
  <si>
    <t>R74</t>
  </si>
  <si>
    <t>S74</t>
  </si>
  <si>
    <t>T74</t>
  </si>
  <si>
    <t>U74</t>
  </si>
  <si>
    <t>V74</t>
  </si>
  <si>
    <t>W74</t>
  </si>
  <si>
    <t>X74</t>
  </si>
  <si>
    <t>Y74</t>
  </si>
  <si>
    <t>Z74</t>
  </si>
  <si>
    <t>AA74</t>
  </si>
  <si>
    <t>AB74</t>
  </si>
  <si>
    <t>AC74</t>
  </si>
  <si>
    <t>AD74</t>
  </si>
  <si>
    <t>Q75</t>
  </si>
  <si>
    <t>R75</t>
  </si>
  <si>
    <t>S75</t>
  </si>
  <si>
    <t>T75</t>
  </si>
  <si>
    <t>U75</t>
  </si>
  <si>
    <t>V75</t>
  </si>
  <si>
    <t>W75</t>
  </si>
  <si>
    <t>X75</t>
  </si>
  <si>
    <t>Y75</t>
  </si>
  <si>
    <t>Z75</t>
  </si>
  <si>
    <t>AA75</t>
  </si>
  <si>
    <t>AB75</t>
  </si>
  <si>
    <t>AC75</t>
  </si>
  <si>
    <t>AD75</t>
  </si>
  <si>
    <t>Q76</t>
  </si>
  <si>
    <t>R76</t>
  </si>
  <si>
    <t>S76</t>
  </si>
  <si>
    <t>T76</t>
  </si>
  <si>
    <t>U76</t>
  </si>
  <si>
    <t>V76</t>
  </si>
  <si>
    <t>W76</t>
  </si>
  <si>
    <t>X76</t>
  </si>
  <si>
    <t>Y76</t>
  </si>
  <si>
    <t>AA76</t>
  </si>
  <si>
    <t>AB76</t>
  </si>
  <si>
    <t>AC76</t>
  </si>
  <si>
    <t>AD76</t>
  </si>
  <si>
    <t>Q77</t>
  </si>
  <si>
    <t>R77</t>
  </si>
  <si>
    <t>S77</t>
  </si>
  <si>
    <t>T77</t>
  </si>
  <si>
    <t>U77</t>
  </si>
  <si>
    <t>V77</t>
  </si>
  <si>
    <t>W77</t>
  </si>
  <si>
    <t>X77</t>
  </si>
  <si>
    <t>Y77</t>
  </si>
  <si>
    <t>AA77</t>
  </si>
  <si>
    <t>AB77</t>
  </si>
  <si>
    <t>AC77</t>
  </si>
  <si>
    <t>AD77</t>
  </si>
  <si>
    <t>Q78</t>
  </si>
  <si>
    <t>R78</t>
  </si>
  <si>
    <t>S78</t>
  </si>
  <si>
    <t>T78</t>
  </si>
  <si>
    <t>U78</t>
  </si>
  <si>
    <t>V78</t>
  </si>
  <si>
    <t>W78</t>
  </si>
  <si>
    <t>X78</t>
  </si>
  <si>
    <t>Y78</t>
  </si>
  <si>
    <t>AA78</t>
  </si>
  <si>
    <t>AB78</t>
  </si>
  <si>
    <t>AC78</t>
  </si>
  <si>
    <t>AD78</t>
  </si>
  <si>
    <t>J80</t>
  </si>
  <si>
    <t>K80</t>
  </si>
  <si>
    <t>L80</t>
  </si>
  <si>
    <t>M80</t>
  </si>
  <si>
    <t>N80</t>
  </si>
  <si>
    <t>O80</t>
  </si>
  <si>
    <t>P80</t>
  </si>
  <si>
    <t>Q80</t>
  </si>
  <si>
    <t>R80</t>
  </si>
  <si>
    <t>T80</t>
  </si>
  <si>
    <t>U80</t>
  </si>
  <si>
    <t>V80</t>
  </si>
  <si>
    <t>W80</t>
  </si>
  <si>
    <t>J81</t>
  </si>
  <si>
    <t>K81</t>
  </si>
  <si>
    <t>L81</t>
  </si>
  <si>
    <t>M81</t>
  </si>
  <si>
    <t>N81</t>
  </si>
  <si>
    <t>O81</t>
  </si>
  <si>
    <t>P81</t>
  </si>
  <si>
    <t>Q81</t>
  </si>
  <si>
    <t>R81</t>
  </si>
  <si>
    <t>T81</t>
  </si>
  <si>
    <t>U81</t>
  </si>
  <si>
    <t>V81</t>
  </si>
  <si>
    <t>W81</t>
  </si>
  <si>
    <t>J82</t>
  </si>
  <si>
    <t>K82</t>
  </si>
  <si>
    <t>L82</t>
  </si>
  <si>
    <t>M82</t>
  </si>
  <si>
    <t>N82</t>
  </si>
  <si>
    <t>O82</t>
  </si>
  <si>
    <t>P82</t>
  </si>
  <si>
    <t>Q82</t>
  </si>
  <si>
    <t>R82</t>
  </si>
  <si>
    <t>T82</t>
  </si>
  <si>
    <t>U82</t>
  </si>
  <si>
    <t>V82</t>
  </si>
  <si>
    <t>W82</t>
  </si>
  <si>
    <t>J83</t>
  </si>
  <si>
    <t>K83</t>
  </si>
  <si>
    <t>L83</t>
  </si>
  <si>
    <t>M83</t>
  </si>
  <si>
    <t>N83</t>
  </si>
  <si>
    <t>O83</t>
  </si>
  <si>
    <t>P83</t>
  </si>
  <si>
    <t>Q83</t>
  </si>
  <si>
    <t>R83</t>
  </si>
  <si>
    <t>S83</t>
  </si>
  <si>
    <t>T83</t>
  </si>
  <si>
    <t>U83</t>
  </si>
  <si>
    <t>V83</t>
  </si>
  <si>
    <t>W83</t>
  </si>
  <si>
    <t>J85</t>
  </si>
  <si>
    <t>K85</t>
  </si>
  <si>
    <t>L85</t>
  </si>
  <si>
    <t>M85</t>
  </si>
  <si>
    <t>N85</t>
  </si>
  <si>
    <t>O85</t>
  </si>
  <si>
    <t>P85</t>
  </si>
  <si>
    <t>Q85</t>
  </si>
  <si>
    <t>R85</t>
  </si>
  <si>
    <t>S85</t>
  </si>
  <si>
    <t>T85</t>
  </si>
  <si>
    <t>U85</t>
  </si>
  <si>
    <t>V85</t>
  </si>
  <si>
    <t>W85</t>
  </si>
  <si>
    <t>J86</t>
  </si>
  <si>
    <t>K86</t>
  </si>
  <si>
    <t>L86</t>
  </si>
  <si>
    <t>M86</t>
  </si>
  <si>
    <t>N86</t>
  </si>
  <si>
    <t>O86</t>
  </si>
  <si>
    <t>P86</t>
  </si>
  <si>
    <t>Q86</t>
  </si>
  <si>
    <t>R86</t>
  </si>
  <si>
    <t>S86</t>
  </si>
  <si>
    <t>T86</t>
  </si>
  <si>
    <t>U86</t>
  </si>
  <si>
    <t>V86</t>
  </si>
  <si>
    <t>W86</t>
  </si>
  <si>
    <t>J87</t>
  </si>
  <si>
    <t>K87</t>
  </si>
  <si>
    <t>L87</t>
  </si>
  <si>
    <t>M87</t>
  </si>
  <si>
    <t>N87</t>
  </si>
  <si>
    <t>O87</t>
  </si>
  <si>
    <t>P87</t>
  </si>
  <si>
    <t>Q87</t>
  </si>
  <si>
    <t>R87</t>
  </si>
  <si>
    <t>T87</t>
  </si>
  <si>
    <t>U87</t>
  </si>
  <si>
    <t>V87</t>
  </si>
  <si>
    <t>W87</t>
  </si>
  <si>
    <t>J89</t>
  </si>
  <si>
    <t>K89</t>
  </si>
  <si>
    <t>L89</t>
  </si>
  <si>
    <t>M89</t>
  </si>
  <si>
    <t>N89</t>
  </si>
  <si>
    <t>O89</t>
  </si>
  <si>
    <t>P89</t>
  </si>
  <si>
    <t>Q89</t>
  </si>
  <si>
    <t>R89</t>
  </si>
  <si>
    <t>T89</t>
  </si>
  <si>
    <t>U89</t>
  </si>
  <si>
    <t>V89</t>
  </si>
  <si>
    <t>W89</t>
  </si>
  <si>
    <t>J90</t>
  </si>
  <si>
    <t>K90</t>
  </si>
  <si>
    <t>L90</t>
  </si>
  <si>
    <t>M90</t>
  </si>
  <si>
    <t>N90</t>
  </si>
  <si>
    <t>O90</t>
  </si>
  <si>
    <t>P90</t>
  </si>
  <si>
    <t>Q90</t>
  </si>
  <si>
    <t>R90</t>
  </si>
  <si>
    <t>S90</t>
  </si>
  <si>
    <t>T90</t>
  </si>
  <si>
    <t>U90</t>
  </si>
  <si>
    <t>V90</t>
  </si>
  <si>
    <t>W90</t>
  </si>
  <si>
    <t>J91</t>
  </si>
  <si>
    <t>K91</t>
  </si>
  <si>
    <t>L91</t>
  </si>
  <si>
    <t>M91</t>
  </si>
  <si>
    <t>N91</t>
  </si>
  <si>
    <t>O91</t>
  </si>
  <si>
    <t>P91</t>
  </si>
  <si>
    <t>Q91</t>
  </si>
  <si>
    <t>R91</t>
  </si>
  <si>
    <t>S91</t>
  </si>
  <si>
    <t>T91</t>
  </si>
  <si>
    <t>U91</t>
  </si>
  <si>
    <t>V91</t>
  </si>
  <si>
    <t>W91</t>
  </si>
  <si>
    <t>J92</t>
  </si>
  <si>
    <t>K92</t>
  </si>
  <si>
    <t>L92</t>
  </si>
  <si>
    <t>M92</t>
  </si>
  <si>
    <t>N92</t>
  </si>
  <si>
    <t>O92</t>
  </si>
  <si>
    <t>P92</t>
  </si>
  <si>
    <t>Q92</t>
  </si>
  <si>
    <t>R92</t>
  </si>
  <si>
    <t>T92</t>
  </si>
  <si>
    <t>U92</t>
  </si>
  <si>
    <t>V92</t>
  </si>
  <si>
    <t>W92</t>
  </si>
  <si>
    <t>J93</t>
  </si>
  <si>
    <t>K93</t>
  </si>
  <si>
    <t>L93</t>
  </si>
  <si>
    <t>M93</t>
  </si>
  <si>
    <t>N93</t>
  </si>
  <si>
    <t>O93</t>
  </si>
  <si>
    <t>P93</t>
  </si>
  <si>
    <t>Q93</t>
  </si>
  <si>
    <t>R93</t>
  </si>
  <si>
    <t>T93</t>
  </si>
  <si>
    <t>U93</t>
  </si>
  <si>
    <t>V93</t>
  </si>
  <si>
    <t>W93</t>
  </si>
  <si>
    <t>J94</t>
  </si>
  <si>
    <t>K94</t>
  </si>
  <si>
    <t>L94</t>
  </si>
  <si>
    <t>M94</t>
  </si>
  <si>
    <t>N94</t>
  </si>
  <si>
    <t>O94</t>
  </si>
  <si>
    <t>P94</t>
  </si>
  <si>
    <t>Q94</t>
  </si>
  <si>
    <t>R94</t>
  </si>
  <si>
    <t>T94</t>
  </si>
  <si>
    <t>U94</t>
  </si>
  <si>
    <t>V94</t>
  </si>
  <si>
    <t>W94</t>
  </si>
  <si>
    <t>J95</t>
  </si>
  <si>
    <t>K95</t>
  </si>
  <si>
    <t>L95</t>
  </si>
  <si>
    <t>M95</t>
  </si>
  <si>
    <t>N95</t>
  </si>
  <si>
    <t>O95</t>
  </si>
  <si>
    <t>P95</t>
  </si>
  <si>
    <t>Q95</t>
  </si>
  <si>
    <t>R95</t>
  </si>
  <si>
    <t>T95</t>
  </si>
  <si>
    <t>U95</t>
  </si>
  <si>
    <t>V95</t>
  </si>
  <si>
    <t>W95</t>
  </si>
  <si>
    <t>J97</t>
  </si>
  <si>
    <t>K97</t>
  </si>
  <si>
    <t>L97</t>
  </si>
  <si>
    <t>M97</t>
  </si>
  <si>
    <t>N97</t>
  </si>
  <si>
    <t>O97</t>
  </si>
  <si>
    <t>P97</t>
  </si>
  <si>
    <t>Q97</t>
  </si>
  <si>
    <t>R97</t>
  </si>
  <si>
    <t>S97</t>
  </si>
  <si>
    <t>T97</t>
  </si>
  <si>
    <t>U97</t>
  </si>
  <si>
    <t>V97</t>
  </si>
  <si>
    <t>J98</t>
  </si>
  <si>
    <t>K98</t>
  </si>
  <si>
    <t>L98</t>
  </si>
  <si>
    <t>M98</t>
  </si>
  <si>
    <t>N98</t>
  </si>
  <si>
    <t>O98</t>
  </si>
  <si>
    <t>P98</t>
  </si>
  <si>
    <t>Q98</t>
  </si>
  <si>
    <t>R98</t>
  </si>
  <si>
    <t>S98</t>
  </si>
  <si>
    <t>T98</t>
  </si>
  <si>
    <t>U98</t>
  </si>
  <si>
    <t>V98</t>
  </si>
  <si>
    <t>J99</t>
  </si>
  <si>
    <t>K99</t>
  </si>
  <si>
    <t>L99</t>
  </si>
  <si>
    <t>M99</t>
  </si>
  <si>
    <t>N99</t>
  </si>
  <si>
    <t>O99</t>
  </si>
  <si>
    <t>P99</t>
  </si>
  <si>
    <t>Q99</t>
  </si>
  <si>
    <t>R99</t>
  </si>
  <si>
    <t>S99</t>
  </si>
  <si>
    <t>T99</t>
  </si>
  <si>
    <t>U99</t>
  </si>
  <si>
    <t>V99</t>
  </si>
  <si>
    <t>J101</t>
  </si>
  <si>
    <t>K101</t>
  </si>
  <si>
    <t>L101</t>
  </si>
  <si>
    <t>M101</t>
  </si>
  <si>
    <t>N101</t>
  </si>
  <si>
    <t>O101</t>
  </si>
  <si>
    <t>P101</t>
  </si>
  <si>
    <t>Q101</t>
  </si>
  <si>
    <t>R101</t>
  </si>
  <si>
    <t>S101</t>
  </si>
  <si>
    <t>T101</t>
  </si>
  <si>
    <t>U101</t>
  </si>
  <si>
    <t>V101</t>
  </si>
  <si>
    <t>J103</t>
  </si>
  <si>
    <t>K103</t>
  </si>
  <si>
    <t>L103</t>
  </si>
  <si>
    <t>M103</t>
  </si>
  <si>
    <t>N103</t>
  </si>
  <si>
    <t>O103</t>
  </si>
  <si>
    <t>P103</t>
  </si>
  <si>
    <t>Q103</t>
  </si>
  <si>
    <t>R103</t>
  </si>
  <si>
    <t>S103</t>
  </si>
  <si>
    <t>T103</t>
  </si>
  <si>
    <t>J104</t>
  </si>
  <si>
    <t>K104</t>
  </si>
  <si>
    <t>L104</t>
  </si>
  <si>
    <t>M104</t>
  </si>
  <si>
    <t>N104</t>
  </si>
  <si>
    <t>O104</t>
  </si>
  <si>
    <t>P104</t>
  </si>
  <si>
    <t>Q104</t>
  </si>
  <si>
    <t>R104</t>
  </si>
  <si>
    <t>S104</t>
  </si>
  <si>
    <t>T104</t>
  </si>
  <si>
    <t>J106</t>
  </si>
  <si>
    <t>K106</t>
  </si>
  <si>
    <t>L106</t>
  </si>
  <si>
    <t>M106</t>
  </si>
  <si>
    <t>N106</t>
  </si>
  <si>
    <t>O106</t>
  </si>
  <si>
    <t>P106</t>
  </si>
  <si>
    <t>Q106</t>
  </si>
  <si>
    <t>R106</t>
  </si>
  <si>
    <t>S106</t>
  </si>
  <si>
    <t>T106</t>
  </si>
  <si>
    <t>U106</t>
  </si>
  <si>
    <t>J108</t>
  </si>
  <si>
    <t>K108</t>
  </si>
  <si>
    <t>L108</t>
  </si>
  <si>
    <t>M108</t>
  </si>
  <si>
    <t>N108</t>
  </si>
  <si>
    <t>O108</t>
  </si>
  <si>
    <t>P108</t>
  </si>
  <si>
    <t>Q108</t>
  </si>
  <si>
    <t>R108</t>
  </si>
  <si>
    <t>S108</t>
  </si>
  <si>
    <t>T108</t>
  </si>
  <si>
    <t>J109</t>
  </si>
  <si>
    <t>K109</t>
  </si>
  <si>
    <t>L109</t>
  </si>
  <si>
    <t>M109</t>
  </si>
  <si>
    <t>N109</t>
  </si>
  <si>
    <t>O109</t>
  </si>
  <si>
    <t>P109</t>
  </si>
  <si>
    <t>Q109</t>
  </si>
  <si>
    <t>R109</t>
  </si>
  <si>
    <t>S109</t>
  </si>
  <si>
    <t>T109</t>
  </si>
  <si>
    <t>J110</t>
  </si>
  <si>
    <t>K110</t>
  </si>
  <si>
    <t>L110</t>
  </si>
  <si>
    <t>M110</t>
  </si>
  <si>
    <t>N110</t>
  </si>
  <si>
    <t>O110</t>
  </si>
  <si>
    <t>P110</t>
  </si>
  <si>
    <t>Q110</t>
  </si>
  <si>
    <t>R110</t>
  </si>
  <si>
    <t>S110</t>
  </si>
  <si>
    <t>T110</t>
  </si>
  <si>
    <t>L111</t>
  </si>
  <si>
    <t>M111</t>
  </si>
  <si>
    <t>N111</t>
  </si>
  <si>
    <t>O111</t>
  </si>
  <si>
    <t>P111</t>
  </si>
  <si>
    <t>J113</t>
  </si>
  <si>
    <t>K113</t>
  </si>
  <si>
    <t>L113</t>
  </si>
  <si>
    <t>M113</t>
  </si>
  <si>
    <t>N113</t>
  </si>
  <si>
    <t>O113</t>
  </si>
  <si>
    <t>P113</t>
  </si>
  <si>
    <t>Q113</t>
  </si>
  <si>
    <t>R113</t>
  </si>
  <si>
    <t>S113</t>
  </si>
  <si>
    <t>T113</t>
  </si>
  <si>
    <t>J115</t>
  </si>
  <si>
    <t>K115</t>
  </si>
  <si>
    <t>L115</t>
  </si>
  <si>
    <t>M115</t>
  </si>
  <si>
    <t>N115</t>
  </si>
  <si>
    <t>O115</t>
  </si>
  <si>
    <t>P115</t>
  </si>
  <si>
    <t>Q115</t>
  </si>
  <si>
    <t>R115</t>
  </si>
  <si>
    <t>S115</t>
  </si>
  <si>
    <t>T115</t>
  </si>
  <si>
    <t>J119</t>
  </si>
  <si>
    <t>K119</t>
  </si>
  <si>
    <t>L119</t>
  </si>
  <si>
    <t>M119</t>
  </si>
  <si>
    <t>N119</t>
  </si>
  <si>
    <t>O119</t>
  </si>
  <si>
    <t>P119</t>
  </si>
  <si>
    <t>Q119</t>
  </si>
  <si>
    <t>R119</t>
  </si>
  <si>
    <t>S119</t>
  </si>
  <si>
    <t>T119</t>
  </si>
  <si>
    <t>U119</t>
  </si>
  <si>
    <t>J120</t>
  </si>
  <si>
    <t>K120</t>
  </si>
  <si>
    <t>L120</t>
  </si>
  <si>
    <t>M120</t>
  </si>
  <si>
    <t>N120</t>
  </si>
  <si>
    <t>O120</t>
  </si>
  <si>
    <t>P120</t>
  </si>
  <si>
    <t>Q120</t>
  </si>
  <si>
    <t>R120</t>
  </si>
  <si>
    <t>S120</t>
  </si>
  <si>
    <t>T120</t>
  </si>
  <si>
    <t>U120</t>
  </si>
  <si>
    <t>J121</t>
  </si>
  <si>
    <t>K121</t>
  </si>
  <si>
    <t>L121</t>
  </si>
  <si>
    <t>M121</t>
  </si>
  <si>
    <t>N121</t>
  </si>
  <si>
    <t>O121</t>
  </si>
  <si>
    <t>P121</t>
  </si>
  <si>
    <t>Q121</t>
  </si>
  <si>
    <t>R121</t>
  </si>
  <si>
    <t>S121</t>
  </si>
  <si>
    <t>T121</t>
  </si>
  <si>
    <t>U121</t>
  </si>
  <si>
    <t>J122</t>
  </si>
  <si>
    <t>K122</t>
  </si>
  <si>
    <t>M122</t>
  </si>
  <si>
    <t>O122</t>
  </si>
  <si>
    <t>P122</t>
  </si>
  <si>
    <t>Q122</t>
  </si>
  <si>
    <t>R122</t>
  </si>
  <si>
    <t>S122</t>
  </si>
  <si>
    <t>T122</t>
  </si>
  <si>
    <t>U122</t>
  </si>
  <si>
    <t>V122</t>
  </si>
  <si>
    <t>W122</t>
  </si>
  <si>
    <t>X122</t>
  </si>
  <si>
    <t>Y122</t>
  </si>
  <si>
    <t>Z122</t>
  </si>
  <si>
    <t>AA122</t>
  </si>
  <si>
    <t>AB122</t>
  </si>
  <si>
    <t>J124</t>
  </si>
  <si>
    <t>K124</t>
  </si>
  <si>
    <t>N124</t>
  </si>
  <si>
    <t>J126</t>
  </si>
  <si>
    <t>K126</t>
  </si>
  <si>
    <t>L126</t>
  </si>
  <si>
    <t>M126</t>
  </si>
  <si>
    <t>N126</t>
  </si>
  <si>
    <t>O126</t>
  </si>
  <si>
    <t>P126</t>
  </si>
  <si>
    <t>Q126</t>
  </si>
  <si>
    <t>R126</t>
  </si>
  <si>
    <t>S126</t>
  </si>
  <si>
    <t>T126</t>
  </si>
  <si>
    <t>U126</t>
  </si>
  <si>
    <t>V126</t>
  </si>
  <si>
    <t>J127</t>
  </si>
  <si>
    <t>K127</t>
  </si>
  <si>
    <t>L127</t>
  </si>
  <si>
    <t>M127</t>
  </si>
  <si>
    <t>N127</t>
  </si>
  <si>
    <t>O127</t>
  </si>
  <si>
    <t>P127</t>
  </si>
  <si>
    <t>Q127</t>
  </si>
  <si>
    <t>R127</t>
  </si>
  <si>
    <t>S127</t>
  </si>
  <si>
    <t>U127</t>
  </si>
  <si>
    <t>V127</t>
  </si>
  <si>
    <t>J129</t>
  </si>
  <si>
    <t>K129</t>
  </si>
  <si>
    <t>L129</t>
  </si>
  <si>
    <t>M129</t>
  </si>
  <si>
    <t>N129</t>
  </si>
  <si>
    <t>O129</t>
  </si>
  <si>
    <t>J130</t>
  </si>
  <si>
    <t>K130</t>
  </si>
  <si>
    <t>L130</t>
  </si>
  <si>
    <t>M130</t>
  </si>
  <si>
    <t>N130</t>
  </si>
  <si>
    <t>O130</t>
  </si>
  <si>
    <t>J133</t>
  </si>
  <si>
    <t>06Mar2026|0,28Mar2026|3,24Apr2026|4,01Jun2026|6,22Jun2026|7,03Aug2026|8,06Oct2026|1000000007</t>
  </si>
  <si>
    <t>06Mar2026|1,28Mar2026|4,24Apr2026|6,01Jun2026|8,22Jun2026|9,03Aug2026|11,15Sep2026|1000000010</t>
  </si>
  <si>
    <t>06Mar2026|74,28Mar2026|94,06Oct2026|1000000093</t>
  </si>
  <si>
    <t>06Mar2026|21,28Mar2026|37,24Apr2026|45,01Jun2026|46,06Oct2026|1000000045</t>
  </si>
  <si>
    <t>06Mar2026|130,28Mar2026|157,06Oct2026|1000000156</t>
  </si>
  <si>
    <t>06Mar2026|119,28Mar2026|147,06Oct2026|1000000146</t>
  </si>
  <si>
    <t>06Mar2026|285,28Mar2026|302,06Oct2026|1000000301</t>
  </si>
  <si>
    <t>06Mar2026|152,28Mar2026|176,06Oct2026|1000000175</t>
  </si>
  <si>
    <t>06Mar2026|198,28Mar2026|221,06Oct2026|1000000220</t>
  </si>
  <si>
    <t>06Mar2026|85,28Mar2026|106,06Oct2026|1000000105</t>
  </si>
  <si>
    <t>06Mar2026|0,28Mar2026|3,24Apr2026|5,01Jun2026|8,06Oct2026|1000000007</t>
  </si>
  <si>
    <t>06Mar2026|0,01Jun2026|2,06Oct2026|1000000001</t>
  </si>
  <si>
    <t>06Mar2026|1,06Oct2026|1000000000</t>
  </si>
  <si>
    <t>06Mar2026|0,28Mar2026|6,24Apr2026|11,01Jun2026|12,03Aug2026|29,06Oct2026|1000000028</t>
  </si>
  <si>
    <t>06Mar2026|0,28Mar2026|5,24Apr2026|8,01Jun2026|10,03Aug2026|26,06Oct2026|1000000025</t>
  </si>
  <si>
    <t>06Mar2026|123,28Mar2026|166,01Jun2026|168,06Oct2026|1000000167</t>
  </si>
  <si>
    <t>06Mar2026|44,28Mar2026|88,01Jun2026|90,03Aug2026|163,15Sep2026|1000000162</t>
  </si>
  <si>
    <t>06Mar2026|244,28Mar2026|307,06Oct2026|1000000306</t>
  </si>
  <si>
    <t>06Mar2026|274,28Mar2026|332,06Oct2026|1000000331</t>
  </si>
  <si>
    <t>06Mar2026|585,28Mar2026|633,06Oct2026|1000000632</t>
  </si>
  <si>
    <t>06Mar2026|356,07Mar2026|362,28Mar2026|418,06Oct2026|1000000417</t>
  </si>
  <si>
    <t>06Mar2026|363,28Mar2026|418,06Oct2026|1000000417</t>
  </si>
  <si>
    <t>06Mar2026|165,28Mar2026|219,06Oct2026|1000000218</t>
  </si>
  <si>
    <t>06Mar2026|0,28Mar2026|21,01Jun2026|24,03Aug2026|60,06Oct2026|1000000059</t>
  </si>
  <si>
    <t>06Mar2026|4,28Mar2026|7,24Apr2026|8,03Aug2026|16,15Sep2026|1000000015</t>
  </si>
  <si>
    <t>06Mar2026|1,28Mar2026|2,24Apr2026|3,03Aug2026|8,15Sep2026|1000000007</t>
  </si>
  <si>
    <t>06Mar2026|29,07Mar2026|30,17Aug2026|55,09Sep2026|1000000054</t>
  </si>
  <si>
    <t>06Mar2026|21,15Jun2026|31,14Jul2026|40,17Aug2026|50,30Sep2026|1000000049</t>
  </si>
  <si>
    <t>06Mar2026|130,15Jun2026|143,14Jul2026|152,17Aug2026|223,09Sep2026|1000000222</t>
  </si>
  <si>
    <t>06Mar2026|103,15Jun2026|119,14Jul2026|129,17Aug2026|202,09Sep2026|1000000201</t>
  </si>
  <si>
    <t>06Mar2026|179,15Jun2026|201,14Jul2026|227,17Aug2026|297,30Sep2026|1000000296</t>
  </si>
  <si>
    <t>06Mar2026|177,15Jun2026|189,14Jul2026|199,17Aug2026|263,30Sep2026|1000000262</t>
  </si>
  <si>
    <t>06Mar2026|259,07Mar2026|261,15Jun2026|289,14Jul2026|311,17Aug2026|360,30Sep2026|1000000359</t>
  </si>
  <si>
    <t>06Mar2026|115,15Jun2026|179,14Jul2026|232,17Aug2026|290,30Sep2026|1000000289</t>
  </si>
  <si>
    <t>06Mar2026|228,14Jul2026|231,17Aug2026|299,30Sep2026|1000000298</t>
  </si>
  <si>
    <t>06Mar2026|101,15Jun2026|134,14Jul2026|180,20Jul2026|186,17Aug2026|229,30Sep2026|1000000228</t>
  </si>
  <si>
    <t>06Mar2026|58,15Jun2026|73,23Jun2026|74,14Jul2026|75,17Aug2026|108,30Sep2026|1000000107</t>
  </si>
  <si>
    <t>06Mar2026|31,14Jul2026|33,30Sep2026|1000000032</t>
  </si>
  <si>
    <t>06Mar2026|3,15Jun2026|5,30Sep2026|1000000004</t>
  </si>
  <si>
    <t>06Mar2026|0,15Jun2026|42,13Jul2026|70,30Sep2026|1000000069</t>
  </si>
  <si>
    <t>06Mar2026|0,15Jun2026|18,13Jul2026|42,14Jul2026|57,20Jul2026|58,30Sep2026|1000000057</t>
  </si>
  <si>
    <t>06Mar2026|213,15Jun2026|238,13Jul2026|300,14Jul2026|327,17Aug2026|399,25Aug2026|435,09Sep2026|1000000434</t>
  </si>
  <si>
    <t>06Mar2026|191,15Jun2026|217,13Jul2026|283,14Jul2026|297,17Aug2026|383,25Aug2026|437,09Sep2026|1000000436</t>
  </si>
  <si>
    <t>06Mar2026|154,15Jun2026|299,13Jul2026|419,14Jul2026|462,17Aug2026|517,25Aug2026|575,09Sep2026|1000000574</t>
  </si>
  <si>
    <t>06Mar2026|167,15Jun2026|324,13Jul2026|433,14Jul2026|486,17Aug2026|527,25Aug2026|550,09Sep2026|1000000549</t>
  </si>
  <si>
    <t>06Mar2026|160,07Mar2026|166,15Jun2026|359,13Jul2026|481,14Jul2026|538,17Aug2026|596,25Aug2026|619,09Sep2026|1000000618</t>
  </si>
  <si>
    <t>06Mar2026|192,15Jun2026|305,13Jul2026|411,14Jul2026|467,17Aug2026|535,25Aug2026|600,09Sep2026|1000000599</t>
  </si>
  <si>
    <t>06Mar2026|172,15Jun2026|219,13Jul2026|326,14Jul2026|374,17Aug2026|472,25Aug2026|528,09Sep2026|1000000527</t>
  </si>
  <si>
    <t>06Mar2026|160,15Jun2026|217,13Jul2026|307,14Jul2026|346,17Aug2026|414,25Aug2026|460,09Sep2026|1000000459</t>
  </si>
  <si>
    <t>06Mar2026|60,07Mar2026|66,15Jun2026|82,13Jul2026|128,14Jul2026|164,17Aug2026|214,25Aug2026|243,09Sep2026|1000000242</t>
  </si>
  <si>
    <t>06Mar2026|0,15Jun2026|4,13Jul2026|24,14Jul2026|26,20Jul2026|36,17Aug2026|38,30Sep2026|1000000037</t>
  </si>
  <si>
    <t>06Mar2026|0,17Aug2026|10,25Aug2026|11,30Sep2026|1000000010</t>
  </si>
  <si>
    <t>06Mar2026|0,28Mar2026|7,24Apr2026|9,01Jun2026|18,29Jun2026|22,22Sep2026|1000000021</t>
  </si>
  <si>
    <t>06Mar2026|0,28Mar2026|7,24Apr2026|8,01Jun2026|21,29Jun2026|23,22Sep2026|1000000022</t>
  </si>
  <si>
    <t>06Mar2026|28,07Mar2026|34,28Mar2026|84,01Jun2026|133,29Jun2026|161,03Aug2026|168,01Sep2026|1000000167</t>
  </si>
  <si>
    <t>06Mar2026|17,28Mar2026|66,01Jun2026|122,29Jun2026|153,03Aug2026|161,01Sep2026|1000000160</t>
  </si>
  <si>
    <t>06Mar2026|182,07Mar2026|188,28Mar2026|268,01Jun2026|335,29Jun2026|337,22Sep2026|1000000336</t>
  </si>
  <si>
    <t>06Mar2026|99,28Mar2026|165,01Jun2026|224,29Jun2026|279,22Sep2026|1000000278</t>
  </si>
  <si>
    <t>06Mar2026|402,28Mar2026|503,01Jun2026|562,22Sep2026|1000000561</t>
  </si>
  <si>
    <t>06Mar2026|188,07Mar2026|194,28Mar2026|270,01Jun2026|329,29Jun2026|350,22Sep2026|1000000349</t>
  </si>
  <si>
    <t>06Mar2026|229,28Mar2026|314,01Jun2026|381,29Jun2026|404,22Sep2026|1000000403</t>
  </si>
  <si>
    <t>06Mar2026|122,28Mar2026|183,01Jun2026|254,29Jun2026|295,03Aug2026|304,22Sep2026|1000000303</t>
  </si>
  <si>
    <t>06Mar2026|10,28Mar2026|40,01Jun2026|87,29Jun2026|106,03Aug2026|107,22Sep2026|1000000106</t>
  </si>
  <si>
    <t>06Mar2026|4,28Mar2026|14,01Jun2026|17,01Sep2026|1000000016</t>
  </si>
  <si>
    <t>06Mar2026|0,28Mar2026|2,24Apr2026|4,01Jun2026|9,22Sep2026|1000000008</t>
  </si>
  <si>
    <t>06Mar2026|3</t>
  </si>
  <si>
    <t>06Mar2026|7,29Sep2026|1000000006</t>
  </si>
  <si>
    <t>06Mar2026|12,08Sep2026|1000000011</t>
  </si>
  <si>
    <t>06Mar2026|0,29Sep2026|999999999</t>
  </si>
  <si>
    <t>06Mar2026|11,29Sep2026|1000000010</t>
  </si>
  <si>
    <t>06Mar2026|46,29Sep2026|1000000045</t>
  </si>
  <si>
    <t>06Mar2026|120,29Sep2026|1000000119</t>
  </si>
  <si>
    <t>06Mar2026|53,29Sep2026|1000000052</t>
  </si>
  <si>
    <t>06Mar2026|103,08Sep2026|1000000102</t>
  </si>
  <si>
    <t>06Mar2026|112,29Sep2026|1000000111</t>
  </si>
  <si>
    <t>06Mar2026|104,08Sep2026|1000000103</t>
  </si>
  <si>
    <t>06Mar2026|9,08Sep2026|1000000008</t>
  </si>
  <si>
    <t>06Mar2026|35,08Sep2026|1000000034</t>
  </si>
  <si>
    <t>06Mar2026|0,07Oct2026|999999999</t>
  </si>
  <si>
    <t>06Mar2026|18,16Sep2026|1000000017</t>
  </si>
  <si>
    <t>06Mar2026|32,16Sep2026|1000000031</t>
  </si>
  <si>
    <t>06Mar2026|49,16Sep2026|1000000048</t>
  </si>
  <si>
    <t>06Mar2026|71,16Sep2026|1000000070</t>
  </si>
  <si>
    <t>06Mar2026|121,16Sep2026|1000000120</t>
  </si>
  <si>
    <t>06Mar2026|86,16Sep2026|1000000085</t>
  </si>
  <si>
    <t>06Mar2026|89,16Sep2026|1000000088</t>
  </si>
  <si>
    <t>06Mar2026|74,16Sep2026|1000000073</t>
  </si>
  <si>
    <t>06Mar2026|39,16Sep2026|1000000038</t>
  </si>
  <si>
    <t>06Mar2026|7,16Sep2026|1000000006</t>
  </si>
  <si>
    <t>06Mar2026|1,16Sep2026|1000000000</t>
  </si>
  <si>
    <t>06Mar2026|2,17Aug2026|15,30Sep2026|1000000014</t>
  </si>
  <si>
    <t>06Mar2026|0,17Aug2026|13,30Sep2026|1000000012</t>
  </si>
  <si>
    <t>06Mar2026|18,07Mar2026|19,29Mar2026|26,17Aug2026|71,30Sep2026|1000000070</t>
  </si>
  <si>
    <t>06Mar2026|0,15Jun2026|18,17Aug2026|73,30Sep2026|1000000072</t>
  </si>
  <si>
    <t>06Mar2026|0,17Aug2026|82,30Sep2026|1000000081</t>
  </si>
  <si>
    <t>06Mar2026|0,17Aug2026|90,30Sep2026|1000000089</t>
  </si>
  <si>
    <t>06Mar2026|0,17Aug2026|127,30Sep2026|1000000126</t>
  </si>
  <si>
    <t>06Mar2026|0,17Aug2026|63,30Sep2026|1000000062</t>
  </si>
  <si>
    <t>06Mar2026|0,29Mar2026|19,17Aug2026|56,30Sep2026|1000000055</t>
  </si>
  <si>
    <t>06Mar2026|0,17Aug2026|19,30Sep2026|1000000018</t>
  </si>
  <si>
    <t>06Mar2026|18,30Sep2026|1000000017</t>
  </si>
  <si>
    <t>06Mar2026|12,09Sep2026|1000000011</t>
  </si>
  <si>
    <t>06Mar2026|3,16Sep2026|1000000002</t>
  </si>
  <si>
    <t>06Mar2026|0,24Apr2026|1,07Oct2026|1000000000</t>
  </si>
  <si>
    <t>06Mar2026|0,08Sep2026|2,07Oct2026|1000000001</t>
  </si>
  <si>
    <t>06Mar2026|0,24Apr2026|1,08Sep2026|3,07Oct2026|1000000002</t>
  </si>
  <si>
    <t>06Mar2026|0,08Sep2026|5,07Oct2026|1000000004</t>
  </si>
  <si>
    <t>06Mar2026|0,24Apr2026|1,08Sep2026|5,07Oct2026|1000000004</t>
  </si>
  <si>
    <t>06Mar2026|0,24Apr2026|15,07Oct2026|1000000014</t>
  </si>
  <si>
    <t>06Mar2026|0,24Apr2026|20,07Oct2026|1000000019</t>
  </si>
  <si>
    <t>06Mar2026|0,24Apr2026|34,07Oct2026|1000000033</t>
  </si>
  <si>
    <t>06Mar2026|0,24Apr2026|22,07Oct2026|1000000021</t>
  </si>
  <si>
    <t>06Mar2026|0,08Sep2026|1,07Oct2026|1000000000</t>
  </si>
  <si>
    <t>06Mar2026|0,08Sep2026|6,07Oct2026|1000000005</t>
  </si>
  <si>
    <t>06Mar2026|0,08Sep2026|23,07Oct2026|1000000022</t>
  </si>
  <si>
    <t>06Mar2026|0,08Sep2026|17,07Oct2026|1000000016</t>
  </si>
  <si>
    <t>06Mar2026|0,08Sep2026|44,07Oct2026|1000000043</t>
  </si>
  <si>
    <t>06Mar2026|0,08Sep2026|36,07Oct2026|1000000035</t>
  </si>
  <si>
    <t>06Mar2026|0,08Sep2026|51,07Oct2026|1000000050</t>
  </si>
  <si>
    <t>06Mar2026|0,08Sep2026|54,07Oct2026|1000000053</t>
  </si>
  <si>
    <t>06Mar2026|0,08Sep2026|39,07Oct2026|1000000038</t>
  </si>
  <si>
    <t>06Mar2026|0,08Sep2026|16,07Oct2026|1000000015</t>
  </si>
  <si>
    <t>06Mar2026|3,13Mar2026|5,28Mar2026|6,07Oct2026|1000000005</t>
  </si>
  <si>
    <t>06Mar2026|0,13Mar2026|1,28Mar2026|2,07Oct2026|1000000001</t>
  </si>
  <si>
    <t>06Mar2026|3,13Mar2026|6,07Oct2026|1000000005</t>
  </si>
  <si>
    <t>06Mar2026|2,16Sep2026|1000000001</t>
  </si>
  <si>
    <t>06Mar2026|20,07Mar2026|21,13Mar2026|30,07Oct2026|1000000029</t>
  </si>
  <si>
    <t>06Mar2026|19,07Mar2026|20,13Mar2026|32,16Sep2026|1000000031</t>
  </si>
  <si>
    <t>06Mar2026|3,07Mar2026|4,13Mar2026|14,07Oct2026|1000000013</t>
  </si>
  <si>
    <t>06Mar2026|7,07Mar2026|8,13Mar2026|16,16Sep2026|1000000015</t>
  </si>
  <si>
    <t>06Mar2026|1,13Mar2026|15,07Oct2026|1000000014</t>
  </si>
  <si>
    <t>06Mar2026|4,13Mar2026|12,07Oct2026|1000000011</t>
  </si>
  <si>
    <t>06Mar2026|17,13Mar2026|22,07Oct2026|1000000021</t>
  </si>
  <si>
    <t>06Mar2026|10,07Oct2026|1000000009</t>
  </si>
  <si>
    <t>06Mar2026|20,16Sep2026|1000000019</t>
  </si>
  <si>
    <t>06Mar2026|16,07Oct2026|1000000015</t>
  </si>
  <si>
    <t>06Mar2026|28,07Oct2026|1000000027</t>
  </si>
  <si>
    <t>06Mar2026|22,07Oct2026|1000000021</t>
  </si>
  <si>
    <t>06Mar2026|9</t>
  </si>
  <si>
    <t>06Mar2026|0,17Aug2026|5,14Oct2026|1000000004</t>
  </si>
  <si>
    <t>06Mar2026|0,17Aug2026|10,14Oct2026|1000000009</t>
  </si>
  <si>
    <t>06Mar2026|0,05Apr2026|1,17Aug2026|7,14Oct2026|1000000006</t>
  </si>
  <si>
    <t>06Mar2026|0,05Apr2026|7,17Aug2026|13,14Oct2026|1000000012</t>
  </si>
  <si>
    <t>06Mar2026|0,05Apr2026|14,14Oct2026|1000000013</t>
  </si>
  <si>
    <t>06Mar2026|0,05Apr2026|2,17Aug2026|15,14Oct2026|1000000014</t>
  </si>
  <si>
    <t>06Mar2026|0,17Aug2026|39,14Oct2026|1000000038</t>
  </si>
  <si>
    <t>06Mar2026|0,17Aug2026|46,14Oct2026|1000000045</t>
  </si>
  <si>
    <t>06Mar2026|0,17Aug2026|42,14Oct2026|1000000041</t>
  </si>
  <si>
    <t>06Mar2026|0,17Aug2026|29,14Oct2026|1000000028</t>
  </si>
  <si>
    <t>06Mar2026|5,17Aug2026|34,23Sep2026|1000000033</t>
  </si>
  <si>
    <t>06Mar2026|0,17Aug2026|16,14Oct2026|1000000015</t>
  </si>
  <si>
    <t>06Mar2026|0,14Oct2026|999999999</t>
  </si>
  <si>
    <t>06Mar2026|0,14Jul2026|2,14Oct2026|1000000001</t>
  </si>
  <si>
    <t>06Mar2026|3,28Mar2026|64,14Oct2026|1000000063</t>
  </si>
  <si>
    <t>06Mar2026|0,28Mar2026|17,14Oct2026|1000000016</t>
  </si>
  <si>
    <t>06Mar2026|92,28Mar2026|93,14Oct2026|1000000092</t>
  </si>
  <si>
    <t>06Mar2026|5,28Mar2026|115,14Oct2026|1000000114</t>
  </si>
  <si>
    <t>06Mar2026|111,07Mar2026|117,14Jul2026|214,14Oct2026|1000000213</t>
  </si>
  <si>
    <t>06Mar2026|48,14Jul2026|150,17Aug2026|154,14Oct2026|1000000153</t>
  </si>
  <si>
    <t>06Mar2026|148,14Jul2026|178,14Oct2026|1000000177</t>
  </si>
  <si>
    <t>06Mar2026|115,28Mar2026|137,14Oct2026|1000000136</t>
  </si>
  <si>
    <t>06Mar2026|40,14Oct2026|1000000039</t>
  </si>
  <si>
    <t>06Mar2026|33,23Sep2026|1000000032</t>
  </si>
  <si>
    <t>06Mar2026|2,15Jun2026|8,16Sep2026|1000000007</t>
  </si>
  <si>
    <t>06Mar2026|0,15Jun2026|2,07Oct2026|1000000001</t>
  </si>
  <si>
    <t>06Mar2026|0,15Jun2026|5,07Oct2026|1000000004</t>
  </si>
  <si>
    <t>06Mar2026|0,15Jun2026|10,07Oct2026|1000000009</t>
  </si>
  <si>
    <t>06Mar2026|0,28Mar2026|2,14Oct2026|1000000001</t>
  </si>
  <si>
    <t>06Mar2026|0,28Mar2026|4,15Jun2026|8,14Oct2026|1000000007</t>
  </si>
  <si>
    <t>06Mar2026|0,28Mar2026|11,15Jun2026|35,14Oct2026|1000000034</t>
  </si>
  <si>
    <t>06Mar2026|0,07Mar2026|2,28Mar2026|77,15Jun2026|101,14Oct2026|1000000100</t>
  </si>
  <si>
    <t>06Mar2026|23,28Mar2026|59,15Jun2026|69,23Sep2026|1000000068</t>
  </si>
  <si>
    <t>06Mar2026|0,07Mar2026|9,28Mar2026|69,14Oct2026|1000000068</t>
  </si>
  <si>
    <t>06Mar2026|26,07Mar2026|32,28Mar2026|98,15Jun2026|121,23Sep2026|1000000120</t>
  </si>
  <si>
    <t>06Mar2026|12,28Mar2026|50,15Jun2026|66,23Sep2026|1000000065</t>
  </si>
  <si>
    <t>06Mar2026|29,28Mar2026|81,15Jun2026|84,14Oct2026|1000000083</t>
  </si>
  <si>
    <t>06Mar2026|34,28Mar2026|58,14Oct2026|1000000057</t>
  </si>
  <si>
    <t>06Mar2026|0,28Mar2026|17,15Jun2026|40,14Oct2026|1000000039</t>
  </si>
  <si>
    <t>06Mar2026|0,28Mar2026|6,15Jun2026|16,14Oct2026|1000000015</t>
  </si>
  <si>
    <t>06Mar2026|0,28Mar2026|1,15Jun2026|2,14Oct2026|1000000001</t>
  </si>
  <si>
    <t>06Mar2026|0,17Apr2026|5,07Oct2026|1000000004</t>
  </si>
  <si>
    <t>06Mar2026|0,17Apr2026|8,07Oct2026|1000000007</t>
  </si>
  <si>
    <t>06Mar2026|3,07Mar2026|4,17Apr2026|33,16Sep2026|1000000032</t>
  </si>
  <si>
    <t>06Mar2026|0,17Apr2026|44,07Oct2026|1000000043</t>
  </si>
  <si>
    <t>06Mar2026|0,17Apr2026|32,07Oct2026|1000000031</t>
  </si>
  <si>
    <t>06Mar2026|4,17Apr2026|44,16Sep2026|1000000043</t>
  </si>
  <si>
    <t>06Mar2026|0,17Apr2026|43,07Oct2026|1000000042</t>
  </si>
  <si>
    <t>06Mar2026|0,17Apr2026|46,07Oct2026|1000000045</t>
  </si>
  <si>
    <t>06Mar2026|0,17Apr2026|52,07Oct2026|1000000051</t>
  </si>
  <si>
    <t>06Mar2026|0,17Apr2026|27,07Oct2026|1000000026</t>
  </si>
  <si>
    <t>06Mar2026|1,07Oct2026|1000000000</t>
  </si>
  <si>
    <t>06Mar2026|53,13Mar2026|58,14Jul2026|68,20Jul2026|74,17Aug2026|123,23Sep2026|1000000122</t>
  </si>
  <si>
    <t>06Mar2026|78,13Mar2026|84,14Jul2026|88,20Jul2026|104,17Aug2026|116,14Oct2026|1000000115</t>
  </si>
  <si>
    <t>06Mar2026|357,14Jul2026|379,20Jul2026|477,14Oct2026|1000000476</t>
  </si>
  <si>
    <t>06Mar2026|419,14Jul2026|452,20Jul2026|534,14Oct2026|1000000533</t>
  </si>
  <si>
    <t>06Mar2026|871,07Mar2026|878,14Jul2026|956,20Jul2026|1130,14Oct2026|1000001129</t>
  </si>
  <si>
    <t>06Mar2026|762,14Jul2026|794,20Jul2026|1034,14Oct2026|1000001033</t>
  </si>
  <si>
    <t>06Mar2026|1010,14Jul2026|1057,20Jul2026|1400,14Oct2026|1000001399</t>
  </si>
  <si>
    <t>06Mar2026|918,14Jul2026|975,20Jul2026|1212,14Oct2026|1000001211</t>
  </si>
  <si>
    <t>06Mar2026|813,07Mar2026|819,15Jun2026|826,14Jul2026|895,20Jul2026|1204,14Oct2026|1000001203</t>
  </si>
  <si>
    <t>06Mar2026|614,07Mar2026|620,14Jul2026|644,20Jul2026|905,14Oct2026|1000000904</t>
  </si>
  <si>
    <t>06Mar2026|246,14Jul2026|257,20Jul2026|537,17Aug2026|545,14Oct2026|1000000544</t>
  </si>
  <si>
    <t>06Mar2026|16,13Mar2026|26,14Jul2026|30,20Jul2026|97,17Aug2026|142,23Sep2026|1000000141</t>
  </si>
  <si>
    <t>06Mar2026|0,15Jun2026|6,23Jun2026|11,14Jul2026|13,20Jul2026|49,14Oct2026|1000000048</t>
  </si>
  <si>
    <t>06Mar2026|0,14Jul2026|9,14Oct2026|1000000008</t>
  </si>
  <si>
    <t>06Mar2026|0,14Jul2026|6,14Oct2026|1000000005</t>
  </si>
  <si>
    <t>06Mar2026|58,14Oct2026|1000000057</t>
  </si>
  <si>
    <t>06Mar2026|78,23Sep2026|1000000077</t>
  </si>
  <si>
    <t>06Mar2026|180,23Sep2026|1000000179</t>
  </si>
  <si>
    <t>06Mar2026|62,14Oct2026|1000000061</t>
  </si>
  <si>
    <t>06Mar2026|110,14Oct2026|1000000109</t>
  </si>
  <si>
    <t>06Mar2026|22,14Oct2026|1000000021</t>
  </si>
  <si>
    <t>06Mar2026|24,14Oct2026|1000000023</t>
  </si>
  <si>
    <t>06Mar2026|19,14Jul2026|21,14Oct2026|1000000020</t>
  </si>
  <si>
    <t>06Mar2026|0,02Oct2026|999999999</t>
  </si>
  <si>
    <t>06Mar2026|0,14Jul2026|7,02Oct2026|1000000006</t>
  </si>
  <si>
    <t>06Mar2026|19,02Oct2026|1000000018</t>
  </si>
  <si>
    <t>06Mar2026|1,14Jul2026|15,02Oct2026|1000000014</t>
  </si>
  <si>
    <t>06Mar2026|105,11Sep2026|1000000104</t>
  </si>
  <si>
    <t>06Mar2026|81,07Mar2026|82,11Sep2026|1000000081</t>
  </si>
  <si>
    <t>06Mar2026|107,11Sep2026|1000000106</t>
  </si>
  <si>
    <t>06Mar2026|70,11Sep2026|1000000069</t>
  </si>
  <si>
    <t>06Mar2026|32,02Oct2026|1000000031</t>
  </si>
  <si>
    <t>06Mar2026|68,11Sep2026|1000000067</t>
  </si>
  <si>
    <t>06Mar2026|18,14Jul2026|27,11Sep2026|1000000026</t>
  </si>
  <si>
    <t>06Mar2026|20,14Jul2026|26,11Sep2026|1000000025</t>
  </si>
  <si>
    <t>06Mar2026|5,11Sep2026|1000000004</t>
  </si>
  <si>
    <t>06Mar2026|0,05Apr2026|2,17Apr2026|21,15Jun2026|35,30Sep2026|1000000034</t>
  </si>
  <si>
    <t>06Mar2026|0,05Apr2026|2,17Apr2026|17,15Jun2026|38,30Sep2026|1000000037</t>
  </si>
  <si>
    <t>06Mar2026|72,05Apr2026|85,17Apr2026|104,15Jun2026|137,30Sep2026|1000000136</t>
  </si>
  <si>
    <t>06Mar2026|80,05Apr2026|94,17Apr2026|100,15Jun2026|106,30Sep2026|1000000105</t>
  </si>
  <si>
    <t>06Mar2026|181,07Mar2026|182,05Apr2026|221,17Apr2026|259,30Sep2026|1000000258</t>
  </si>
  <si>
    <t>06Mar2026|189,07Mar2026|190,05Apr2026|220,17Apr2026|248,15Jun2026|255,30Sep2026|1000000254</t>
  </si>
  <si>
    <t>06Mar2026|283,05Apr2026|330,17Apr2026|340,30Sep2026|1000000339</t>
  </si>
  <si>
    <t>06Mar2026|138,05Apr2026|169,17Apr2026|196,15Jun2026|227,30Sep2026|1000000226</t>
  </si>
  <si>
    <t>06Mar2026|282,05Apr2026|306,30Sep2026|1000000305</t>
  </si>
  <si>
    <t>06Mar2026|229,30Sep2026|1000000228</t>
  </si>
  <si>
    <t>06Mar2026|112,05Apr2026|125,30Sep2026|1000000124</t>
  </si>
  <si>
    <t>06Mar2026|37,05Apr2026|43,15Jun2026|50,09Sep2026|1000000049</t>
  </si>
  <si>
    <t>06Mar2026|15,09Sep2026|1000000014</t>
  </si>
  <si>
    <t>06Mar2026|3,02Oct2026|1000000002</t>
  </si>
  <si>
    <t>06Mar2026|9,11Sep2026|1000000008</t>
  </si>
  <si>
    <t>06Mar2026|9,07Oct2026|1000000008</t>
  </si>
  <si>
    <t>06Mar2026|0,28Mar2026|2,07Oct2026|1000000001</t>
  </si>
  <si>
    <t>06Mar2026|10,28Mar2026|13,16Sep2026|1000000012</t>
  </si>
  <si>
    <t>06Mar2026|0,28Mar2026|3,07Oct2026|1000000002</t>
  </si>
  <si>
    <t>06Mar2026|0,24Apr2026|3,07Oct2026|1000000002</t>
  </si>
  <si>
    <t>06Mar2026|8,16Sep2026|1000000007</t>
  </si>
  <si>
    <t>06Mar2026|2,07Mar2026|3,16Sep2026|1000000002</t>
  </si>
  <si>
    <t>06Mar2026|23,07Mar2026|24,16Sep2026|1000000023</t>
  </si>
  <si>
    <t>06Mar2026|37,16Sep2026|1000000036</t>
  </si>
  <si>
    <t>06Mar2026|38,16Sep2026|1000000037</t>
  </si>
  <si>
    <t>06Mar2026|54,16Sep2026|1000000053</t>
  </si>
  <si>
    <t>06Mar2026|26,16Sep2026|1000000025</t>
  </si>
  <si>
    <t>06Mar2026|10,16Sep2026|1000000009</t>
  </si>
  <si>
    <t>06Mar2026|0,29Sep2026|9,30Sep2026|1000000008</t>
  </si>
  <si>
    <t>06Mar2026|0,30Sep2026|999999999</t>
  </si>
  <si>
    <t>06Mar2026|0,29Sep2026|37,30Sep2026|1000000036</t>
  </si>
  <si>
    <t>06Mar2026|0,29Sep2026|11,30Sep2026|1000000010</t>
  </si>
  <si>
    <t>06Mar2026|0,29Sep2026|62,30Sep2026|1000000061</t>
  </si>
  <si>
    <t>06Mar2026|0,29Sep2026|49,30Sep2026|1000000048</t>
  </si>
  <si>
    <t>06Mar2026|0,29Sep2026|45,30Sep2026|1000000044</t>
  </si>
  <si>
    <t>06Mar2026|0,29Sep2026|55,30Sep2026|1000000054</t>
  </si>
  <si>
    <t>06Mar2026|0,29Sep2026|47,30Sep2026|1000000046</t>
  </si>
  <si>
    <t>06Mar2026|0,29Sep2026|14,30Sep2026|1000000013</t>
  </si>
  <si>
    <t>06Mar2026|0,17Apr2026|1,30Sep2026|1000000000</t>
  </si>
  <si>
    <t>06Mar2026|20,07Oct2026|1000000019</t>
  </si>
  <si>
    <t>06Mar2026|6,07Oct2026|1000000005</t>
  </si>
  <si>
    <t>06Mar2026|12,07Oct2026|1000000011</t>
  </si>
  <si>
    <t>06Mar2026|15,07Oct2026|1000000014</t>
  </si>
  <si>
    <t>06Mar2026|0,29Mar2026|3,07Oct2026|1000000002</t>
  </si>
  <si>
    <t>06Mar2026|5,07Oct2026|1000000004</t>
  </si>
  <si>
    <t>06Mar2026|0,17Aug2026|12,07Oct2026|1000000011</t>
  </si>
  <si>
    <t>06Mar2026|0,17Aug2026|9,07Oct2026|1000000008</t>
  </si>
  <si>
    <t>06Mar2026|0,29Mar2026|9,17Aug2026|32,07Oct2026|1000000031</t>
  </si>
  <si>
    <t>06Mar2026|0,29Mar2026|9,17Aug2026|35,07Oct2026|1000000034</t>
  </si>
  <si>
    <t>06Mar2026|0,29Mar2026|2,17Aug2026|37,07Oct2026|1000000036</t>
  </si>
  <si>
    <t>06Mar2026|0,29Mar2026|34,17Aug2026|56,07Oct2026|1000000055</t>
  </si>
  <si>
    <t>06Mar2026|0,29Mar2026|2,17Aug2026|90,07Oct2026|1000000089</t>
  </si>
  <si>
    <t>06Mar2026|3,29Mar2026|34,17Aug2026|88,16Sep2026|1000000087</t>
  </si>
  <si>
    <t>06Mar2026|0,29Mar2026|35,17Aug2026|91,07Oct2026|1000000090</t>
  </si>
  <si>
    <t>06Mar2026|0,17Aug2026|78,07Oct2026|1000000077</t>
  </si>
  <si>
    <t>06Mar2026|1,29Mar2026|8,17Aug2026|35,16Sep2026|1000000034</t>
  </si>
  <si>
    <t>06Mar2026|0,17Aug2026|6,07Oct2026|1000000005</t>
  </si>
  <si>
    <t>06Mar2026|3,07Oct2026|1000000002</t>
  </si>
  <si>
    <t>06Mar2026|52,07Oct2026|1000000051</t>
  </si>
  <si>
    <t>06Mar2026|34,07Oct2026|1000000033</t>
  </si>
  <si>
    <t>06Mar2026|50,07Oct2026|1000000049</t>
  </si>
  <si>
    <t>06Mar2026|24,16Sep2026|1000000023</t>
  </si>
  <si>
    <t>06Mar2026|44,07Oct2026|1000000043</t>
  </si>
  <si>
    <t>06Mar2026|13,16Sep2026|1000000012</t>
  </si>
  <si>
    <t>06Mar2026|28,16Sep2026|1000000027</t>
  </si>
  <si>
    <t>06Mar2026|0,24Apr2026|2,17Aug2026|24,08Sep2026|26,30Sep2026|1000000025</t>
  </si>
  <si>
    <t>06Mar2026|0,24Apr2026|3,17Aug2026|20,08Sep2026|24,30Sep2026|1000000023</t>
  </si>
  <si>
    <t>06Mar2026|8,24Apr2026|13,17Aug2026|66,08Sep2026|91,09Sep2026|1000000090</t>
  </si>
  <si>
    <t>06Mar2026|21,24Apr2026|24,17Aug2026|75,08Sep2026|99,09Sep2026|1000000098</t>
  </si>
  <si>
    <t>06Mar2026|47,17Aug2026|143,08Sep2026|197,09Sep2026|1000000196</t>
  </si>
  <si>
    <t>06Mar2026|50,17Aug2026|145,08Sep2026|194,09Sep2026|1000000193</t>
  </si>
  <si>
    <t>06Mar2026|65,17Aug2026|213,08Sep2026|282,09Sep2026|1000000281</t>
  </si>
  <si>
    <t>06Mar2026|60,17Aug2026|172,08Sep2026|229,09Sep2026|1000000228</t>
  </si>
  <si>
    <t>06Mar2026|79,17Aug2026|220,08Sep2026|286,09Sep2026|1000000285</t>
  </si>
  <si>
    <t>06Mar2026|58,17Aug2026|159,08Sep2026|209,09Sep2026|1000000208</t>
  </si>
  <si>
    <t>06Mar2026|16,17Aug2026|70,08Sep2026|93,09Sep2026|1000000092</t>
  </si>
  <si>
    <t>06Mar2026|0,24Apr2026|4,17Aug2026|19,08Sep2026|24,30Sep2026|1000000023</t>
  </si>
  <si>
    <t>06Mar2026|0,17Aug2026|12,30Sep2026|1000000011</t>
  </si>
  <si>
    <t>06Mar2026|8</t>
  </si>
  <si>
    <t>06Mar2026|22</t>
  </si>
  <si>
    <t>06Mar2026|12</t>
  </si>
  <si>
    <t>06Mar2026|50</t>
  </si>
  <si>
    <t>06Mar2026|4</t>
  </si>
  <si>
    <t>06Mar2026|2</t>
  </si>
  <si>
    <t>06Mar2026|2,08Mar2026|7,01Jun2026|8</t>
  </si>
  <si>
    <t>06Mar2026|0,10Aug2026|6</t>
  </si>
  <si>
    <t>06Mar2026|6,08Mar2026|23</t>
  </si>
  <si>
    <t>06Mar2026|0,01Jun2026|22</t>
  </si>
  <si>
    <t>06Mar2026|0,01Jun2026|29</t>
  </si>
  <si>
    <t>06Mar2026|3,08Mar2026|36,01Jun2026|50</t>
  </si>
  <si>
    <t>06Mar2026|13,08Mar2026|30</t>
  </si>
  <si>
    <t>06Mar2026|0,08Mar2026|22,01Jun2026|28</t>
  </si>
  <si>
    <t>06Mar2026|0,08Mar2026|24,01Jun2026|36</t>
  </si>
  <si>
    <t>06Mar2026|1</t>
  </si>
  <si>
    <t>06Mar2026|28,19Oct2026|29</t>
  </si>
  <si>
    <t>06Mar2026|0,10Aug2026|1</t>
  </si>
  <si>
    <t>06Mar2026|0,01Jun2026|3</t>
  </si>
  <si>
    <t>06Mar2026|27,24Apr2026|28,15Jun2026|32,30Jun2026|34,14Jul2026|48,20Jul2026|49,18Aug2026|62,07Oct2026|1000000061</t>
  </si>
  <si>
    <t>06Mar2026|6,24Apr2026|21,15Jun2026|29,30Jun2026|36,14Jul2026|48,18Aug2026|54,07Oct2026|1000000053</t>
  </si>
  <si>
    <t>06Mar2026|73,15Jun2026|94,30Jun2026|107,14Jul2026|149,20Jul2026|156,18Aug2026|185,07Oct2026|1000000184</t>
  </si>
  <si>
    <t>06Mar2026|69,07Mar2026|75,15Jun2026|84,30Jun2026|97,14Jul2026|143,18Aug2026|189,07Oct2026|1000000188</t>
  </si>
  <si>
    <t>06Mar2026|135,15Jun2026|140,30Jun2026|156,14Jul2026|240,18Aug2026|318,07Oct2026|1000000317</t>
  </si>
  <si>
    <t>06Mar2026|95,15Jun2026|129,30Jun2026|139,14Jul2026|214,18Aug2026|279,07Oct2026|1000000278</t>
  </si>
  <si>
    <t>06Mar2026|109,15Jun2026|169,30Jun2026|177,14Jul2026|270,20Jul2026|272,18Aug2026|342,07Oct2026|1000000341</t>
  </si>
  <si>
    <t>06Mar2026|97,15Jun2026|124,30Jun2026|136,14Jul2026|202,18Aug2026|270,07Oct2026|1000000269</t>
  </si>
  <si>
    <t>06Mar2026|108,15Jun2026|138,30Jun2026|141,14Jul2026|214,18Aug2026|285,07Oct2026|1000000284</t>
  </si>
  <si>
    <t>06Mar2026|19,15Jun2026|40,30Jun2026|50,14Jul2026|97,20Jul2026|105,18Aug2026|157,07Sep2026|158,07Oct2026|1000000157</t>
  </si>
  <si>
    <t>06Mar2026|8,15Jun2026|17,30Jun2026|21,14Jul2026|42,20Jul2026|44,18Aug2026|67,07Oct2026|1000000066</t>
  </si>
  <si>
    <t>06Mar2026|0,24Apr2026|7,14Jul2026|11,18Aug2026|15,07Sep2026|16,07Oct2026|1000000015</t>
  </si>
  <si>
    <t>06Mar2026|0,24Apr2026|2,07Oct2026|1000000001</t>
  </si>
  <si>
    <t>06Mar2026|4,07Mar2026|10,28Mar2026|71,01Jun2026|109,22Sep2026|1000000108</t>
  </si>
  <si>
    <t>06Mar2026|6,28Mar2026|39,01Jun2026|88,22Sep2026|1000000087</t>
  </si>
  <si>
    <t>06Mar2026|131,28Mar2026|301,01Jun2026|366,03Aug2026|374,22Sep2026|1000000373</t>
  </si>
  <si>
    <t>06Mar2026|98,07Mar2026|110,28Mar2026|218,01Jun2026|326,29Jun2026|337,03Aug2026|343,22Sep2026|1000000342</t>
  </si>
  <si>
    <t>06Mar2026|183,28Mar2026|449,01Jun2026|555,03Aug2026|561,22Sep2026|1000000560</t>
  </si>
  <si>
    <t>06Mar2026|221,07Mar2026|227,28Mar2026|483,01Jun2026|490,22Sep2026|1000000489</t>
  </si>
  <si>
    <t>06Mar2026|371,28Mar2026|697,22Sep2026|1000000696</t>
  </si>
  <si>
    <t>06Mar2026|411,28Mar2026|632,22Sep2026|1000000631</t>
  </si>
  <si>
    <t>06Mar2026|469,07Mar2026|475,28Mar2026|726,22Sep2026|1000000725</t>
  </si>
  <si>
    <t>06Mar2026|544,07Mar2026|569,28Mar2026|652,22Sep2026|1000000651</t>
  </si>
  <si>
    <t>06Mar2026|115,28Mar2026|278,01Jun2026|284,01Sep2026|1000000283</t>
  </si>
  <si>
    <t>06Mar2026|8,28Mar2026|26,01Jun2026|47,29Jun2026|48,03Aug2026|61,01Sep2026|1000000060</t>
  </si>
  <si>
    <t>06Mar2026|0,28Mar2026|31,01Jun2026|37,22Sep2026|1000000036</t>
  </si>
  <si>
    <t>06Mar2026|55,08Sep2026|1000000054</t>
  </si>
  <si>
    <t>06Mar2026|59,08Sep2026|1000000058</t>
  </si>
  <si>
    <t>06Mar2026|349,08Sep2026|1000000348</t>
  </si>
  <si>
    <t>06Mar2026|405,08Sep2026|1000000404</t>
  </si>
  <si>
    <t>06Mar2026|466,08Sep2026|1000000465</t>
  </si>
  <si>
    <t>06Mar2026|451,07Mar2026|452,08Sep2026|1000000451</t>
  </si>
  <si>
    <t>06Mar2026|559,08Sep2026|1000000558</t>
  </si>
  <si>
    <t>06Mar2026|510,08Sep2026|1000000509</t>
  </si>
  <si>
    <t>06Mar2026|512,08Sep2026|1000000511</t>
  </si>
  <si>
    <t>06Mar2026|427,08Sep2026|1000000426</t>
  </si>
  <si>
    <t>06Mar2026|284,08Sep2026|1000000283</t>
  </si>
  <si>
    <t>06Mar2026|48,07Mar2026|52,08Sep2026|1000000051</t>
  </si>
  <si>
    <t>06Mar2026|54,08Sep2026|1000000053</t>
  </si>
  <si>
    <t>06Mar2026|2,30Sep2026|1000000001</t>
  </si>
  <si>
    <t>06Mar2026|50,30Sep2026|1000000049</t>
  </si>
  <si>
    <t>06Mar2026|30,07Mar2026|31,09Sep2026|1000000030</t>
  </si>
  <si>
    <t>06Mar2026|0,23Mar2026|9,15Jun2026|80,23Jun2026|88,17Aug2026|102,30Sep2026|1000000101</t>
  </si>
  <si>
    <t>06Mar2026|92,23Mar2026|100,15Jun2026|118,23Jun2026|122,14Jul2026|127,17Aug2026|136,09Sep2026|1000000135</t>
  </si>
  <si>
    <t>06Mar2026|96,23Mar2026|155,15Jun2026|333,23Jun2026|340,17Aug2026|365,09Sep2026|1000000364</t>
  </si>
  <si>
    <t>06Mar2026|89,23Mar2026|127,15Jun2026|326,23Jun2026|346,17Aug2026|398,09Sep2026|1000000397</t>
  </si>
  <si>
    <t>06Mar2026|165,23Mar2026|227,15Jun2026|696,23Jun2026|697,17Aug2026|844,09Sep2026|1000000843</t>
  </si>
  <si>
    <t>06Mar2026|80,07Mar2026|87,15Jun2026|363,23Jun2026|414,17Aug2026|590,09Sep2026|1000000589</t>
  </si>
  <si>
    <t>06Mar2026|361,15Jun2026|562,23Jun2026|571,17Aug2026|903,09Sep2026|1000000902</t>
  </si>
  <si>
    <t>06Mar2026|207,15Jun2026|284,17Aug2026|599,09Sep2026|1000000598</t>
  </si>
  <si>
    <t>06Mar2026|114,15Jun2026|251,23Jun2026|279,17Aug2026|758,09Sep2026|1000000757</t>
  </si>
  <si>
    <t>06Mar2026|123,15Jun2026|216,23Jun2026|253,17Aug2026|435,09Sep2026|1000000434</t>
  </si>
  <si>
    <t>06Mar2026|201,17Aug2026|311,09Sep2026|1000000310</t>
  </si>
  <si>
    <t>06Mar2026|43,23Mar2026|71,17Apr2026|73,15Jun2026|78,23Jun2026|84,14Jul2026|103,17Aug2026|116,09Sep2026|1000000115</t>
  </si>
  <si>
    <t>06Mar2026|0,10Aug2026|18,29Sep2026|1000000017</t>
  </si>
  <si>
    <t>06Mar2026|0,10Aug2026|13,29Sep2026|1000000012</t>
  </si>
  <si>
    <t>06Mar2026|0,10Aug2026|30,29Sep2026|1000000029</t>
  </si>
  <si>
    <t>06Mar2026|0,10Aug2026|25,29Sep2026|1000000024</t>
  </si>
  <si>
    <t>06Mar2026|0,10Aug2026|37,29Sep2026|1000000036</t>
  </si>
  <si>
    <t>06Mar2026|0,10Aug2026|34,29Sep2026|1000000033</t>
  </si>
  <si>
    <t>06Mar2026|0,10Aug2026|40,29Sep2026|1000000039</t>
  </si>
  <si>
    <t>06Mar2026|0,10Aug2026|32,29Sep2026|1000000031</t>
  </si>
  <si>
    <t>06Mar2026|0,10Aug2026|33,29Sep2026|1000000032</t>
  </si>
  <si>
    <t>06Mar2026|0,10Aug2026|20,29Sep2026|1000000019</t>
  </si>
  <si>
    <t>06Mar2026|0,10Aug2026|17,29Sep2026|1000000016</t>
  </si>
  <si>
    <t>06Mar2026|0,10Aug2026|11,29Sep2026|1000000010</t>
  </si>
  <si>
    <t>06Mar2026|0,17Aug2026|10,25Aug2026|12</t>
  </si>
  <si>
    <t>06Mar2026|0,17Aug2026|11,25Aug2026|13</t>
  </si>
  <si>
    <t>06Mar2026|0,17Aug2026|18,25Aug2026|24</t>
  </si>
  <si>
    <t>06Mar2026|0,17Aug2026|22,25Aug2026|29</t>
  </si>
  <si>
    <t>06Mar2026|0,17Aug2026|24,25Aug2026|46</t>
  </si>
  <si>
    <t>06Mar2026|0,17Aug2026|28,25Aug2026|39</t>
  </si>
  <si>
    <t>06Mar2026|0,17Aug2026|32,25Aug2026|75</t>
  </si>
  <si>
    <t>06Mar2026|0,17Aug2026|32,25Aug2026|54</t>
  </si>
  <si>
    <t>06Mar2026|0,17Aug2026|21,25Aug2026|32</t>
  </si>
  <si>
    <t>06Mar2026|0,17Aug2026|23,25Aug2026|25</t>
  </si>
  <si>
    <t>06Mar2026|0,17Aug2026|15</t>
  </si>
  <si>
    <t>06Mar2026|0,17Aug2026|9,25Aug2026|10</t>
  </si>
  <si>
    <t>06Mar2026|0,07Mar2026|4</t>
  </si>
  <si>
    <t>06Mar2026|10</t>
  </si>
  <si>
    <t>06Mar2026|15</t>
  </si>
  <si>
    <t>06Mar2026|13</t>
  </si>
  <si>
    <t>06Mar2026|24</t>
  </si>
  <si>
    <t>06Mar2026|33</t>
  </si>
  <si>
    <t>06Mar2026|9,09Sep2026|1000000008</t>
  </si>
  <si>
    <t>06Mar2026|0,15Jun2026|7,23Jun2026|9,30Sep2026|1000000008</t>
  </si>
  <si>
    <t>06Mar2026|0,15Jun2026|14,30Sep2026|1000000013</t>
  </si>
  <si>
    <t>06Mar2026|0,15Jun2026|22,30Sep2026|1000000021</t>
  </si>
  <si>
    <t>06Mar2026|0,15Jun2026|48,23Jun2026|58,30Sep2026|1000000057</t>
  </si>
  <si>
    <t>06Mar2026|0,15Jun2026|9,30Sep2026|1000000008</t>
  </si>
  <si>
    <t>06Mar2026|0,15Jun2026|17,30Sep2026|1000000016</t>
  </si>
  <si>
    <t>06Mar2026|0,15Jun2026|21,30Sep2026|1000000020</t>
  </si>
  <si>
    <t>06Mar2026|5,15Jun2026|9,23Jun2026|10,09Sep2026|1000000009</t>
  </si>
  <si>
    <t>06Mar2026|0,15Jun2026|6,30Sep2026|1000000005</t>
  </si>
  <si>
    <t>06Mar2026|84,07Oct2026|1000000083</t>
  </si>
  <si>
    <t>06Mar2026|81,07Oct2026|1000000080</t>
  </si>
  <si>
    <t>06Mar2026|246,17Aug2026|324,07Oct2026|1000000323</t>
  </si>
  <si>
    <t>06Mar2026|275,07Mar2026|282,17Aug2026|374,07Oct2026|1000000373</t>
  </si>
  <si>
    <t>06Mar2026|367,17Aug2026|677,07Oct2026|1000000676</t>
  </si>
  <si>
    <t>06Mar2026|151,17Aug2026|573,07Oct2026|1000000572</t>
  </si>
  <si>
    <t>06Mar2026|405,17Aug2026|932,07Oct2026|1000000931</t>
  </si>
  <si>
    <t>06Mar2026|304,07Mar2026|311,17Aug2026|805,07Oct2026|1000000804</t>
  </si>
  <si>
    <t>06Mar2026|447,07Mar2026|449,17Aug2026|766,07Oct2026|1000000765</t>
  </si>
  <si>
    <t>06Mar2026|406,17Aug2026|622,07Oct2026|1000000621</t>
  </si>
  <si>
    <t>06Mar2026|260,17Aug2026|386,07Oct2026|1000000385</t>
  </si>
  <si>
    <t>06Mar2026|151,07Mar2026|152,17Aug2026|181,16Sep2026|1000000180</t>
  </si>
  <si>
    <t>06Mar2026|160,16Sep2026|1000000159</t>
  </si>
  <si>
    <t>06Mar2026|5,17Aug2026|12,14Oct2026|1000000011</t>
  </si>
  <si>
    <t>06Mar2026|97,17Aug2026|117,14Oct2026|1000000116</t>
  </si>
  <si>
    <t>06Mar2026|0,17Aug2026|43,14Oct2026|1000000042</t>
  </si>
  <si>
    <t>06Mar2026|94,07Mar2026|100,14Oct2026|1000000099</t>
  </si>
  <si>
    <t>06Mar2026|109,14Oct2026|1000000108</t>
  </si>
  <si>
    <t>06Mar2026|33,17Aug2026|111,14Oct2026|1000000110</t>
  </si>
  <si>
    <t>06Mar2026|2,17Aug2026|80,14Oct2026|1000000079</t>
  </si>
  <si>
    <t>06Mar2026|67,17Aug2026|118,14Oct2026|1000000117</t>
  </si>
  <si>
    <t>06Mar2026|29,17Aug2026|76,14Oct2026|1000000075</t>
  </si>
  <si>
    <t>06Mar2026|43,17Aug2026|80,14Oct2026|1000000079</t>
  </si>
  <si>
    <t>06Mar2026|0,17Aug2026|7,14Oct2026|1000000006</t>
  </si>
  <si>
    <t>06Mar2026|0,17Aug2026|1,02Oct2026|1000000000</t>
  </si>
  <si>
    <t>06Mar2026|0,13Jul2026|1,17Aug2026|11,02Oct2026|1000000010</t>
  </si>
  <si>
    <t>06Mar2026|0,13Jul2026|11,17Aug2026|52,02Oct2026|1000000051</t>
  </si>
  <si>
    <t>06Mar2026|0,15Jun2026|3,02Oct2026|1000000002</t>
  </si>
  <si>
    <t>06Mar2026|0,17Aug2026|10,02Oct2026|1000000009</t>
  </si>
  <si>
    <t>06Mar2026|8,11Sep2026|1000000007</t>
  </si>
  <si>
    <t>06Mar2026|3,14Sep2026|1000000002</t>
  </si>
  <si>
    <t>06Mar2026|0,05Oct2026|999999999</t>
  </si>
  <si>
    <t>06Mar2026|20,09Mar2026|88,08Apr2026|172,10Apr2026|179,21Jul2026|190,14Aug2026|214,14Sep2026|1000000213</t>
  </si>
  <si>
    <t>06Mar2026|0,09Mar2026|37,08Apr2026|51,21Jul2026|58,14Aug2026|119,05Oct2026|1000000118</t>
  </si>
  <si>
    <t>06Mar2026|0,09Mar2026|3,08Apr2026|184,10Apr2026|235,14Aug2026|331,05Oct2026|1000000330</t>
  </si>
  <si>
    <t>06Mar2026|0,08Apr2026|205,10Apr2026|257,21Jul2026|270,14Aug2026|334,05Oct2026|1000000333</t>
  </si>
  <si>
    <t>06Mar2026|0,08Apr2026|293,10Apr2026|445,14Aug2026|485,05Oct2026|1000000484</t>
  </si>
  <si>
    <t>06Mar2026|0,08Apr2026|187,10Apr2026|279,14Aug2026|362,05Oct2026|1000000361</t>
  </si>
  <si>
    <t>06Mar2026|0,07Mar2026|1,09Mar2026|62,08Apr2026|285,10Apr2026|355,14Aug2026|435,05Oct2026|1000000434</t>
  </si>
  <si>
    <t>06Mar2026|0,09Mar2026|110,08Apr2026|231,10Apr2026|235,14Aug2026|278,05Oct2026|1000000277</t>
  </si>
  <si>
    <t>06Mar2026|0,09Mar2026|29,08Apr2026|172,05Oct2026|1000000171</t>
  </si>
  <si>
    <t>06Mar2026|16,21Sep2026|1000000015</t>
  </si>
  <si>
    <t>06Mar2026|22,12Oct2026|1000000021</t>
  </si>
  <si>
    <t>06Mar2026|0,12Oct2026|999999999</t>
  </si>
  <si>
    <t>06Mar2026|0,10Apr2026|10,12Oct2026|1000000009</t>
  </si>
  <si>
    <t>06Mar2026|0,10Apr2026|16,12Oct2026|1000000015</t>
  </si>
  <si>
    <t>06Mar2026|0,10Apr2026|24,12Oct2026|1000000023</t>
  </si>
  <si>
    <t>06Mar2026|0,10Apr2026|1,12Oct2026|1000000000</t>
  </si>
  <si>
    <t>06Mar2026|0,10Apr2026|3,12Oct2026|1000000002</t>
  </si>
  <si>
    <t>06Mar2026|59,12Oct2026|1000000058</t>
  </si>
  <si>
    <t>06Mar2026|94,12Oct2026|1000000093</t>
  </si>
  <si>
    <t>06Mar2026|5,16Sep2026|1000000004</t>
  </si>
  <si>
    <t>06Mar2026|2,24Apr2026|15,03Aug2026|30,24Sep2026|1000000029</t>
  </si>
  <si>
    <t>06Mar2026|0,07Mar2026|6,24Apr2026|28,01Jun2026|34,03Aug2026|54,24Sep2026|1000000053</t>
  </si>
  <si>
    <t>06Mar2026|43,07Mar2026|44,01Jun2026|78,03Aug2026|104,24Sep2026|1000000103</t>
  </si>
  <si>
    <t>06Mar2026|0,07Mar2026|6,24Apr2026|61,01Jun2026|103,03Aug2026|137,24Sep2026|1000000136</t>
  </si>
  <si>
    <t>06Mar2026|4,07Mar2026|10,24Apr2026|62,01Jun2026|88,03Aug2026|145,24Sep2026|1000000144</t>
  </si>
  <si>
    <t>06Mar2026|2,07Mar2026|8,24Apr2026|82,01Jun2026|95,03Aug2026|156,24Sep2026|1000000155</t>
  </si>
  <si>
    <t>06Mar2026|7,24Apr2026|78,01Jun2026|86,03Aug2026|147,24Sep2026|1000000146</t>
  </si>
  <si>
    <t>06Mar2026|8,07Mar2026|9,24Apr2026|46,01Jun2026|65,03Aug2026|123,24Sep2026|1000000122</t>
  </si>
  <si>
    <t>06Mar2026|8,24Apr2026|65,01Jun2026|81,03Aug2026|139,24Sep2026|1000000138</t>
  </si>
  <si>
    <t>06Mar2026|8,24Apr2026|72,01Jun2026|80,03Aug2026|128,24Sep2026|1000000127</t>
  </si>
  <si>
    <t>06Mar2026|0,24Apr2026|36,01Jun2026|40,03Aug2026|51,24Sep2026|1000000050</t>
  </si>
  <si>
    <t>06Mar2026|0,24Apr2026|2,01Jun2026|5,24Sep2026|1000000004</t>
  </si>
  <si>
    <t>06Mar2026|0,03Aug2026|2,24Sep2026|1000000001</t>
  </si>
  <si>
    <t>06Mar2026|1,29Sep2026|1000000000</t>
  </si>
  <si>
    <t>06Mar2026|4,29Sep2026|1000000003</t>
  </si>
  <si>
    <t>06Mar2026|18,29Sep2026|1000000017</t>
  </si>
  <si>
    <t>06Mar2026|10,29Sep2026|1000000009</t>
  </si>
  <si>
    <t>06Mar2026|13,29Sep2026|1000000012</t>
  </si>
  <si>
    <t>06Mar2026|14,08Sep2026|1000000013</t>
  </si>
  <si>
    <t>06Mar2026|28,29Sep2026|1000000027</t>
  </si>
  <si>
    <t>06Mar2026|2,15Jun2026|10,07Oct2026|1000000009</t>
  </si>
  <si>
    <t>06Mar2026|0,15Jun2026|20,07Oct2026|1000000019</t>
  </si>
  <si>
    <t>06Mar2026|0,15Jun2026|23,07Oct2026|1000000022</t>
  </si>
  <si>
    <t>06Mar2026|1,07Mar2026|2,15Jun2026|33,16Sep2026|1000000032</t>
  </si>
  <si>
    <t>06Mar2026|4,15Jun2026|50,16Sep2026|1000000049</t>
  </si>
  <si>
    <t>06Mar2026|0,15Jun2026|102,07Oct2026|1000000101</t>
  </si>
  <si>
    <t>06Mar2026|3,07Mar2026|5,15Jun2026|54,16Sep2026|1000000053</t>
  </si>
  <si>
    <t>06Mar2026|0,15Jun2026|57,07Oct2026|1000000056</t>
  </si>
  <si>
    <t>06Mar2026|6,15Jun2026|39,16Sep2026|1000000038</t>
  </si>
  <si>
    <t>06Mar2026|5,07Mar2026|7,15Jun2026|49,16Sep2026|1000000048</t>
  </si>
  <si>
    <t>06Mar2026|2,15Jun2026|4,16Sep2026|1000000003</t>
  </si>
  <si>
    <t>06Mar2026|7,15Jun2026|8,16Sep2026|1000000007</t>
  </si>
  <si>
    <t>06Mar2026|0,01Jun2026|19,06Oct2026|1000000018</t>
  </si>
  <si>
    <t>06Mar2026|0,10Aug2026|3,06Oct2026|1000000002</t>
  </si>
  <si>
    <t>06Mar2026|0,01Jun2026|16,10Aug2026|23,06Oct2026|1000000022</t>
  </si>
  <si>
    <t>06Mar2026|0,07Mar2026|6,08Mar2026|10,01Jun2026|36,13Jul2026|37,10Aug2026|46,06Oct2026|1000000045</t>
  </si>
  <si>
    <t>06Mar2026|0,08Mar2026|2,01Jun2026|26,06Oct2026|1000000025</t>
  </si>
  <si>
    <t>06Mar2026|0,07Mar2026|1,01Jun2026|10,13Jul2026|11,10Aug2026|13,06Oct2026|1000000012</t>
  </si>
  <si>
    <t>06Mar2026|0,08Mar2026|2,01Jun2026|85,06Oct2026|1000000084</t>
  </si>
  <si>
    <t>06Mar2026|0,01Jun2026|29,06Oct2026|1000000028</t>
  </si>
  <si>
    <t>06Mar2026|0,01Jun2026|44,10Aug2026|64,06Oct2026|1000000063</t>
  </si>
  <si>
    <t>06Mar2026|0,08Mar2026|12,01Jun2026|57,13Jul2026|59,10Aug2026|62,06Oct2026|1000000061</t>
  </si>
  <si>
    <t>06Mar2026|30,08Mar2026|55,01Jun2026|56,10Aug2026|84,15Sep2026|1000000083</t>
  </si>
  <si>
    <t>06Mar2026|0,06Oct2026|999999999</t>
  </si>
  <si>
    <t>06Mar2026|0,01Jun2026|11,13Jul2026|13,31Aug2026|15,29Sep2026|1000000014</t>
  </si>
  <si>
    <t>06Mar2026|0,01Jun2026|1,13Jul2026|4,31Aug2026|6,29Sep2026|1000000005</t>
  </si>
  <si>
    <t>06Mar2026|0,01Jun2026|39,13Jul2026|43,31Aug2026|61,29Sep2026|1000000060</t>
  </si>
  <si>
    <t>06Mar2026|0,01Jun2026|36,13Jul2026|41,31Aug2026|60,29Sep2026|1000000059</t>
  </si>
  <si>
    <t>06Mar2026|0,01Jun2026|4,13Jul2026|31,31Aug2026|62,29Sep2026|1000000061</t>
  </si>
  <si>
    <t>06Mar2026|0,01Jun2026|42,13Jul2026|61,31Aug2026|91,29Sep2026|1000000090</t>
  </si>
  <si>
    <t>06Mar2026|0,01Jun2026|7,13Jul2026|45,31Aug2026|72,29Sep2026|1000000071</t>
  </si>
  <si>
    <t>06Mar2026|2,13Jul2026|21,31Aug2026|38,29Sep2026|1000000037</t>
  </si>
  <si>
    <t>06Mar2026|0,01Jun2026|10,13Jul2026|44,31Aug2026|63,29Sep2026|1000000062</t>
  </si>
  <si>
    <t>06Mar2026|1,01Jun2026|24,13Jul2026|49,31Aug2026|124,08Sep2026|1000000123</t>
  </si>
  <si>
    <t>06Mar2026|12,08Mar2026|18,01Jun2026|19,13Jul2026|23,31Aug2026|44,08Sep2026|1000000043</t>
  </si>
  <si>
    <t>06Mar2026|0,10Aug2026|5,29Sep2026|1000000004</t>
  </si>
  <si>
    <t>06Mar2026|0,01Jun2026|2,31Aug2026|3,29Sep2026|1000000002</t>
  </si>
  <si>
    <t>06Mar2026|0,08Mar2026|18,01Jun2026|42,29Jun2026|52,29Sep2026|1000000051</t>
  </si>
  <si>
    <t>06Mar2026|0,08Mar2026|15,01Jun2026|22,29Jun2026|23,29Sep2026|1000000022</t>
  </si>
  <si>
    <t>06Mar2026|48,08Mar2026|127,01Jun2026|149,29Jun2026|178,29Sep2026|1000000177</t>
  </si>
  <si>
    <t>06Mar2026|87,08Mar2026|159,01Jun2026|169,29Jun2026|186,29Sep2026|1000000185</t>
  </si>
  <si>
    <t>06Mar2026|152,08Mar2026|241,01Jun2026|259,29Jun2026|284,29Sep2026|1000000283</t>
  </si>
  <si>
    <t>06Mar2026|161,08Mar2026|251,01Jun2026|256,29Jun2026|279,29Sep2026|1000000278</t>
  </si>
  <si>
    <t>06Mar2026|111,08Mar2026|196,01Jun2026|231,29Jun2026|241,29Sep2026|1000000240</t>
  </si>
  <si>
    <t>06Mar2026|35,08Mar2026|122,01Jun2026|196,29Jun2026|222,29Sep2026|1000000221</t>
  </si>
  <si>
    <t>06Mar2026|89,08Mar2026|169,01Jun2026|225,29Jun2026|238,29Sep2026|1000000237</t>
  </si>
  <si>
    <t>06Mar2026|23,08Mar2026|92,01Jun2026|115,29Jun2026|139,29Sep2026|1000000138</t>
  </si>
  <si>
    <t>06Mar2026|20,07Mar2026|26,08Mar2026|36,01Jun2026|54,29Jun2026|70,29Sep2026|1000000069</t>
  </si>
  <si>
    <t>06Mar2026|7,08Mar2026|18,01Jun2026|29,29Jun2026|37,29Sep2026|1000000036</t>
  </si>
  <si>
    <t>06Mar2026|2,08Mar2026|7,29Jun2026|10,29Sep2026|1000000009</t>
  </si>
  <si>
    <t>06Mar2026|74,24Aug2026|90,25Aug2026|130,30Sep2026|1000000129</t>
  </si>
  <si>
    <t>06Mar2026|67,07Mar2026|73,24Aug2026|88,25Aug2026|133,30Sep2026|1000000132</t>
  </si>
  <si>
    <t>06Mar2026|427,24Aug2026|487,25Aug2026|626,21Oct2026|1000000625</t>
  </si>
  <si>
    <t>06Mar2026|314,07Mar2026|320,24Aug2026|382,25Aug2026|532,30Sep2026|1000000531</t>
  </si>
  <si>
    <t>06Mar2026|936,24Aug2026|1062,25Aug2026|1340,30Sep2026|1000001339</t>
  </si>
  <si>
    <t>06Mar2026|241,24Aug2026|342,25Aug2026|617,21Oct2026|1000000616</t>
  </si>
  <si>
    <t>06Mar2026|1030,24Aug2026|1179,25Aug2026|1393,30Sep2026|1000001392</t>
  </si>
  <si>
    <t>06Mar2026|348,24Aug2026|456,25Aug2026|736,30Sep2026|1000000735</t>
  </si>
  <si>
    <t>06Mar2026|440,07Mar2026|447,24Aug2026|576,25Aug2026|908,30Sep2026|1000000907</t>
  </si>
  <si>
    <t>06Mar2026|333,07Mar2026|339,24Aug2026|433,25Aug2026|688,30Sep2026|1000000687</t>
  </si>
  <si>
    <t>06Mar2026|261,24Aug2026|313,25Aug2026|469,30Sep2026|1000000468</t>
  </si>
  <si>
    <t>06Mar2026|93,24Aug2026|96,25Aug2026|137,30Sep2026|1000000136</t>
  </si>
  <si>
    <t>06Mar2026|32,24Aug2026|37,25Aug2026|66,30Sep2026|1000000065</t>
  </si>
  <si>
    <t>06Mar2026|0,14Jul2026|3,07Oct2026|1000000002</t>
  </si>
  <si>
    <t>06Mar2026|1,14Jul2026|6,16Sep2026|1000000005</t>
  </si>
  <si>
    <t>06Mar2026|9,29Mar2026|33,14Jul2026|52,20Jul2026|58,16Sep2026|1000000057</t>
  </si>
  <si>
    <t>06Mar2026|0,29Mar2026|31,14Jul2026|50,07Oct2026|1000000049</t>
  </si>
  <si>
    <t>06Mar2026|0,29Mar2026|48,14Jul2026|89,20Jul2026|96,07Oct2026|1000000095</t>
  </si>
  <si>
    <t>06Mar2026|0,14Jul2026|38,20Jul2026|46,07Oct2026|1000000045</t>
  </si>
  <si>
    <t>06Mar2026|0,29Mar2026|16,14Jul2026|75,20Jul2026|89,07Oct2026|1000000088</t>
  </si>
  <si>
    <t>06Mar2026|0,29Mar2026|16,14Jul2026|62,07Oct2026|1000000061</t>
  </si>
  <si>
    <t>06Mar2026|0,29Mar2026|60,14Jul2026|118,20Jul2026|134,07Oct2026|1000000133</t>
  </si>
  <si>
    <t>06Mar2026|0,29Mar2026|15,14Jul2026|62,20Jul2026|65,07Oct2026|1000000064</t>
  </si>
  <si>
    <t>06Mar2026|14,29Mar2026|22,14Jul2026|32,20Jul2026|34,16Sep2026|1000000033</t>
  </si>
  <si>
    <t>06Mar2026|1,14Jul2026|12,20Jul2026|18,16Sep2026|1000000017</t>
  </si>
  <si>
    <t>06Mar2026|0,14Jul2026|7,07Oct2026|1000000006</t>
  </si>
  <si>
    <t>06Mar2026|0,15Jun2026|24,21Jul2026|26,17Aug2026|27,30Sep2026|1000000026</t>
  </si>
  <si>
    <t>06Mar2026|0,15Jun2026|23,21Jul2026|24,30Sep2026|1000000023</t>
  </si>
  <si>
    <t>06Mar2026|32,15Jun2026|37,21Jul2026|43,17Aug2026|84,09Sep2026|1000000083</t>
  </si>
  <si>
    <t>06Mar2026|45,15Jun2026|60,21Jul2026|66,17Aug2026|96,30Sep2026|1000000095</t>
  </si>
  <si>
    <t>06Mar2026|87,15Jun2026|131,21Jul2026|143,17Aug2026|169,30Sep2026|1000000168</t>
  </si>
  <si>
    <t>06Mar2026|116,15Jun2026|178,21Jul2026|190,17Aug2026|202,30Sep2026|1000000201</t>
  </si>
  <si>
    <t>06Mar2026|171,15Jun2026|244,21Jul2026|258,17Aug2026|295,30Sep2026|1000000294</t>
  </si>
  <si>
    <t>06Mar2026|135,15Jun2026|168,21Jul2026|181,17Aug2026|245,30Sep2026|1000000244</t>
  </si>
  <si>
    <t>06Mar2026|233,15Jun2026|308,21Jul2026|321,17Aug2026|340,30Sep2026|1000000339</t>
  </si>
  <si>
    <t>06Mar2026|164,15Jun2026|212,21Jul2026|222,17Aug2026|242,30Sep2026|1000000241</t>
  </si>
  <si>
    <t>06Mar2026|57,15Jun2026|64,21Jul2026|69,17Aug2026|95,30Sep2026|1000000094</t>
  </si>
  <si>
    <t>06Mar2026|0,15Jun2026|4,17Aug2026|15,30Sep2026|1000000014</t>
  </si>
  <si>
    <t>06Mar2026|0,23Mar2026|2,15Jun2026|16,23Jun2026|19,14Oct2026|1000000018</t>
  </si>
  <si>
    <t>06Mar2026|0,15Jun2026|6,23Jun2026|9,14Jul2026|12,20Jul2026|14,14Oct2026|1000000013</t>
  </si>
  <si>
    <t>06Mar2026|14,15Jun2026|50,23Jun2026|57,14Jul2026|65,14Oct2026|1000000064</t>
  </si>
  <si>
    <t>06Mar2026|13,23Mar2026|24,15Jun2026|61,23Jun2026|69,14Jul2026|77,20Jul2026|90,17Aug2026|104,23Sep2026|1000000103</t>
  </si>
  <si>
    <t>06Mar2026|0,23Mar2026|39,15Jun2026|148,23Jun2026|150,14Oct2026|1000000149</t>
  </si>
  <si>
    <t>06Mar2026|0,23Mar2026|45,15Jun2026|133,14Oct2026|1000000132</t>
  </si>
  <si>
    <t>06Mar2026|0,23Mar2026|52,15Jun2026|197,14Oct2026|1000000196</t>
  </si>
  <si>
    <t>06Mar2026|0,23Mar2026|53,15Jun2026|178,14Oct2026|1000000177</t>
  </si>
  <si>
    <t>06Mar2026|0,23Mar2026|43,15Jun2026|194,14Oct2026|1000000193</t>
  </si>
  <si>
    <t>06Mar2026|0,23Mar2026|29,15Jun2026|133,23Jun2026|139,14Oct2026|1000000138</t>
  </si>
  <si>
    <t>06Mar2026|0,15Jun2026|55,23Jun2026|62,14Jul2026|74,20Jul2026|76,17Aug2026|85,14Oct2026|1000000084</t>
  </si>
  <si>
    <t>06Mar2026|0,15Jun2026|6,23Jun2026|11,14Jul2026|14,14Oct2026|1000000013</t>
  </si>
  <si>
    <t>06Mar2026|0,15Jun2026|5,23Jun2026|7,14Jul2026|10,20Jul2026|12,14Oct2026|1000000011</t>
  </si>
  <si>
    <t>06Mar2026|14,07Oct2026|1000000013</t>
  </si>
  <si>
    <t>06Mar2026|11,07Oct2026|1000000010</t>
  </si>
  <si>
    <t>06Mar2026|25,07Oct2026|1000000024</t>
  </si>
  <si>
    <t>06Mar2026|56,07Oct2026|1000000055</t>
  </si>
  <si>
    <t>06Mar2026|2,07Oct2026|1000000001</t>
  </si>
  <si>
    <t>06Mar2026|0,17Aug2026|4,07Oct2026|1000000003</t>
  </si>
  <si>
    <t>06Mar2026|0,17Aug2026|3,07Oct2026|1000000002</t>
  </si>
  <si>
    <t>06Mar2026|0,17Aug2026|8,07Oct2026|1000000007</t>
  </si>
  <si>
    <t>06Mar2026|21,07Oct2026|1000000020</t>
  </si>
  <si>
    <t>06Mar2026|0,17Aug2026|20,07Oct2026|1000000019</t>
  </si>
  <si>
    <t>06Mar2026|0,17Aug2026|18,07Oct2026|1000000017</t>
  </si>
  <si>
    <t>06Mar2026|0,17Aug2026|17,07Oct2026|1000000016</t>
  </si>
  <si>
    <t>06Mar2026|0,17Aug2026|41,07Oct2026|1000000040</t>
  </si>
  <si>
    <t>06Mar2026|0,17Aug2026|34,07Oct2026|1000000033</t>
  </si>
  <si>
    <t>06Mar2026|0,17Aug2026|51,07Oct2026|1000000050</t>
  </si>
  <si>
    <t>06Mar2026|0,17Aug2026|27,07Oct2026|1000000026</t>
  </si>
  <si>
    <t>06Mar2026|39,21Sep2026|1000000038</t>
  </si>
  <si>
    <t>06Mar2026|52,21Sep2026|1000000051</t>
  </si>
  <si>
    <t>06Mar2026|13,09Sep2026|1000000012</t>
  </si>
  <si>
    <t>06Mar2026|17,09Sep2026|1000000016</t>
  </si>
  <si>
    <t>06Mar2026|51,09Sep2026|1000000050</t>
  </si>
  <si>
    <t>06Mar2026|3,09Sep2026|1000000002</t>
  </si>
  <si>
    <t>06Mar2026|6,09Sep2026|1000000005</t>
  </si>
  <si>
    <t>06Mar2026|0,03Aug2026|45,22Sep2026|1000000044</t>
  </si>
  <si>
    <t>06Mar2026|0,01Jun2026|81,03Aug2026|195,22Sep2026|1000000194</t>
  </si>
  <si>
    <t>06Mar2026|0,01Jun2026|43,03Aug2026|215,22Sep2026|1000000214</t>
  </si>
  <si>
    <t>06Mar2026|0,01Jun2026|76,03Aug2026|253,22Sep2026|1000000252</t>
  </si>
  <si>
    <t>06Mar2026|1,07Mar2026|7,01Jun2026|19,03Aug2026|262,01Sep2026|1000000261</t>
  </si>
  <si>
    <t>06Mar2026|0,01Jun2026|59,03Aug2026|299,22Sep2026|1000000298</t>
  </si>
  <si>
    <t>06Mar2026|43,03Aug2026|374,01Sep2026|1000000373</t>
  </si>
  <si>
    <t>06Mar2026|56,03Aug2026|312,01Sep2026|1000000311</t>
  </si>
  <si>
    <t>06Mar2026|4,28Mar2026|56,24Apr2026|57,01Jun2026|66,03Aug2026|214,01Sep2026|1000000213</t>
  </si>
  <si>
    <t>06Mar2026|15,28Mar2026|41,03Aug2026|171,01Sep2026|1000000170</t>
  </si>
  <si>
    <t>06Mar2026|0,03Aug2026|28,22Sep2026|1000000027</t>
  </si>
  <si>
    <t>06Mar2026|40,08Sep2026|1000000039</t>
  </si>
  <si>
    <t>06Mar2026|159,08Sep2026|1000000158</t>
  </si>
  <si>
    <t>06Mar2026|182,08Sep2026|1000000181</t>
  </si>
  <si>
    <t>06Mar2026|322,08Sep2026|1000000321</t>
  </si>
  <si>
    <t>06Mar2026|351,08Sep2026|1000000350</t>
  </si>
  <si>
    <t>06Mar2026|484,08Sep2026|1000000483</t>
  </si>
  <si>
    <t>06Mar2026|493,08Sep2026|1000000492</t>
  </si>
  <si>
    <t>06Mar2026|380,08Sep2026|1000000379</t>
  </si>
  <si>
    <t>06Mar2026|205,08Sep2026|1000000204</t>
  </si>
  <si>
    <t>06Mar2026|183,08Sep2026|1000000182</t>
  </si>
  <si>
    <t>06Mar2026|13,08Sep2026|1000000012</t>
  </si>
  <si>
    <t>06Mar2026|264</t>
  </si>
  <si>
    <t>06Mar2026|342</t>
  </si>
  <si>
    <t>06Mar2026|409</t>
  </si>
  <si>
    <t>06Mar2026|5</t>
  </si>
  <si>
    <t>06Mar2026|327</t>
  </si>
  <si>
    <t>06Mar2026|0,14Aug2026|10,19Oct2026|1000000009</t>
  </si>
  <si>
    <t>06Mar2026|1,28Sep2026|1000000000</t>
  </si>
  <si>
    <t>06Mar2026|0,14Aug2026|22,19Oct2026|1000000021</t>
  </si>
  <si>
    <t>06Mar2026|60,28Sep2026|1000000059</t>
  </si>
  <si>
    <t>06Mar2026|62,28Sep2026|1000000061</t>
  </si>
  <si>
    <t>06Mar2026|0,14Aug2026|33,19Oct2026|1000000032</t>
  </si>
  <si>
    <t>06Mar2026|22,28Sep2026|1000000021</t>
  </si>
  <si>
    <t>06Mar2026|0,19Oct2026|999999999</t>
  </si>
  <si>
    <t>06Mar2026|0,14Aug2026|31,19Oct2026|1000000030</t>
  </si>
  <si>
    <t>06Mar2026|0,14Aug2026|23,19Oct2026|1000000022</t>
  </si>
  <si>
    <t>06Mar2026|0,14Aug2026|8,19Oct2026|1000000007</t>
  </si>
  <si>
    <t>06Mar2026|0,24Sep2026|999999999</t>
  </si>
  <si>
    <t>06Mar2026|0,03Aug2026|20,24Sep2026|1000000019</t>
  </si>
  <si>
    <t>06Mar2026|0,03Aug2026|39,24Sep2026|1000000038</t>
  </si>
  <si>
    <t>06Mar2026|0,03Aug2026|76,24Sep2026|1000000075</t>
  </si>
  <si>
    <t>06Mar2026|0,03Aug2026|7,24Sep2026|1000000006</t>
  </si>
  <si>
    <t>06Mar2026|0,03Aug2026|52,24Sep2026|1000000051</t>
  </si>
  <si>
    <t>06Mar2026|0,03Aug2026|70,24Sep2026|1000000069</t>
  </si>
  <si>
    <t>06Mar2026|0,03Aug2026|71,24Sep2026|1000000070</t>
  </si>
  <si>
    <t>06Mar2026|0,03Aug2026|64,24Sep2026|1000000063</t>
  </si>
  <si>
    <t>06Mar2026|0,03Aug2026|36,24Sep2026|1000000035</t>
  </si>
  <si>
    <t>06Mar2026|0,03Aug2026|1,24Sep2026|1000000000</t>
  </si>
  <si>
    <t>06Mar2026|0,22Oct2026|999999999</t>
  </si>
  <si>
    <t>06Mar2026|0,07Mar2026|1,22Oct2026|1000000000</t>
  </si>
  <si>
    <t>06Mar2026|22,23Oct2026|1000000021</t>
  </si>
  <si>
    <t>06Mar2026|25,23Oct2026|1000000024</t>
  </si>
  <si>
    <t>06Mar2026|19,23Oct2026|1000000018</t>
  </si>
  <si>
    <t>06Mar2026|2,23Oct2026|1000000001</t>
  </si>
  <si>
    <t>06Mar2026|1,23Oct2026|1000000000</t>
  </si>
  <si>
    <t>06Mar2026|32,23Oct2026|1000000031</t>
  </si>
  <si>
    <t>06Mar2026|21,23Oct2026|1000000020</t>
  </si>
  <si>
    <t>06Mar2026|8,23Oct2026|1000000007</t>
  </si>
  <si>
    <t>06Mar2026|4,23Oct2026|1000000003</t>
  </si>
  <si>
    <t>06Mar2026|3,23Oct2026|1000000002</t>
  </si>
  <si>
    <t>06Mar2026|7</t>
  </si>
  <si>
    <t>06Mar2026|17</t>
  </si>
  <si>
    <t>06Mar2026|6,16Sep2026|1000000005</t>
  </si>
  <si>
    <t>06Mar2026|13,07Mar2026|14,16Sep2026|1000000013</t>
  </si>
  <si>
    <t>06Mar2026|23</t>
  </si>
  <si>
    <t>06Mar2026|43</t>
  </si>
  <si>
    <t>06Mar2026|83</t>
  </si>
  <si>
    <t>06Mar2026|176</t>
  </si>
  <si>
    <t>06Mar2026|92</t>
  </si>
  <si>
    <t>06Mar2026|60</t>
  </si>
  <si>
    <t>06Mar2026|6</t>
  </si>
  <si>
    <t>06Mar2026|0,29May2026|10,20Jul2026|1000000009</t>
  </si>
  <si>
    <t>06Mar2026|17,29May2026|30,29Jun2026|1000000029</t>
  </si>
  <si>
    <t>06Mar2026|69,29May2026|97,20Jul2026|1000000096</t>
  </si>
  <si>
    <t>06Mar2026|54,29May2026|112,29Jun2026|1000000111</t>
  </si>
  <si>
    <t>06Mar2026|39,29May2026|68,29Jun2026|1000000067</t>
  </si>
  <si>
    <t>06Mar2026|18,21Apr2026|25,29May2026|36,29Jun2026|1000000035</t>
  </si>
  <si>
    <t>06Mar2026|23,29May2026|240,29Jun2026|1000000239</t>
  </si>
  <si>
    <t>06Mar2026|0,13Mar2026|99,29May2026|509,20Jul2026|1000000508</t>
  </si>
  <si>
    <t>06Mar2026|0,29May2026|1582,20Jul2026|1000001581</t>
  </si>
  <si>
    <t>06Mar2026|0,29May2026|1916,20Jul2026|1000001915</t>
  </si>
  <si>
    <t>06Mar2026|2747,29May2026|2826,20Jul2026|1000002825</t>
  </si>
  <si>
    <t>06Mar2026|2023,29Jun2026|1000002022</t>
  </si>
  <si>
    <t>06Mar2026|578</t>
  </si>
  <si>
    <t>OLOFType</t>
  </si>
  <si>
    <t>Grid</t>
  </si>
  <si>
    <t>PONumber Regex</t>
  </si>
  <si>
    <t>/[`~!@#$%^&amp;*()_|+\-=?;:'",.&lt;&gt;\{\}\[\]\\\/]/gi</t>
  </si>
  <si>
    <t>isPoRequired</t>
  </si>
  <si>
    <t>1</t>
  </si>
  <si>
    <t>isPoUnique</t>
  </si>
  <si>
    <t>isPOUpper</t>
  </si>
  <si>
    <t>0</t>
  </si>
  <si>
    <t>OrderShipDate</t>
  </si>
  <si>
    <t>Create Date</t>
  </si>
  <si>
    <t>[2026-03-06T09:46:28]</t>
  </si>
  <si>
    <t>catalog</t>
  </si>
  <si>
    <t>TBL_ELASTIC_PRO_CA_FTWAPPACC_SP_AO_EN</t>
  </si>
  <si>
    <t>catalogname</t>
  </si>
  <si>
    <t>CancelDefaultDays</t>
  </si>
  <si>
    <t>RestrictedReqDateRange</t>
  </si>
  <si>
    <t>Plumriver</t>
  </si>
  <si>
    <t>SheetPassword</t>
  </si>
  <si>
    <t>DisplaySoldtoShipList</t>
  </si>
  <si>
    <t>09Mar2026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</si>
</sst>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mmmyyyy"/>
    <numFmt numFmtId="165" formatCode="#,##0.00\ &quot;&quot;"/>
    <numFmt numFmtId="166" formatCode="mm/dd/yyyy"/>
    <numFmt numFmtId="167" formatCode="##0"/>
    <numFmt numFmtId="168" formatCode="yyyy/m/d"/>
  </numFmts>
  <fonts count="35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b/>
      <sz val="9"/>
      <color theme="0"/>
      <name val="Arial"/>
      <family val="2"/>
    </font>
    <font>
      <sz val="9"/>
      <color theme="0" tint="-0.14999847407452621"/>
      <name val="Arial"/>
      <family val="2"/>
    </font>
    <font>
      <b/>
      <sz val="9"/>
      <color theme="1"/>
      <name val="Arial"/>
      <family val="2"/>
    </font>
    <font>
      <sz val="9"/>
      <color theme="0" tint="-0.249977111117893"/>
      <name val="Arial"/>
      <family val="2"/>
    </font>
    <font>
      <b/>
      <u/>
      <sz val="9"/>
      <name val="Arial"/>
      <family val="2"/>
    </font>
    <font>
      <sz val="9"/>
      <color rgb="FF000000"/>
      <name val="Arial"/>
      <family val="2"/>
    </font>
    <font>
      <b/>
      <sz val="11"/>
      <color rgb="FFFFFFFF"/>
      <name val="Calibri"/>
      <family val="2"/>
    </font>
    <font>
      <sz val="9"/>
      <color theme="1"/>
      <name val="Microsoft Sans Serif"/>
      <family val="2"/>
    </font>
    <font>
      <b/>
      <sz val="9"/>
      <color theme="1"/>
      <name val="Microsoft Sans Serif"/>
      <family val="2"/>
    </font>
    <font>
      <b/>
      <sz val="9"/>
      <color rgb="FFF5A019"/>
      <name val="Microsoft Sans Serif"/>
      <family val="2"/>
    </font>
    <font>
      <sz val="9"/>
      <color rgb="FFFF0000"/>
      <name val="Microsoft Sans Serif"/>
      <family val="2"/>
    </font>
    <font>
      <sz val="9"/>
      <color rgb="FF585858"/>
      <name val="Microsoft Sans Serif"/>
      <family val="2"/>
    </font>
    <font>
      <sz val="12"/>
      <color theme="1"/>
      <name val="Microsoft Sans Serif"/>
      <family val="2"/>
    </font>
    <font>
      <sz val="9"/>
      <color rgb="FF808080"/>
      <name val="Microsoft Sans Serif"/>
      <family val="2"/>
    </font>
    <font>
      <u/>
      <sz val="9"/>
      <color rgb="FF0000FF"/>
      <name val="Microsoft Sans Serif"/>
      <family val="2"/>
    </font>
    <font>
      <sz val="9"/>
      <color rgb="FFFFFFFF"/>
      <name val="Microsoft Sans Serif"/>
      <family val="2"/>
    </font>
    <font>
      <b/>
      <sz val="9"/>
      <color rgb="FFFFFFFF"/>
      <name val="Microsoft Sans Serif"/>
      <family val="2"/>
    </font>
    <font>
      <sz val="9"/>
      <color theme="1"/>
      <name val="Century Gothic"/>
      <family val="2"/>
    </font>
    <font>
      <b/>
      <sz val="9"/>
      <color theme="1"/>
      <name val="Century Gothic"/>
      <family val="2"/>
    </font>
    <font>
      <b/>
      <sz val="9"/>
      <color rgb="FFF5A019"/>
      <name val="Century Gothic"/>
      <family val="2"/>
    </font>
    <font>
      <sz val="9"/>
      <color rgb="FFFF0000"/>
      <name val="Century Gothic"/>
      <family val="2"/>
    </font>
    <font>
      <sz val="9"/>
      <color rgb="FF585858"/>
      <name val="Century Gothic"/>
      <family val="2"/>
    </font>
    <font>
      <sz val="9"/>
      <color rgb="FFFFFFFF"/>
      <name val="Century Gothic"/>
      <family val="2"/>
    </font>
    <font>
      <sz val="12"/>
      <color theme="1"/>
      <name val="Century Gothic"/>
      <family val="2"/>
    </font>
    <font>
      <b/>
      <sz val="9"/>
      <color rgb="FFFFFFFF"/>
      <name val="Century Gothic"/>
      <family val="2"/>
    </font>
    <font>
      <sz val="9"/>
      <color rgb="FF808080"/>
      <name val="Century Gothic"/>
      <family val="2"/>
    </font>
    <font>
      <u/>
      <sz val="9"/>
      <color rgb="FF0000FF"/>
      <name val="Century Gothic"/>
      <family val="2"/>
    </font>
    <font>
      <sz val="11"/>
      <color theme="1"/>
      <name val="Calibri"/>
      <family val="2"/>
      <scheme val="minor"/>
    </font>
    <font>
      <sz val="11"/>
      <name val="Calibri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</patternFill>
    </fill>
    <fill>
      <patternFill patternType="solid">
        <fgColor rgb="FFF5A019"/>
        <bgColor indexed="64"/>
      </patternFill>
    </fill>
    <fill>
      <patternFill patternType="solid">
        <fgColor rgb="FF000000"/>
      </patternFill>
    </fill>
    <fill>
      <patternFill patternType="solid">
        <fgColor rgb="FFF5A019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5A019"/>
      </left>
      <right style="thin">
        <color rgb="FFF5A019"/>
      </right>
      <top style="thin">
        <color rgb="FFF5A019"/>
      </top>
      <bottom style="thin">
        <color rgb="FFF5A019"/>
      </bottom>
      <diagonal/>
    </border>
  </borders>
  <cellStyleXfs count="3">
    <xf numFmtId="0" fontId="0" fillId="0" borderId="0"/>
    <xf numFmtId="0" fontId="2" fillId="0" borderId="0"/>
    <xf numFmtId="0" fontId="33" fillId="0" borderId="0"/>
  </cellStyleXfs>
  <cellXfs count="119">
    <xf numFmtId="0" fontId="1" fillId="0" borderId="0" xfId="0" applyFont="1"/>
    <xf numFmtId="0" fontId="0" fillId="0" borderId="0" xfId="0"/>
    <xf numFmtId="0" fontId="0" fillId="0" borderId="0" xfId="0" applyAlignment="1"/>
    <xf numFmtId="0" fontId="4" fillId="0" borderId="0" xfId="0" applyFont="1" applyAlignment="1"/>
    <xf numFmtId="0" fontId="4" fillId="0" borderId="0" xfId="2" applyFont="1"/>
    <xf numFmtId="0" fontId="4" fillId="3" borderId="0" xfId="2" applyFont="1" applyFill="1"/>
    <xf numFmtId="0" fontId="5" fillId="3" borderId="0" xfId="1" applyFont="1" applyFill="1"/>
    <xf numFmtId="0" fontId="7" fillId="3" borderId="0" xfId="1" applyFont="1" applyFill="1"/>
    <xf numFmtId="0" fontId="5" fillId="0" borderId="0" xfId="1" applyFont="1"/>
    <xf numFmtId="0" fontId="4" fillId="2" borderId="0" xfId="2" applyFont="1" applyFill="1"/>
    <xf numFmtId="0" fontId="8" fillId="0" borderId="0" xfId="2" applyFont="1"/>
    <xf numFmtId="0" fontId="4" fillId="0" borderId="0" xfId="2" applyFont="1" applyAlignment="1">
      <alignment horizontal="center"/>
    </xf>
    <xf numFmtId="14" fontId="4" fillId="3" borderId="0" xfId="2" applyNumberFormat="1" applyFont="1" applyFill="1" applyProtection="1">
      <protection locked="0"/>
    </xf>
    <xf numFmtId="3" fontId="4" fillId="3" borderId="0" xfId="2" applyNumberFormat="1" applyFont="1" applyFill="1"/>
    <xf numFmtId="4" fontId="4" fillId="3" borderId="0" xfId="2" applyNumberFormat="1" applyFont="1" applyFill="1"/>
    <xf numFmtId="0" fontId="9" fillId="2" borderId="0" xfId="2" applyFont="1" applyFill="1"/>
    <xf numFmtId="3" fontId="3" fillId="0" borderId="0" xfId="2" applyNumberFormat="1" applyFont="1"/>
    <xf numFmtId="4" fontId="3" fillId="0" borderId="0" xfId="2" applyNumberFormat="1" applyFont="1"/>
    <xf numFmtId="14" fontId="5" fillId="0" borderId="0" xfId="2" applyNumberFormat="1" applyFont="1"/>
    <xf numFmtId="3" fontId="5" fillId="0" borderId="0" xfId="2" applyNumberFormat="1" applyFont="1"/>
    <xf numFmtId="4" fontId="5" fillId="0" borderId="0" xfId="2" applyNumberFormat="1" applyFont="1"/>
    <xf numFmtId="14" fontId="5" fillId="4" borderId="0" xfId="2" applyNumberFormat="1" applyFont="1" applyFill="1"/>
    <xf numFmtId="3" fontId="5" fillId="4" borderId="0" xfId="2" applyNumberFormat="1" applyFont="1" applyFill="1"/>
    <xf numFmtId="4" fontId="5" fillId="4" borderId="0" xfId="2" applyNumberFormat="1" applyFont="1" applyFill="1"/>
    <xf numFmtId="0" fontId="5" fillId="4" borderId="0" xfId="2" applyFont="1" applyFill="1"/>
    <xf numFmtId="0" fontId="10" fillId="5" borderId="0" xfId="0" applyFont="1" applyFill="1" applyAlignment="1">
      <alignment horizontal="center" vertical="top" wrapText="1"/>
    </xf>
    <xf numFmtId="0" fontId="5" fillId="5" borderId="0" xfId="0" applyFont="1" applyFill="1" applyAlignment="1">
      <alignment horizontal="center" vertical="top" wrapText="1"/>
    </xf>
    <xf numFmtId="0" fontId="4" fillId="5" borderId="0" xfId="0" applyFont="1" applyFill="1" applyAlignment="1">
      <alignment horizontal="left" vertical="top" wrapText="1"/>
    </xf>
    <xf numFmtId="0" fontId="5" fillId="5" borderId="0" xfId="0" applyFont="1" applyFill="1" applyAlignment="1">
      <alignment horizontal="left" vertical="top" wrapText="1"/>
    </xf>
    <xf numFmtId="0" fontId="11" fillId="5" borderId="0" xfId="0" applyFont="1" applyFill="1" applyAlignment="1">
      <alignment horizontal="left" vertical="top" wrapText="1"/>
    </xf>
    <xf numFmtId="0" fontId="4" fillId="0" borderId="0" xfId="0" applyFont="1"/>
    <xf numFmtId="0" fontId="6" fillId="6" borderId="0" xfId="2" applyFont="1" applyFill="1"/>
    <xf numFmtId="0" fontId="13" fillId="0" borderId="0" xfId="0" applyFont="1" applyAlignment="1"/>
    <xf numFmtId="49" fontId="14" fillId="0" borderId="0" xfId="0" applyNumberFormat="1" applyFont="1" applyAlignment="1"/>
    <xf numFmtId="49" fontId="15" fillId="0" borderId="0" xfId="0" applyNumberFormat="1" applyFont="1" applyAlignment="1"/>
    <xf numFmtId="49" fontId="16" fillId="0" borderId="0" xfId="0" applyNumberFormat="1" applyFont="1" applyAlignment="1"/>
    <xf numFmtId="49" fontId="16" fillId="0" borderId="0" xfId="0" applyNumberFormat="1" applyFont="1" applyAlignment="1" applyProtection="1">
      <protection locked="0"/>
    </xf>
    <xf numFmtId="0" fontId="13" fillId="0" borderId="2" xfId="0" applyFont="1" applyBorder="1" applyAlignment="1"/>
    <xf numFmtId="0" fontId="14" fillId="0" borderId="2" xfId="0" applyFont="1" applyBorder="1" applyAlignment="1"/>
    <xf numFmtId="0" fontId="19" fillId="0" borderId="2" xfId="0" applyFont="1" applyBorder="1" applyAlignment="1">
      <alignment horizontal="center" wrapText="1"/>
    </xf>
    <xf numFmtId="4" fontId="0" fillId="0" borderId="0" xfId="0" applyNumberFormat="1"/>
    <xf numFmtId="166" fontId="0" fillId="0" borderId="0" xfId="0" applyNumberFormat="1"/>
    <xf numFmtId="0" fontId="20" fillId="0" borderId="2" xfId="0" applyFont="1" applyBorder="1" applyAlignment="1"/>
    <xf numFmtId="165" fontId="13" fillId="0" borderId="2" xfId="0" applyNumberFormat="1" applyFont="1" applyBorder="1" applyAlignment="1"/>
    <xf numFmtId="4" fontId="13" fillId="0" borderId="2" xfId="0" applyNumberFormat="1" applyFont="1" applyBorder="1" applyAlignment="1"/>
    <xf numFmtId="0" fontId="13" fillId="7" borderId="2" xfId="0" applyFont="1" applyFill="1" applyBorder="1" applyAlignment="1"/>
    <xf numFmtId="0" fontId="14" fillId="0" borderId="2" xfId="0" applyFont="1" applyBorder="1" applyAlignment="1">
      <alignment horizontal="center"/>
    </xf>
    <xf numFmtId="3" fontId="13" fillId="0" borderId="2" xfId="0" applyNumberFormat="1" applyFont="1" applyBorder="1" applyAlignment="1"/>
    <xf numFmtId="0" fontId="13" fillId="8" borderId="0" xfId="0" applyFont="1" applyFill="1" applyAlignment="1"/>
    <xf numFmtId="0" fontId="21" fillId="8" borderId="0" xfId="0" applyFont="1" applyFill="1" applyAlignment="1"/>
    <xf numFmtId="0" fontId="22" fillId="8" borderId="5" xfId="0" applyFont="1" applyFill="1" applyBorder="1" applyAlignment="1">
      <alignment horizontal="center"/>
    </xf>
    <xf numFmtId="0" fontId="22" fillId="8" borderId="5" xfId="0" applyFont="1" applyFill="1" applyBorder="1" applyAlignment="1">
      <alignment horizontal="center" wrapText="1"/>
    </xf>
    <xf numFmtId="0" fontId="22" fillId="8" borderId="0" xfId="0" applyFont="1" applyFill="1" applyAlignment="1">
      <alignment horizontal="center"/>
    </xf>
    <xf numFmtId="0" fontId="12" fillId="6" borderId="0" xfId="0" applyFont="1" applyFill="1" applyAlignment="1">
      <alignment horizontal="center" vertical="center"/>
    </xf>
    <xf numFmtId="0" fontId="0" fillId="8" borderId="0" xfId="0" applyFill="1" applyAlignment="1"/>
    <xf numFmtId="0" fontId="23" fillId="0" borderId="0" xfId="0" applyFont="1" applyAlignment="1"/>
    <xf numFmtId="49" fontId="24" fillId="0" borderId="0" xfId="0" applyNumberFormat="1" applyFont="1" applyAlignment="1"/>
    <xf numFmtId="49" fontId="25" fillId="0" borderId="0" xfId="0" applyNumberFormat="1" applyFont="1" applyAlignment="1"/>
    <xf numFmtId="49" fontId="26" fillId="0" borderId="0" xfId="0" applyNumberFormat="1" applyFont="1" applyAlignment="1" applyProtection="1">
      <protection locked="0"/>
    </xf>
    <xf numFmtId="49" fontId="26" fillId="0" borderId="0" xfId="0" applyNumberFormat="1" applyFont="1" applyAlignment="1"/>
    <xf numFmtId="0" fontId="28" fillId="8" borderId="0" xfId="0" applyFont="1" applyFill="1" applyAlignment="1"/>
    <xf numFmtId="0" fontId="23" fillId="0" borderId="2" xfId="0" applyFont="1" applyBorder="1" applyAlignment="1"/>
    <xf numFmtId="0" fontId="30" fillId="8" borderId="5" xfId="0" applyFont="1" applyFill="1" applyBorder="1" applyAlignment="1">
      <alignment horizontal="center"/>
    </xf>
    <xf numFmtId="0" fontId="23" fillId="8" borderId="0" xfId="0" applyFont="1" applyFill="1" applyAlignment="1"/>
    <xf numFmtId="0" fontId="30" fillId="8" borderId="5" xfId="0" applyFont="1" applyFill="1" applyBorder="1" applyAlignment="1">
      <alignment horizontal="center" wrapText="1"/>
    </xf>
    <xf numFmtId="0" fontId="30" fillId="8" borderId="0" xfId="0" applyFont="1" applyFill="1" applyAlignment="1">
      <alignment horizontal="center"/>
    </xf>
    <xf numFmtId="0" fontId="24" fillId="0" borderId="2" xfId="0" applyFont="1" applyBorder="1" applyAlignment="1"/>
    <xf numFmtId="0" fontId="31" fillId="0" borderId="2" xfId="0" applyFont="1" applyBorder="1" applyAlignment="1">
      <alignment horizontal="center" wrapText="1"/>
    </xf>
    <xf numFmtId="0" fontId="32" fillId="0" borderId="2" xfId="0" applyFont="1" applyBorder="1" applyAlignment="1"/>
    <xf numFmtId="165" fontId="23" fillId="0" borderId="2" xfId="0" applyNumberFormat="1" applyFont="1" applyBorder="1" applyAlignment="1"/>
    <xf numFmtId="4" fontId="23" fillId="0" borderId="2" xfId="0" applyNumberFormat="1" applyFont="1" applyBorder="1" applyAlignment="1"/>
    <xf numFmtId="0" fontId="23" fillId="7" borderId="2" xfId="0" applyFont="1" applyFill="1" applyBorder="1" applyAlignment="1"/>
    <xf numFmtId="0" fontId="24" fillId="0" borderId="2" xfId="0" applyFont="1" applyBorder="1" applyAlignment="1">
      <alignment horizontal="center"/>
    </xf>
    <xf numFmtId="3" fontId="23" fillId="0" borderId="2" xfId="0" applyNumberFormat="1" applyFont="1" applyBorder="1" applyAlignment="1"/>
    <xf numFmtId="167" fontId="23" fillId="0" borderId="2" xfId="0" applyNumberFormat="1" applyFont="1" applyBorder="1" applyAlignment="1" applyProtection="1">
      <protection locked="0"/>
    </xf>
    <xf numFmtId="49" fontId="1" fillId="0" borderId="0" xfId="2" applyNumberFormat="1" applyFont="1"/>
    <xf numFmtId="168" fontId="0" fillId="0" borderId="0" xfId="0" applyNumberFormat="1" applyAlignment="1"/>
    <xf numFmtId="3" fontId="0" fillId="0" borderId="0" xfId="0" applyNumberFormat="1" applyAlignment="1"/>
    <xf numFmtId="14" fontId="5" fillId="0" borderId="0" xfId="2" applyNumberFormat="1" applyFont="1" applyAlignment="1">
      <alignment horizontal="center"/>
    </xf>
    <xf numFmtId="14" fontId="5" fillId="4" borderId="0" xfId="2" applyNumberFormat="1" applyFont="1" applyFill="1" applyAlignment="1">
      <alignment horizontal="center"/>
    </xf>
    <xf numFmtId="0" fontId="4" fillId="0" borderId="0" xfId="2" applyFont="1" applyAlignment="1">
      <alignment horizontal="center"/>
    </xf>
    <xf numFmtId="0" fontId="5" fillId="3" borderId="0" xfId="2" applyFont="1" applyFill="1" applyAlignment="1" applyProtection="1">
      <alignment horizontal="center"/>
      <protection locked="0"/>
    </xf>
    <xf numFmtId="0" fontId="8" fillId="0" borderId="0" xfId="2" applyFont="1" applyAlignment="1">
      <alignment horizontal="left"/>
    </xf>
    <xf numFmtId="0" fontId="5" fillId="4" borderId="0" xfId="2" applyFont="1" applyFill="1" applyAlignment="1">
      <alignment horizontal="center"/>
    </xf>
    <xf numFmtId="0" fontId="6" fillId="6" borderId="0" xfId="2" applyFont="1" applyFill="1" applyAlignment="1">
      <alignment horizontal="center"/>
    </xf>
    <xf numFmtId="0" fontId="6" fillId="6" borderId="0" xfId="2" applyFont="1" applyFill="1" applyAlignment="1">
      <alignment horizontal="left" indent="1"/>
    </xf>
    <xf numFmtId="0" fontId="5" fillId="0" borderId="0" xfId="2" applyFont="1" applyAlignment="1">
      <alignment horizontal="center"/>
    </xf>
    <xf numFmtId="49" fontId="5" fillId="0" borderId="0" xfId="2" applyNumberFormat="1" applyFont="1" applyAlignment="1">
      <alignment horizontal="center"/>
    </xf>
    <xf numFmtId="49" fontId="5" fillId="4" borderId="0" xfId="2" applyNumberFormat="1" applyFont="1" applyFill="1" applyAlignment="1">
      <alignment horizontal="center"/>
    </xf>
    <xf numFmtId="0" fontId="4" fillId="3" borderId="0" xfId="2" applyFont="1" applyFill="1" applyAlignment="1" applyProtection="1">
      <alignment horizontal="center"/>
      <protection locked="0"/>
    </xf>
    <xf numFmtId="14" fontId="5" fillId="4" borderId="0" xfId="2" applyNumberFormat="1" applyFont="1" applyFill="1" applyAlignment="1">
      <alignment horizontal="left"/>
    </xf>
    <xf numFmtId="3" fontId="5" fillId="4" borderId="0" xfId="2" applyNumberFormat="1" applyFont="1" applyFill="1" applyAlignment="1">
      <alignment horizontal="left"/>
    </xf>
    <xf numFmtId="3" fontId="5" fillId="4" borderId="0" xfId="2" applyNumberFormat="1" applyFont="1" applyFill="1" applyAlignment="1">
      <alignment horizontal="center"/>
    </xf>
    <xf numFmtId="4" fontId="5" fillId="4" borderId="0" xfId="2" applyNumberFormat="1" applyFont="1" applyFill="1" applyAlignment="1">
      <alignment horizontal="center"/>
    </xf>
    <xf numFmtId="14" fontId="5" fillId="0" borderId="0" xfId="2" applyNumberFormat="1" applyFont="1" applyAlignment="1">
      <alignment horizontal="left"/>
    </xf>
    <xf numFmtId="3" fontId="5" fillId="0" borderId="0" xfId="2" applyNumberFormat="1" applyFont="1" applyAlignment="1">
      <alignment horizontal="left"/>
    </xf>
    <xf numFmtId="3" fontId="5" fillId="0" borderId="0" xfId="2" applyNumberFormat="1" applyFont="1" applyAlignment="1">
      <alignment horizontal="center"/>
    </xf>
    <xf numFmtId="4" fontId="5" fillId="0" borderId="0" xfId="2" applyNumberFormat="1" applyFont="1" applyAlignment="1">
      <alignment horizontal="center"/>
    </xf>
    <xf numFmtId="0" fontId="6" fillId="6" borderId="0" xfId="2" applyFont="1" applyFill="1" applyAlignment="1">
      <alignment horizontal="left"/>
    </xf>
    <xf numFmtId="49" fontId="13" fillId="0" borderId="1" xfId="0" applyNumberFormat="1" applyFont="1" applyBorder="1" applyAlignment="1" applyProtection="1">
      <protection locked="0"/>
    </xf>
    <xf numFmtId="164" fontId="17" fillId="0" borderId="0" xfId="0" applyNumberFormat="1" applyFont="1" applyAlignment="1" applyProtection="1">
      <protection locked="0"/>
    </xf>
    <xf numFmtId="0" fontId="13" fillId="0" borderId="0" xfId="0" applyFont="1" applyAlignment="1"/>
    <xf numFmtId="0" fontId="18" fillId="0" borderId="0" xfId="0" applyFont="1" applyAlignment="1"/>
    <xf numFmtId="0" fontId="14" fillId="0" borderId="0" xfId="0" applyFont="1" applyAlignment="1"/>
    <xf numFmtId="0" fontId="22" fillId="8" borderId="5" xfId="0" applyFont="1" applyFill="1" applyBorder="1" applyAlignment="1">
      <alignment horizontal="center"/>
    </xf>
    <xf numFmtId="0" fontId="14" fillId="0" borderId="3" xfId="0" applyFont="1" applyBorder="1" applyAlignment="1"/>
    <xf numFmtId="0" fontId="14" fillId="0" borderId="4" xfId="0" applyFont="1" applyBorder="1" applyAlignment="1"/>
    <xf numFmtId="4" fontId="13" fillId="0" borderId="3" xfId="0" applyNumberFormat="1" applyFont="1" applyBorder="1" applyAlignment="1"/>
    <xf numFmtId="4" fontId="13" fillId="0" borderId="4" xfId="0" applyNumberFormat="1" applyFont="1" applyBorder="1" applyAlignment="1"/>
    <xf numFmtId="49" fontId="23" fillId="0" borderId="1" xfId="0" applyNumberFormat="1" applyFont="1" applyBorder="1" applyAlignment="1" applyProtection="1">
      <protection locked="0"/>
    </xf>
    <xf numFmtId="164" fontId="27" fillId="0" borderId="0" xfId="0" applyNumberFormat="1" applyFont="1" applyAlignment="1" applyProtection="1">
      <protection locked="0"/>
    </xf>
    <xf numFmtId="0" fontId="23" fillId="0" borderId="0" xfId="0" applyFont="1" applyAlignment="1"/>
    <xf numFmtId="0" fontId="29" fillId="0" borderId="0" xfId="0" applyFont="1" applyAlignment="1"/>
    <xf numFmtId="0" fontId="24" fillId="0" borderId="0" xfId="0" applyFont="1" applyAlignment="1"/>
    <xf numFmtId="0" fontId="30" fillId="8" borderId="5" xfId="0" applyFont="1" applyFill="1" applyBorder="1" applyAlignment="1">
      <alignment horizontal="center"/>
    </xf>
    <xf numFmtId="0" fontId="24" fillId="0" borderId="3" xfId="0" applyFont="1" applyBorder="1" applyAlignment="1"/>
    <xf numFmtId="0" fontId="24" fillId="0" borderId="4" xfId="0" applyFont="1" applyBorder="1" applyAlignment="1"/>
    <xf numFmtId="4" fontId="23" fillId="0" borderId="3" xfId="0" applyNumberFormat="1" applyFont="1" applyBorder="1" applyAlignment="1"/>
    <xf numFmtId="4" fontId="23" fillId="0" borderId="4" xfId="0" applyNumberFormat="1" applyFont="1" applyBorder="1" applyAlignment="1"/>
  </cellXfs>
  <cellStyles count="3">
    <cellStyle name="Normal" xfId="0" builtinId="0"/>
    <cellStyle name="Normal 2" xfId="2" xr:uid="{00000000-0005-0000-0000-000000000000}"/>
    <cellStyle name="Normal 5" xfId="1" xr:uid="{00000000-0005-0000-0000-000001000000}"/>
  </cellStyles>
  <dxfs count="0"/>
  <tableStyles count="0" defaultTableStyle="TableStyleMedium9" defaultPivotStyle="PivotStyleLight16"/>
  <colors>
    <mruColors>
      <color rgb="FFF5A0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2</xdr:row>
      <xdr:rowOff>19050</xdr:rowOff>
    </xdr:from>
    <xdr:to>
      <xdr:col>3</xdr:col>
      <xdr:colOff>847725</xdr:colOff>
      <xdr:row>4</xdr:row>
      <xdr:rowOff>104775</xdr:rowOff>
    </xdr:to>
    <xdr:pic>
      <xdr:nvPicPr>
        <xdr:cNvPr id="4" name="图片 3" descr="Logo.jpg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7175" y="323850"/>
          <a:ext cx="2552700" cy="390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19049</xdr:rowOff>
    </xdr:from>
    <xdr:to>
      <xdr:col>1</xdr:col>
      <xdr:colOff>1038226</xdr:colOff>
      <xdr:row>7</xdr:row>
      <xdr:rowOff>142874</xdr:rowOff>
    </xdr:to>
    <xdr:sp macro="[0]!updateImageLink" textlink="">
      <xdr:nvSpPr>
        <xdr:cNvPr id="2" name="Rectangle 2">
          <a:extLst>
            <a:ext uri="{FF2B5EF4-FFF2-40B4-BE49-F238E27FC236}">
              <a16:creationId xmlns:a16="http://schemas.microsoft.com/office/drawing/2014/main" id="{154D7ED8-9E74-4F28-A132-3B6B7E5E77B5}"/>
            </a:ext>
          </a:extLst>
        </xdr:cNvPr>
        <xdr:cNvSpPr>
          <a:spLocks noChangeAspect="1"/>
        </xdr:cNvSpPr>
      </xdr:nvSpPr>
      <xdr:spPr>
        <a:xfrm>
          <a:off x="685800" y="1504949"/>
          <a:ext cx="1038226" cy="371475"/>
        </a:xfrm>
        <a:prstGeom prst="rect">
          <a:avLst/>
        </a:prstGeom>
        <a:solidFill>
          <a:srgbClr val="F5A019">
            <a:alpha val="97000"/>
          </a:srgbClr>
        </a:solidFill>
        <a:ln>
          <a:solidFill>
            <a:srgbClr val="F5A0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+/- Image LINK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247650</xdr:colOff>
      <xdr:row>1</xdr:row>
      <xdr:rowOff>17557</xdr:rowOff>
    </xdr:to>
    <xdr:pic>
      <xdr:nvPicPr>
        <xdr:cNvPr id="4" name="图片 3" descr="Logo.jp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85800" y="0"/>
          <a:ext cx="1323975" cy="2652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19049</xdr:rowOff>
    </xdr:from>
    <xdr:to>
      <xdr:col>1</xdr:col>
      <xdr:colOff>1038226</xdr:colOff>
      <xdr:row>7</xdr:row>
      <xdr:rowOff>142874</xdr:rowOff>
    </xdr:to>
    <xdr:sp macro="[0]!updateImageLink" textlink="">
      <xdr:nvSpPr>
        <xdr:cNvPr id="2" name="Rectangle 2">
          <a:extLst>
            <a:ext uri="{FF2B5EF4-FFF2-40B4-BE49-F238E27FC236}">
              <a16:creationId xmlns:a16="http://schemas.microsoft.com/office/drawing/2014/main" id="{154D7ED8-9E74-4F28-A132-3B6B7E5E77B5}"/>
            </a:ext>
          </a:extLst>
        </xdr:cNvPr>
        <xdr:cNvSpPr>
          <a:spLocks noChangeAspect="1"/>
        </xdr:cNvSpPr>
      </xdr:nvSpPr>
      <xdr:spPr>
        <a:xfrm>
          <a:off x="685800" y="1504949"/>
          <a:ext cx="1038226" cy="371475"/>
        </a:xfrm>
        <a:prstGeom prst="rect">
          <a:avLst/>
        </a:prstGeom>
        <a:solidFill>
          <a:srgbClr val="F5A019">
            <a:alpha val="97000"/>
          </a:srgbClr>
        </a:solidFill>
        <a:ln>
          <a:solidFill>
            <a:srgbClr val="F5A0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+/- Image LINK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247650</xdr:colOff>
      <xdr:row>1</xdr:row>
      <xdr:rowOff>17557</xdr:rowOff>
    </xdr:to>
    <xdr:pic>
      <xdr:nvPicPr>
        <xdr:cNvPr id="4" name="图片 3" descr="Logo.jpg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85800" y="0"/>
          <a:ext cx="1323975" cy="2652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C0000">
            <a:alpha val="97000"/>
          </a:srgbClr>
        </a:solidFill>
        <a:ln>
          <a:solidFill>
            <a:srgbClr val="CC0000"/>
          </a:solidFill>
        </a:ln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ebSKU"/>
  <dimension ref="A16:AD133"/>
  <sheetViews>
    <sheetView workbookViewId="0"/>
  </sheetViews>
  <sheetFormatPr defaultRowHeight="15" x14ac:dyDescent="0.25"/>
  <cols>
    <col min="1" max="1" width="12" style="1" customWidth="1"/>
    <col min="2" max="2" width="3" style="1" customWidth="1"/>
    <col min="3" max="3" width="48" style="1" customWidth="1"/>
    <col min="4" max="4" width="0" style="1" hidden="1" customWidth="1"/>
    <col min="5" max="5" width="3" style="1" customWidth="1"/>
    <col min="6" max="6" width="12" style="1" customWidth="1"/>
    <col min="7" max="7" width="14" style="1" customWidth="1"/>
  </cols>
  <sheetData>
    <row r="16" spans="10:22" x14ac:dyDescent="0.25">
      <c r="J16" s="1" t="s">
        <v>226</v>
      </c>
      <c r="K16" s="1" t="s">
        <v>227</v>
      </c>
      <c r="L16" s="1" t="s">
        <v>228</v>
      </c>
      <c r="M16" s="1" t="s">
        <v>229</v>
      </c>
      <c r="N16" s="1" t="s">
        <v>230</v>
      </c>
      <c r="O16" s="1" t="s">
        <v>231</v>
      </c>
      <c r="P16" s="1" t="s">
        <v>232</v>
      </c>
      <c r="Q16" s="1" t="s">
        <v>233</v>
      </c>
      <c r="R16" s="1" t="s">
        <v>234</v>
      </c>
      <c r="S16" s="1" t="s">
        <v>235</v>
      </c>
      <c r="T16" s="1" t="s">
        <v>236</v>
      </c>
      <c r="U16" s="1" t="s">
        <v>237</v>
      </c>
      <c r="V16" s="1" t="s">
        <v>238</v>
      </c>
    </row>
    <row r="17" spans="10:30" x14ac:dyDescent="0.25">
      <c r="J17" s="1" t="s">
        <v>239</v>
      </c>
      <c r="K17" s="1" t="s">
        <v>240</v>
      </c>
      <c r="L17" s="1" t="s">
        <v>241</v>
      </c>
      <c r="M17" s="1" t="s">
        <v>242</v>
      </c>
      <c r="N17" s="1" t="s">
        <v>243</v>
      </c>
      <c r="O17" s="1" t="s">
        <v>244</v>
      </c>
      <c r="P17" s="1" t="s">
        <v>245</v>
      </c>
      <c r="Q17" s="1" t="s">
        <v>246</v>
      </c>
      <c r="R17" s="1" t="s">
        <v>247</v>
      </c>
      <c r="S17" s="1" t="s">
        <v>248</v>
      </c>
      <c r="T17" s="1" t="s">
        <v>249</v>
      </c>
      <c r="U17" s="1" t="s">
        <v>250</v>
      </c>
      <c r="V17" s="1" t="s">
        <v>251</v>
      </c>
    </row>
    <row r="18" spans="10:30" x14ac:dyDescent="0.25">
      <c r="J18" s="1" t="s">
        <v>252</v>
      </c>
      <c r="K18" s="1" t="s">
        <v>253</v>
      </c>
      <c r="L18" s="1" t="s">
        <v>254</v>
      </c>
      <c r="M18" s="1" t="s">
        <v>255</v>
      </c>
      <c r="N18" s="1" t="s">
        <v>256</v>
      </c>
      <c r="O18" s="1" t="s">
        <v>257</v>
      </c>
      <c r="P18" s="1" t="s">
        <v>258</v>
      </c>
      <c r="Q18" s="1" t="s">
        <v>259</v>
      </c>
      <c r="R18" s="1" t="s">
        <v>260</v>
      </c>
      <c r="S18" s="1" t="s">
        <v>261</v>
      </c>
      <c r="T18" s="1" t="s">
        <v>262</v>
      </c>
      <c r="U18" s="1" t="s">
        <v>263</v>
      </c>
      <c r="V18" s="1" t="s">
        <v>264</v>
      </c>
    </row>
    <row r="19" spans="10:30" x14ac:dyDescent="0.25">
      <c r="J19" s="1" t="s">
        <v>265</v>
      </c>
      <c r="K19" s="1" t="s">
        <v>266</v>
      </c>
      <c r="L19" s="1" t="s">
        <v>267</v>
      </c>
      <c r="M19" s="1" t="s">
        <v>268</v>
      </c>
      <c r="N19" s="1" t="s">
        <v>269</v>
      </c>
      <c r="O19" s="1" t="s">
        <v>270</v>
      </c>
      <c r="P19" s="1" t="s">
        <v>271</v>
      </c>
      <c r="Q19" s="1" t="s">
        <v>272</v>
      </c>
      <c r="R19" s="1" t="s">
        <v>273</v>
      </c>
      <c r="S19" s="1" t="s">
        <v>274</v>
      </c>
      <c r="T19" s="1" t="s">
        <v>275</v>
      </c>
      <c r="U19" s="1" t="s">
        <v>276</v>
      </c>
      <c r="V19" s="1" t="s">
        <v>277</v>
      </c>
    </row>
    <row r="20" spans="10:30" x14ac:dyDescent="0.25">
      <c r="J20" s="1" t="s">
        <v>278</v>
      </c>
      <c r="K20" s="1" t="s">
        <v>279</v>
      </c>
      <c r="L20" s="1" t="s">
        <v>280</v>
      </c>
      <c r="M20" s="1" t="s">
        <v>281</v>
      </c>
      <c r="N20" s="1" t="s">
        <v>282</v>
      </c>
      <c r="O20" s="1" t="s">
        <v>283</v>
      </c>
      <c r="P20" s="1" t="s">
        <v>284</v>
      </c>
      <c r="Q20" s="1" t="s">
        <v>285</v>
      </c>
      <c r="R20" s="1" t="s">
        <v>286</v>
      </c>
      <c r="S20" s="1" t="s">
        <v>287</v>
      </c>
      <c r="T20" s="1" t="s">
        <v>288</v>
      </c>
      <c r="U20" s="1" t="s">
        <v>289</v>
      </c>
      <c r="V20" s="1" t="s">
        <v>290</v>
      </c>
    </row>
    <row r="21" spans="10:30" x14ac:dyDescent="0.25">
      <c r="V21" s="1" t="s">
        <v>291</v>
      </c>
    </row>
    <row r="22" spans="10:30" x14ac:dyDescent="0.25">
      <c r="J22" s="1" t="s">
        <v>292</v>
      </c>
      <c r="K22" s="1" t="s">
        <v>293</v>
      </c>
      <c r="L22" s="1" t="s">
        <v>294</v>
      </c>
      <c r="M22" s="1" t="s">
        <v>295</v>
      </c>
      <c r="N22" s="1" t="s">
        <v>296</v>
      </c>
      <c r="O22" s="1" t="s">
        <v>297</v>
      </c>
      <c r="P22" s="1" t="s">
        <v>298</v>
      </c>
      <c r="Q22" s="1" t="s">
        <v>299</v>
      </c>
      <c r="R22" s="1" t="s">
        <v>300</v>
      </c>
      <c r="S22" s="1" t="s">
        <v>301</v>
      </c>
      <c r="T22" s="1" t="s">
        <v>302</v>
      </c>
      <c r="U22" s="1" t="s">
        <v>303</v>
      </c>
      <c r="V22" s="1" t="s">
        <v>304</v>
      </c>
    </row>
    <row r="24" spans="10:30" x14ac:dyDescent="0.25">
      <c r="Z24" s="1" t="s">
        <v>305</v>
      </c>
    </row>
    <row r="25" spans="10:30" x14ac:dyDescent="0.25">
      <c r="Q25" s="1" t="s">
        <v>306</v>
      </c>
      <c r="R25" s="1" t="s">
        <v>307</v>
      </c>
      <c r="S25" s="1" t="s">
        <v>308</v>
      </c>
      <c r="T25" s="1" t="s">
        <v>309</v>
      </c>
      <c r="U25" s="1" t="s">
        <v>310</v>
      </c>
      <c r="V25" s="1" t="s">
        <v>311</v>
      </c>
      <c r="W25" s="1" t="s">
        <v>312</v>
      </c>
      <c r="X25" s="1" t="s">
        <v>313</v>
      </c>
      <c r="Y25" s="1" t="s">
        <v>314</v>
      </c>
      <c r="Z25" s="1" t="s">
        <v>315</v>
      </c>
      <c r="AA25" s="1" t="s">
        <v>316</v>
      </c>
      <c r="AB25" s="1" t="s">
        <v>317</v>
      </c>
      <c r="AC25" s="1" t="s">
        <v>318</v>
      </c>
      <c r="AD25" s="1" t="s">
        <v>319</v>
      </c>
    </row>
    <row r="26" spans="10:30" x14ac:dyDescent="0.25">
      <c r="Q26" s="1" t="s">
        <v>320</v>
      </c>
      <c r="R26" s="1" t="s">
        <v>321</v>
      </c>
      <c r="S26" s="1" t="s">
        <v>322</v>
      </c>
      <c r="T26" s="1" t="s">
        <v>323</v>
      </c>
      <c r="U26" s="1" t="s">
        <v>324</v>
      </c>
      <c r="V26" s="1" t="s">
        <v>325</v>
      </c>
      <c r="W26" s="1" t="s">
        <v>326</v>
      </c>
      <c r="X26" s="1" t="s">
        <v>327</v>
      </c>
      <c r="Y26" s="1" t="s">
        <v>328</v>
      </c>
      <c r="AA26" s="1" t="s">
        <v>329</v>
      </c>
      <c r="AB26" s="1" t="s">
        <v>330</v>
      </c>
      <c r="AC26" s="1" t="s">
        <v>331</v>
      </c>
      <c r="AD26" s="1" t="s">
        <v>332</v>
      </c>
    </row>
    <row r="27" spans="10:30" x14ac:dyDescent="0.25">
      <c r="J27" s="1" t="s">
        <v>333</v>
      </c>
      <c r="K27" s="1" t="s">
        <v>334</v>
      </c>
      <c r="L27" s="1" t="s">
        <v>335</v>
      </c>
      <c r="M27" s="1" t="s">
        <v>336</v>
      </c>
      <c r="N27" s="1" t="s">
        <v>337</v>
      </c>
      <c r="O27" s="1" t="s">
        <v>338</v>
      </c>
      <c r="P27" s="1" t="s">
        <v>339</v>
      </c>
      <c r="Q27" s="1" t="s">
        <v>340</v>
      </c>
      <c r="R27" s="1" t="s">
        <v>341</v>
      </c>
      <c r="S27" s="1" t="s">
        <v>342</v>
      </c>
      <c r="T27" s="1" t="s">
        <v>343</v>
      </c>
      <c r="U27" s="1" t="s">
        <v>344</v>
      </c>
      <c r="V27" s="1" t="s">
        <v>345</v>
      </c>
      <c r="W27" s="1" t="s">
        <v>346</v>
      </c>
      <c r="X27" s="1" t="s">
        <v>347</v>
      </c>
      <c r="Y27" s="1" t="s">
        <v>348</v>
      </c>
      <c r="Z27" s="1" t="s">
        <v>349</v>
      </c>
      <c r="AA27" s="1" t="s">
        <v>350</v>
      </c>
      <c r="AB27" s="1" t="s">
        <v>351</v>
      </c>
      <c r="AC27" s="1" t="s">
        <v>352</v>
      </c>
      <c r="AD27" s="1" t="s">
        <v>353</v>
      </c>
    </row>
    <row r="28" spans="10:30" x14ac:dyDescent="0.25">
      <c r="J28" s="1" t="s">
        <v>354</v>
      </c>
      <c r="K28" s="1" t="s">
        <v>355</v>
      </c>
      <c r="L28" s="1" t="s">
        <v>356</v>
      </c>
      <c r="M28" s="1" t="s">
        <v>357</v>
      </c>
      <c r="N28" s="1" t="s">
        <v>358</v>
      </c>
      <c r="O28" s="1" t="s">
        <v>359</v>
      </c>
      <c r="P28" s="1" t="s">
        <v>360</v>
      </c>
      <c r="Q28" s="1" t="s">
        <v>361</v>
      </c>
      <c r="R28" s="1" t="s">
        <v>362</v>
      </c>
      <c r="S28" s="1" t="s">
        <v>363</v>
      </c>
      <c r="T28" s="1" t="s">
        <v>364</v>
      </c>
      <c r="U28" s="1" t="s">
        <v>365</v>
      </c>
      <c r="V28" s="1" t="s">
        <v>366</v>
      </c>
      <c r="W28" s="1" t="s">
        <v>367</v>
      </c>
      <c r="X28" s="1" t="s">
        <v>368</v>
      </c>
      <c r="Y28" s="1" t="s">
        <v>369</v>
      </c>
      <c r="Z28" s="1" t="s">
        <v>370</v>
      </c>
      <c r="AA28" s="1" t="s">
        <v>371</v>
      </c>
      <c r="AB28" s="1" t="s">
        <v>372</v>
      </c>
      <c r="AC28" s="1" t="s">
        <v>373</v>
      </c>
      <c r="AD28" s="1" t="s">
        <v>374</v>
      </c>
    </row>
    <row r="29" spans="10:30" x14ac:dyDescent="0.25">
      <c r="Q29" s="1" t="s">
        <v>375</v>
      </c>
      <c r="R29" s="1" t="s">
        <v>376</v>
      </c>
      <c r="S29" s="1" t="s">
        <v>377</v>
      </c>
      <c r="T29" s="1" t="s">
        <v>378</v>
      </c>
      <c r="U29" s="1" t="s">
        <v>379</v>
      </c>
      <c r="V29" s="1" t="s">
        <v>380</v>
      </c>
      <c r="W29" s="1" t="s">
        <v>381</v>
      </c>
      <c r="X29" s="1" t="s">
        <v>382</v>
      </c>
      <c r="Y29" s="1" t="s">
        <v>383</v>
      </c>
      <c r="Z29" s="1" t="s">
        <v>384</v>
      </c>
      <c r="AA29" s="1" t="s">
        <v>385</v>
      </c>
      <c r="AB29" s="1" t="s">
        <v>386</v>
      </c>
      <c r="AC29" s="1" t="s">
        <v>387</v>
      </c>
      <c r="AD29" s="1" t="s">
        <v>388</v>
      </c>
    </row>
    <row r="30" spans="10:30" x14ac:dyDescent="0.25">
      <c r="Q30" s="1" t="s">
        <v>389</v>
      </c>
      <c r="R30" s="1" t="s">
        <v>390</v>
      </c>
      <c r="S30" s="1" t="s">
        <v>391</v>
      </c>
      <c r="T30" s="1" t="s">
        <v>392</v>
      </c>
      <c r="U30" s="1" t="s">
        <v>393</v>
      </c>
      <c r="V30" s="1" t="s">
        <v>394</v>
      </c>
      <c r="W30" s="1" t="s">
        <v>395</v>
      </c>
      <c r="X30" s="1" t="s">
        <v>396</v>
      </c>
      <c r="Y30" s="1" t="s">
        <v>397</v>
      </c>
      <c r="Z30" s="1" t="s">
        <v>398</v>
      </c>
      <c r="AA30" s="1" t="s">
        <v>399</v>
      </c>
      <c r="AB30" s="1" t="s">
        <v>400</v>
      </c>
      <c r="AC30" s="1" t="s">
        <v>401</v>
      </c>
    </row>
    <row r="31" spans="10:30" x14ac:dyDescent="0.25">
      <c r="Z31" s="1" t="s">
        <v>402</v>
      </c>
    </row>
    <row r="32" spans="10:30" x14ac:dyDescent="0.25">
      <c r="Q32" s="1" t="s">
        <v>403</v>
      </c>
      <c r="R32" s="1" t="s">
        <v>404</v>
      </c>
      <c r="S32" s="1" t="s">
        <v>405</v>
      </c>
      <c r="T32" s="1" t="s">
        <v>406</v>
      </c>
      <c r="U32" s="1" t="s">
        <v>407</v>
      </c>
      <c r="V32" s="1" t="s">
        <v>408</v>
      </c>
      <c r="W32" s="1" t="s">
        <v>409</v>
      </c>
      <c r="X32" s="1" t="s">
        <v>410</v>
      </c>
      <c r="Y32" s="1" t="s">
        <v>411</v>
      </c>
      <c r="Z32" s="1" t="s">
        <v>412</v>
      </c>
    </row>
    <row r="33" spans="17:30" x14ac:dyDescent="0.25">
      <c r="Z33" s="1" t="s">
        <v>413</v>
      </c>
    </row>
    <row r="34" spans="17:30" x14ac:dyDescent="0.25">
      <c r="Q34" s="1" t="s">
        <v>414</v>
      </c>
      <c r="R34" s="1" t="s">
        <v>415</v>
      </c>
      <c r="S34" s="1" t="s">
        <v>416</v>
      </c>
      <c r="T34" s="1" t="s">
        <v>417</v>
      </c>
      <c r="U34" s="1" t="s">
        <v>418</v>
      </c>
      <c r="V34" s="1" t="s">
        <v>419</v>
      </c>
      <c r="W34" s="1" t="s">
        <v>420</v>
      </c>
      <c r="X34" s="1" t="s">
        <v>421</v>
      </c>
      <c r="Y34" s="1" t="s">
        <v>422</v>
      </c>
      <c r="Z34" s="1" t="s">
        <v>423</v>
      </c>
      <c r="AA34" s="1" t="s">
        <v>424</v>
      </c>
      <c r="AB34" s="1" t="s">
        <v>425</v>
      </c>
      <c r="AC34" s="1" t="s">
        <v>426</v>
      </c>
      <c r="AD34" s="1" t="s">
        <v>427</v>
      </c>
    </row>
    <row r="35" spans="17:30" x14ac:dyDescent="0.25">
      <c r="Q35" s="1" t="s">
        <v>428</v>
      </c>
      <c r="R35" s="1" t="s">
        <v>429</v>
      </c>
      <c r="S35" s="1" t="s">
        <v>430</v>
      </c>
      <c r="T35" s="1" t="s">
        <v>431</v>
      </c>
      <c r="U35" s="1" t="s">
        <v>432</v>
      </c>
      <c r="V35" s="1" t="s">
        <v>433</v>
      </c>
      <c r="W35" s="1" t="s">
        <v>434</v>
      </c>
      <c r="X35" s="1" t="s">
        <v>435</v>
      </c>
      <c r="Y35" s="1" t="s">
        <v>436</v>
      </c>
      <c r="Z35" s="1" t="s">
        <v>437</v>
      </c>
      <c r="AA35" s="1" t="s">
        <v>438</v>
      </c>
      <c r="AB35" s="1" t="s">
        <v>439</v>
      </c>
      <c r="AC35" s="1" t="s">
        <v>440</v>
      </c>
      <c r="AD35" s="1" t="s">
        <v>441</v>
      </c>
    </row>
    <row r="36" spans="17:30" x14ac:dyDescent="0.25">
      <c r="Q36" s="1" t="s">
        <v>442</v>
      </c>
      <c r="R36" s="1" t="s">
        <v>443</v>
      </c>
      <c r="S36" s="1" t="s">
        <v>444</v>
      </c>
      <c r="T36" s="1" t="s">
        <v>445</v>
      </c>
      <c r="U36" s="1" t="s">
        <v>446</v>
      </c>
      <c r="V36" s="1" t="s">
        <v>447</v>
      </c>
      <c r="W36" s="1" t="s">
        <v>448</v>
      </c>
      <c r="X36" s="1" t="s">
        <v>449</v>
      </c>
      <c r="Y36" s="1" t="s">
        <v>450</v>
      </c>
      <c r="AA36" s="1" t="s">
        <v>451</v>
      </c>
      <c r="AB36" s="1" t="s">
        <v>452</v>
      </c>
      <c r="AC36" s="1" t="s">
        <v>453</v>
      </c>
      <c r="AD36" s="1" t="s">
        <v>454</v>
      </c>
    </row>
    <row r="37" spans="17:30" x14ac:dyDescent="0.25">
      <c r="AD37" s="1" t="s">
        <v>455</v>
      </c>
    </row>
    <row r="38" spans="17:30" x14ac:dyDescent="0.25">
      <c r="Q38" s="1" t="s">
        <v>456</v>
      </c>
      <c r="R38" s="1" t="s">
        <v>457</v>
      </c>
      <c r="S38" s="1" t="s">
        <v>458</v>
      </c>
      <c r="T38" s="1" t="s">
        <v>459</v>
      </c>
      <c r="U38" s="1" t="s">
        <v>460</v>
      </c>
      <c r="V38" s="1" t="s">
        <v>461</v>
      </c>
      <c r="W38" s="1" t="s">
        <v>462</v>
      </c>
      <c r="X38" s="1" t="s">
        <v>463</v>
      </c>
      <c r="Y38" s="1" t="s">
        <v>464</v>
      </c>
      <c r="AA38" s="1" t="s">
        <v>465</v>
      </c>
      <c r="AB38" s="1" t="s">
        <v>466</v>
      </c>
      <c r="AC38" s="1" t="s">
        <v>467</v>
      </c>
      <c r="AD38" s="1" t="s">
        <v>468</v>
      </c>
    </row>
    <row r="39" spans="17:30" x14ac:dyDescent="0.25">
      <c r="Q39" s="1" t="s">
        <v>469</v>
      </c>
      <c r="R39" s="1" t="s">
        <v>470</v>
      </c>
      <c r="S39" s="1" t="s">
        <v>471</v>
      </c>
      <c r="T39" s="1" t="s">
        <v>472</v>
      </c>
      <c r="U39" s="1" t="s">
        <v>473</v>
      </c>
      <c r="V39" s="1" t="s">
        <v>474</v>
      </c>
      <c r="W39" s="1" t="s">
        <v>475</v>
      </c>
      <c r="X39" s="1" t="s">
        <v>476</v>
      </c>
      <c r="Y39" s="1" t="s">
        <v>477</v>
      </c>
      <c r="AA39" s="1" t="s">
        <v>478</v>
      </c>
      <c r="AB39" s="1" t="s">
        <v>479</v>
      </c>
      <c r="AC39" s="1" t="s">
        <v>480</v>
      </c>
      <c r="AD39" s="1" t="s">
        <v>481</v>
      </c>
    </row>
    <row r="40" spans="17:30" x14ac:dyDescent="0.25">
      <c r="Q40" s="1" t="s">
        <v>482</v>
      </c>
      <c r="R40" s="1" t="s">
        <v>483</v>
      </c>
      <c r="S40" s="1" t="s">
        <v>484</v>
      </c>
      <c r="T40" s="1" t="s">
        <v>485</v>
      </c>
      <c r="U40" s="1" t="s">
        <v>486</v>
      </c>
      <c r="V40" s="1" t="s">
        <v>487</v>
      </c>
      <c r="W40" s="1" t="s">
        <v>488</v>
      </c>
      <c r="X40" s="1" t="s">
        <v>489</v>
      </c>
      <c r="Y40" s="1" t="s">
        <v>490</v>
      </c>
      <c r="AA40" s="1" t="s">
        <v>491</v>
      </c>
      <c r="AB40" s="1" t="s">
        <v>492</v>
      </c>
      <c r="AC40" s="1" t="s">
        <v>493</v>
      </c>
      <c r="AD40" s="1" t="s">
        <v>494</v>
      </c>
    </row>
    <row r="41" spans="17:30" x14ac:dyDescent="0.25">
      <c r="Q41" s="1" t="s">
        <v>495</v>
      </c>
      <c r="R41" s="1" t="s">
        <v>496</v>
      </c>
      <c r="S41" s="1" t="s">
        <v>497</v>
      </c>
      <c r="T41" s="1" t="s">
        <v>498</v>
      </c>
      <c r="U41" s="1" t="s">
        <v>499</v>
      </c>
      <c r="V41" s="1" t="s">
        <v>500</v>
      </c>
      <c r="W41" s="1" t="s">
        <v>501</v>
      </c>
      <c r="X41" s="1" t="s">
        <v>502</v>
      </c>
      <c r="Y41" s="1" t="s">
        <v>503</v>
      </c>
      <c r="AA41" s="1" t="s">
        <v>504</v>
      </c>
      <c r="AB41" s="1" t="s">
        <v>505</v>
      </c>
      <c r="AC41" s="1" t="s">
        <v>506</v>
      </c>
      <c r="AD41" s="1" t="s">
        <v>507</v>
      </c>
    </row>
    <row r="42" spans="17:30" x14ac:dyDescent="0.25">
      <c r="Q42" s="1" t="s">
        <v>508</v>
      </c>
      <c r="R42" s="1" t="s">
        <v>509</v>
      </c>
      <c r="S42" s="1" t="s">
        <v>510</v>
      </c>
      <c r="T42" s="1" t="s">
        <v>511</v>
      </c>
      <c r="U42" s="1" t="s">
        <v>512</v>
      </c>
      <c r="V42" s="1" t="s">
        <v>513</v>
      </c>
      <c r="W42" s="1" t="s">
        <v>514</v>
      </c>
      <c r="X42" s="1" t="s">
        <v>515</v>
      </c>
      <c r="Y42" s="1" t="s">
        <v>516</v>
      </c>
      <c r="AA42" s="1" t="s">
        <v>517</v>
      </c>
      <c r="AB42" s="1" t="s">
        <v>518</v>
      </c>
      <c r="AC42" s="1" t="s">
        <v>519</v>
      </c>
      <c r="AD42" s="1" t="s">
        <v>520</v>
      </c>
    </row>
    <row r="43" spans="17:30" x14ac:dyDescent="0.25">
      <c r="Q43" s="1" t="s">
        <v>521</v>
      </c>
      <c r="R43" s="1" t="s">
        <v>522</v>
      </c>
      <c r="S43" s="1" t="s">
        <v>523</v>
      </c>
      <c r="T43" s="1" t="s">
        <v>524</v>
      </c>
      <c r="U43" s="1" t="s">
        <v>525</v>
      </c>
      <c r="V43" s="1" t="s">
        <v>526</v>
      </c>
      <c r="W43" s="1" t="s">
        <v>527</v>
      </c>
      <c r="X43" s="1" t="s">
        <v>528</v>
      </c>
      <c r="Y43" s="1" t="s">
        <v>529</v>
      </c>
      <c r="AA43" s="1" t="s">
        <v>530</v>
      </c>
      <c r="AB43" s="1" t="s">
        <v>531</v>
      </c>
      <c r="AC43" s="1" t="s">
        <v>532</v>
      </c>
      <c r="AD43" s="1" t="s">
        <v>533</v>
      </c>
    </row>
    <row r="44" spans="17:30" x14ac:dyDescent="0.25">
      <c r="Q44" s="1" t="s">
        <v>534</v>
      </c>
      <c r="R44" s="1" t="s">
        <v>535</v>
      </c>
      <c r="S44" s="1" t="s">
        <v>536</v>
      </c>
      <c r="T44" s="1" t="s">
        <v>537</v>
      </c>
      <c r="U44" s="1" t="s">
        <v>538</v>
      </c>
      <c r="V44" s="1" t="s">
        <v>539</v>
      </c>
      <c r="W44" s="1" t="s">
        <v>540</v>
      </c>
      <c r="X44" s="1" t="s">
        <v>541</v>
      </c>
      <c r="Y44" s="1" t="s">
        <v>542</v>
      </c>
      <c r="Z44" s="1" t="s">
        <v>543</v>
      </c>
      <c r="AA44" s="1" t="s">
        <v>544</v>
      </c>
      <c r="AB44" s="1" t="s">
        <v>545</v>
      </c>
      <c r="AC44" s="1" t="s">
        <v>546</v>
      </c>
      <c r="AD44" s="1" t="s">
        <v>547</v>
      </c>
    </row>
    <row r="45" spans="17:30" x14ac:dyDescent="0.25">
      <c r="Q45" s="1" t="s">
        <v>548</v>
      </c>
      <c r="R45" s="1" t="s">
        <v>549</v>
      </c>
      <c r="S45" s="1" t="s">
        <v>550</v>
      </c>
      <c r="T45" s="1" t="s">
        <v>551</v>
      </c>
      <c r="U45" s="1" t="s">
        <v>552</v>
      </c>
      <c r="V45" s="1" t="s">
        <v>553</v>
      </c>
      <c r="W45" s="1" t="s">
        <v>554</v>
      </c>
      <c r="X45" s="1" t="s">
        <v>555</v>
      </c>
      <c r="Y45" s="1" t="s">
        <v>556</v>
      </c>
      <c r="Z45" s="1" t="s">
        <v>557</v>
      </c>
      <c r="AA45" s="1" t="s">
        <v>558</v>
      </c>
      <c r="AB45" s="1" t="s">
        <v>559</v>
      </c>
      <c r="AC45" s="1" t="s">
        <v>560</v>
      </c>
      <c r="AD45" s="1" t="s">
        <v>561</v>
      </c>
    </row>
    <row r="46" spans="17:30" x14ac:dyDescent="0.25">
      <c r="Q46" s="1" t="s">
        <v>562</v>
      </c>
      <c r="R46" s="1" t="s">
        <v>563</v>
      </c>
      <c r="S46" s="1" t="s">
        <v>564</v>
      </c>
      <c r="T46" s="1" t="s">
        <v>565</v>
      </c>
      <c r="U46" s="1" t="s">
        <v>566</v>
      </c>
      <c r="V46" s="1" t="s">
        <v>567</v>
      </c>
      <c r="W46" s="1" t="s">
        <v>568</v>
      </c>
      <c r="X46" s="1" t="s">
        <v>569</v>
      </c>
      <c r="Y46" s="1" t="s">
        <v>570</v>
      </c>
      <c r="Z46" s="1" t="s">
        <v>571</v>
      </c>
      <c r="AA46" s="1" t="s">
        <v>572</v>
      </c>
      <c r="AB46" s="1" t="s">
        <v>573</v>
      </c>
      <c r="AC46" s="1" t="s">
        <v>574</v>
      </c>
      <c r="AD46" s="1" t="s">
        <v>575</v>
      </c>
    </row>
    <row r="47" spans="17:30" x14ac:dyDescent="0.25">
      <c r="Q47" s="1" t="s">
        <v>576</v>
      </c>
      <c r="R47" s="1" t="s">
        <v>577</v>
      </c>
      <c r="S47" s="1" t="s">
        <v>578</v>
      </c>
      <c r="T47" s="1" t="s">
        <v>579</v>
      </c>
      <c r="U47" s="1" t="s">
        <v>580</v>
      </c>
      <c r="V47" s="1" t="s">
        <v>581</v>
      </c>
      <c r="W47" s="1" t="s">
        <v>582</v>
      </c>
      <c r="X47" s="1" t="s">
        <v>583</v>
      </c>
      <c r="Y47" s="1" t="s">
        <v>584</v>
      </c>
      <c r="AA47" s="1" t="s">
        <v>585</v>
      </c>
      <c r="AB47" s="1" t="s">
        <v>586</v>
      </c>
      <c r="AC47" s="1" t="s">
        <v>587</v>
      </c>
      <c r="AD47" s="1" t="s">
        <v>588</v>
      </c>
    </row>
    <row r="48" spans="17:30" x14ac:dyDescent="0.25">
      <c r="Q48" s="1" t="s">
        <v>589</v>
      </c>
      <c r="R48" s="1" t="s">
        <v>590</v>
      </c>
      <c r="S48" s="1" t="s">
        <v>591</v>
      </c>
      <c r="T48" s="1" t="s">
        <v>592</v>
      </c>
      <c r="U48" s="1" t="s">
        <v>593</v>
      </c>
      <c r="V48" s="1" t="s">
        <v>594</v>
      </c>
      <c r="W48" s="1" t="s">
        <v>595</v>
      </c>
      <c r="X48" s="1" t="s">
        <v>596</v>
      </c>
      <c r="Y48" s="1" t="s">
        <v>597</v>
      </c>
      <c r="Z48" s="1" t="s">
        <v>598</v>
      </c>
      <c r="AA48" s="1" t="s">
        <v>599</v>
      </c>
      <c r="AB48" s="1" t="s">
        <v>600</v>
      </c>
      <c r="AC48" s="1" t="s">
        <v>601</v>
      </c>
      <c r="AD48" s="1" t="s">
        <v>602</v>
      </c>
    </row>
    <row r="49" spans="10:30" x14ac:dyDescent="0.25">
      <c r="Q49" s="1" t="s">
        <v>603</v>
      </c>
      <c r="R49" s="1" t="s">
        <v>604</v>
      </c>
      <c r="S49" s="1" t="s">
        <v>605</v>
      </c>
      <c r="T49" s="1" t="s">
        <v>606</v>
      </c>
      <c r="U49" s="1" t="s">
        <v>607</v>
      </c>
      <c r="V49" s="1" t="s">
        <v>608</v>
      </c>
      <c r="W49" s="1" t="s">
        <v>609</v>
      </c>
      <c r="X49" s="1" t="s">
        <v>610</v>
      </c>
      <c r="Y49" s="1" t="s">
        <v>611</v>
      </c>
      <c r="Z49" s="1" t="s">
        <v>612</v>
      </c>
      <c r="AA49" s="1" t="s">
        <v>613</v>
      </c>
      <c r="AB49" s="1" t="s">
        <v>614</v>
      </c>
      <c r="AC49" s="1" t="s">
        <v>615</v>
      </c>
      <c r="AD49" s="1" t="s">
        <v>616</v>
      </c>
    </row>
    <row r="50" spans="10:30" x14ac:dyDescent="0.25">
      <c r="Q50" s="1" t="s">
        <v>617</v>
      </c>
      <c r="R50" s="1" t="s">
        <v>618</v>
      </c>
      <c r="S50" s="1" t="s">
        <v>619</v>
      </c>
      <c r="T50" s="1" t="s">
        <v>620</v>
      </c>
      <c r="U50" s="1" t="s">
        <v>621</v>
      </c>
      <c r="V50" s="1" t="s">
        <v>622</v>
      </c>
      <c r="W50" s="1" t="s">
        <v>623</v>
      </c>
      <c r="X50" s="1" t="s">
        <v>624</v>
      </c>
      <c r="Y50" s="1" t="s">
        <v>625</v>
      </c>
      <c r="AA50" s="1" t="s">
        <v>626</v>
      </c>
      <c r="AB50" s="1" t="s">
        <v>627</v>
      </c>
      <c r="AC50" s="1" t="s">
        <v>628</v>
      </c>
      <c r="AD50" s="1" t="s">
        <v>629</v>
      </c>
    </row>
    <row r="51" spans="10:30" x14ac:dyDescent="0.25">
      <c r="Q51" s="1" t="s">
        <v>630</v>
      </c>
      <c r="R51" s="1" t="s">
        <v>631</v>
      </c>
      <c r="S51" s="1" t="s">
        <v>632</v>
      </c>
      <c r="T51" s="1" t="s">
        <v>633</v>
      </c>
      <c r="U51" s="1" t="s">
        <v>634</v>
      </c>
      <c r="V51" s="1" t="s">
        <v>635</v>
      </c>
      <c r="W51" s="1" t="s">
        <v>636</v>
      </c>
      <c r="X51" s="1" t="s">
        <v>637</v>
      </c>
      <c r="Y51" s="1" t="s">
        <v>638</v>
      </c>
      <c r="AA51" s="1" t="s">
        <v>639</v>
      </c>
      <c r="AB51" s="1" t="s">
        <v>640</v>
      </c>
      <c r="AC51" s="1" t="s">
        <v>641</v>
      </c>
      <c r="AD51" s="1" t="s">
        <v>642</v>
      </c>
    </row>
    <row r="52" spans="10:30" x14ac:dyDescent="0.25">
      <c r="Q52" s="1" t="s">
        <v>643</v>
      </c>
      <c r="R52" s="1" t="s">
        <v>644</v>
      </c>
      <c r="S52" s="1" t="s">
        <v>645</v>
      </c>
      <c r="T52" s="1" t="s">
        <v>646</v>
      </c>
      <c r="U52" s="1" t="s">
        <v>647</v>
      </c>
      <c r="V52" s="1" t="s">
        <v>648</v>
      </c>
      <c r="W52" s="1" t="s">
        <v>649</v>
      </c>
      <c r="X52" s="1" t="s">
        <v>650</v>
      </c>
      <c r="Y52" s="1" t="s">
        <v>651</v>
      </c>
      <c r="AA52" s="1" t="s">
        <v>652</v>
      </c>
      <c r="AB52" s="1" t="s">
        <v>653</v>
      </c>
      <c r="AC52" s="1" t="s">
        <v>654</v>
      </c>
      <c r="AD52" s="1" t="s">
        <v>655</v>
      </c>
    </row>
    <row r="53" spans="10:30" x14ac:dyDescent="0.25">
      <c r="Q53" s="1" t="s">
        <v>656</v>
      </c>
      <c r="R53" s="1" t="s">
        <v>657</v>
      </c>
      <c r="S53" s="1" t="s">
        <v>658</v>
      </c>
      <c r="T53" s="1" t="s">
        <v>659</v>
      </c>
      <c r="U53" s="1" t="s">
        <v>660</v>
      </c>
      <c r="V53" s="1" t="s">
        <v>661</v>
      </c>
      <c r="W53" s="1" t="s">
        <v>662</v>
      </c>
      <c r="X53" s="1" t="s">
        <v>663</v>
      </c>
      <c r="Y53" s="1" t="s">
        <v>664</v>
      </c>
      <c r="Z53" s="1" t="s">
        <v>665</v>
      </c>
      <c r="AA53" s="1" t="s">
        <v>666</v>
      </c>
      <c r="AB53" s="1" t="s">
        <v>667</v>
      </c>
      <c r="AC53" s="1" t="s">
        <v>668</v>
      </c>
      <c r="AD53" s="1" t="s">
        <v>669</v>
      </c>
    </row>
    <row r="54" spans="10:30" x14ac:dyDescent="0.25">
      <c r="Q54" s="1" t="s">
        <v>670</v>
      </c>
      <c r="R54" s="1" t="s">
        <v>671</v>
      </c>
      <c r="S54" s="1" t="s">
        <v>672</v>
      </c>
      <c r="T54" s="1" t="s">
        <v>673</v>
      </c>
      <c r="U54" s="1" t="s">
        <v>674</v>
      </c>
      <c r="V54" s="1" t="s">
        <v>675</v>
      </c>
      <c r="W54" s="1" t="s">
        <v>676</v>
      </c>
      <c r="X54" s="1" t="s">
        <v>677</v>
      </c>
      <c r="Y54" s="1" t="s">
        <v>678</v>
      </c>
      <c r="Z54" s="1" t="s">
        <v>679</v>
      </c>
      <c r="AA54" s="1" t="s">
        <v>680</v>
      </c>
      <c r="AB54" s="1" t="s">
        <v>681</v>
      </c>
      <c r="AC54" s="1" t="s">
        <v>682</v>
      </c>
      <c r="AD54" s="1" t="s">
        <v>683</v>
      </c>
    </row>
    <row r="55" spans="10:30" x14ac:dyDescent="0.25">
      <c r="Q55" s="1" t="s">
        <v>684</v>
      </c>
      <c r="R55" s="1" t="s">
        <v>685</v>
      </c>
      <c r="S55" s="1" t="s">
        <v>686</v>
      </c>
      <c r="T55" s="1" t="s">
        <v>687</v>
      </c>
      <c r="U55" s="1" t="s">
        <v>688</v>
      </c>
      <c r="V55" s="1" t="s">
        <v>689</v>
      </c>
      <c r="W55" s="1" t="s">
        <v>690</v>
      </c>
      <c r="X55" s="1" t="s">
        <v>691</v>
      </c>
      <c r="Y55" s="1" t="s">
        <v>692</v>
      </c>
      <c r="Z55" s="1" t="s">
        <v>693</v>
      </c>
      <c r="AA55" s="1" t="s">
        <v>694</v>
      </c>
      <c r="AB55" s="1" t="s">
        <v>695</v>
      </c>
      <c r="AC55" s="1" t="s">
        <v>696</v>
      </c>
      <c r="AD55" s="1" t="s">
        <v>697</v>
      </c>
    </row>
    <row r="56" spans="10:30" x14ac:dyDescent="0.25">
      <c r="Q56" s="1" t="s">
        <v>698</v>
      </c>
      <c r="R56" s="1" t="s">
        <v>699</v>
      </c>
      <c r="S56" s="1" t="s">
        <v>700</v>
      </c>
      <c r="T56" s="1" t="s">
        <v>701</v>
      </c>
      <c r="U56" s="1" t="s">
        <v>702</v>
      </c>
      <c r="V56" s="1" t="s">
        <v>703</v>
      </c>
      <c r="W56" s="1" t="s">
        <v>704</v>
      </c>
      <c r="X56" s="1" t="s">
        <v>705</v>
      </c>
      <c r="Y56" s="1" t="s">
        <v>706</v>
      </c>
      <c r="Z56" s="1" t="s">
        <v>707</v>
      </c>
      <c r="AA56" s="1" t="s">
        <v>708</v>
      </c>
      <c r="AB56" s="1" t="s">
        <v>709</v>
      </c>
      <c r="AC56" s="1" t="s">
        <v>710</v>
      </c>
      <c r="AD56" s="1" t="s">
        <v>711</v>
      </c>
    </row>
    <row r="57" spans="10:30" x14ac:dyDescent="0.25">
      <c r="J57" s="1" t="s">
        <v>712</v>
      </c>
      <c r="K57" s="1" t="s">
        <v>713</v>
      </c>
      <c r="L57" s="1" t="s">
        <v>714</v>
      </c>
      <c r="M57" s="1" t="s">
        <v>715</v>
      </c>
      <c r="N57" s="1" t="s">
        <v>716</v>
      </c>
      <c r="O57" s="1" t="s">
        <v>717</v>
      </c>
      <c r="P57" s="1" t="s">
        <v>718</v>
      </c>
      <c r="Q57" s="1" t="s">
        <v>719</v>
      </c>
      <c r="R57" s="1" t="s">
        <v>720</v>
      </c>
      <c r="S57" s="1" t="s">
        <v>721</v>
      </c>
      <c r="T57" s="1" t="s">
        <v>722</v>
      </c>
      <c r="U57" s="1" t="s">
        <v>723</v>
      </c>
      <c r="V57" s="1" t="s">
        <v>724</v>
      </c>
      <c r="W57" s="1" t="s">
        <v>725</v>
      </c>
      <c r="X57" s="1" t="s">
        <v>726</v>
      </c>
      <c r="Y57" s="1" t="s">
        <v>727</v>
      </c>
      <c r="AA57" s="1" t="s">
        <v>728</v>
      </c>
      <c r="AB57" s="1" t="s">
        <v>729</v>
      </c>
      <c r="AC57" s="1" t="s">
        <v>730</v>
      </c>
      <c r="AD57" s="1" t="s">
        <v>731</v>
      </c>
    </row>
    <row r="58" spans="10:30" x14ac:dyDescent="0.25">
      <c r="J58" s="1" t="s">
        <v>732</v>
      </c>
      <c r="K58" s="1" t="s">
        <v>733</v>
      </c>
      <c r="L58" s="1" t="s">
        <v>734</v>
      </c>
      <c r="M58" s="1" t="s">
        <v>735</v>
      </c>
      <c r="N58" s="1" t="s">
        <v>736</v>
      </c>
      <c r="O58" s="1" t="s">
        <v>737</v>
      </c>
      <c r="P58" s="1" t="s">
        <v>738</v>
      </c>
      <c r="Q58" s="1" t="s">
        <v>739</v>
      </c>
      <c r="R58" s="1" t="s">
        <v>740</v>
      </c>
      <c r="S58" s="1" t="s">
        <v>741</v>
      </c>
      <c r="T58" s="1" t="s">
        <v>742</v>
      </c>
      <c r="U58" s="1" t="s">
        <v>743</v>
      </c>
      <c r="V58" s="1" t="s">
        <v>744</v>
      </c>
      <c r="W58" s="1" t="s">
        <v>745</v>
      </c>
      <c r="X58" s="1" t="s">
        <v>746</v>
      </c>
      <c r="Y58" s="1" t="s">
        <v>747</v>
      </c>
      <c r="AA58" s="1" t="s">
        <v>748</v>
      </c>
      <c r="AB58" s="1" t="s">
        <v>749</v>
      </c>
      <c r="AC58" s="1" t="s">
        <v>750</v>
      </c>
      <c r="AD58" s="1" t="s">
        <v>751</v>
      </c>
    </row>
    <row r="59" spans="10:30" x14ac:dyDescent="0.25">
      <c r="Q59" s="1" t="s">
        <v>752</v>
      </c>
      <c r="R59" s="1" t="s">
        <v>753</v>
      </c>
      <c r="S59" s="1" t="s">
        <v>754</v>
      </c>
      <c r="T59" s="1" t="s">
        <v>755</v>
      </c>
      <c r="U59" s="1" t="s">
        <v>756</v>
      </c>
      <c r="V59" s="1" t="s">
        <v>757</v>
      </c>
      <c r="W59" s="1" t="s">
        <v>758</v>
      </c>
      <c r="X59" s="1" t="s">
        <v>759</v>
      </c>
      <c r="Y59" s="1" t="s">
        <v>760</v>
      </c>
      <c r="AA59" s="1" t="s">
        <v>761</v>
      </c>
      <c r="AB59" s="1" t="s">
        <v>762</v>
      </c>
      <c r="AC59" s="1" t="s">
        <v>763</v>
      </c>
      <c r="AD59" s="1" t="s">
        <v>764</v>
      </c>
    </row>
    <row r="61" spans="10:30" x14ac:dyDescent="0.25">
      <c r="K61" s="1" t="s">
        <v>765</v>
      </c>
      <c r="R61" s="1" t="s">
        <v>766</v>
      </c>
      <c r="S61" s="1" t="s">
        <v>767</v>
      </c>
      <c r="T61" s="1" t="s">
        <v>768</v>
      </c>
      <c r="U61" s="1" t="s">
        <v>769</v>
      </c>
      <c r="V61" s="1" t="s">
        <v>770</v>
      </c>
    </row>
    <row r="62" spans="10:30" x14ac:dyDescent="0.25">
      <c r="J62" s="1" t="s">
        <v>771</v>
      </c>
      <c r="K62" s="1" t="s">
        <v>772</v>
      </c>
      <c r="L62" s="1" t="s">
        <v>773</v>
      </c>
      <c r="M62" s="1" t="s">
        <v>774</v>
      </c>
      <c r="N62" s="1" t="s">
        <v>775</v>
      </c>
      <c r="O62" s="1" t="s">
        <v>776</v>
      </c>
      <c r="P62" s="1" t="s">
        <v>777</v>
      </c>
      <c r="Q62" s="1" t="s">
        <v>778</v>
      </c>
      <c r="R62" s="1" t="s">
        <v>779</v>
      </c>
      <c r="S62" s="1" t="s">
        <v>780</v>
      </c>
      <c r="T62" s="1" t="s">
        <v>781</v>
      </c>
      <c r="U62" s="1" t="s">
        <v>782</v>
      </c>
      <c r="V62" s="1" t="s">
        <v>783</v>
      </c>
    </row>
    <row r="63" spans="10:30" x14ac:dyDescent="0.25">
      <c r="J63" s="1" t="s">
        <v>784</v>
      </c>
      <c r="K63" s="1" t="s">
        <v>785</v>
      </c>
      <c r="L63" s="1" t="s">
        <v>786</v>
      </c>
      <c r="M63" s="1" t="s">
        <v>787</v>
      </c>
      <c r="N63" s="1" t="s">
        <v>788</v>
      </c>
      <c r="O63" s="1" t="s">
        <v>789</v>
      </c>
      <c r="P63" s="1" t="s">
        <v>790</v>
      </c>
      <c r="Q63" s="1" t="s">
        <v>791</v>
      </c>
      <c r="R63" s="1" t="s">
        <v>792</v>
      </c>
      <c r="S63" s="1" t="s">
        <v>793</v>
      </c>
      <c r="T63" s="1" t="s">
        <v>794</v>
      </c>
      <c r="U63" s="1" t="s">
        <v>795</v>
      </c>
      <c r="V63" s="1" t="s">
        <v>796</v>
      </c>
    </row>
    <row r="64" spans="10:30" x14ac:dyDescent="0.25">
      <c r="J64" s="1" t="s">
        <v>797</v>
      </c>
      <c r="K64" s="1" t="s">
        <v>798</v>
      </c>
      <c r="L64" s="1" t="s">
        <v>799</v>
      </c>
      <c r="M64" s="1" t="s">
        <v>800</v>
      </c>
      <c r="N64" s="1" t="s">
        <v>801</v>
      </c>
      <c r="O64" s="1" t="s">
        <v>802</v>
      </c>
      <c r="P64" s="1" t="s">
        <v>803</v>
      </c>
      <c r="Q64" s="1" t="s">
        <v>804</v>
      </c>
      <c r="R64" s="1" t="s">
        <v>805</v>
      </c>
      <c r="S64" s="1" t="s">
        <v>806</v>
      </c>
      <c r="T64" s="1" t="s">
        <v>807</v>
      </c>
      <c r="U64" s="1" t="s">
        <v>808</v>
      </c>
      <c r="V64" s="1" t="s">
        <v>809</v>
      </c>
    </row>
    <row r="65" spans="10:30" x14ac:dyDescent="0.25">
      <c r="J65" s="1" t="s">
        <v>810</v>
      </c>
      <c r="K65" s="1" t="s">
        <v>811</v>
      </c>
      <c r="L65" s="1" t="s">
        <v>812</v>
      </c>
      <c r="M65" s="1" t="s">
        <v>813</v>
      </c>
      <c r="N65" s="1" t="s">
        <v>814</v>
      </c>
      <c r="O65" s="1" t="s">
        <v>815</v>
      </c>
      <c r="P65" s="1" t="s">
        <v>816</v>
      </c>
      <c r="Q65" s="1" t="s">
        <v>817</v>
      </c>
      <c r="R65" s="1" t="s">
        <v>818</v>
      </c>
      <c r="S65" s="1" t="s">
        <v>819</v>
      </c>
      <c r="T65" s="1" t="s">
        <v>820</v>
      </c>
      <c r="U65" s="1" t="s">
        <v>821</v>
      </c>
      <c r="V65" s="1" t="s">
        <v>822</v>
      </c>
    </row>
    <row r="67" spans="10:30" x14ac:dyDescent="0.25">
      <c r="Q67" s="1" t="s">
        <v>823</v>
      </c>
      <c r="R67" s="1" t="s">
        <v>824</v>
      </c>
      <c r="S67" s="1" t="s">
        <v>825</v>
      </c>
      <c r="T67" s="1" t="s">
        <v>826</v>
      </c>
      <c r="U67" s="1" t="s">
        <v>827</v>
      </c>
      <c r="V67" s="1" t="s">
        <v>828</v>
      </c>
      <c r="W67" s="1" t="s">
        <v>829</v>
      </c>
      <c r="X67" s="1" t="s">
        <v>830</v>
      </c>
      <c r="Y67" s="1" t="s">
        <v>831</v>
      </c>
      <c r="AA67" s="1" t="s">
        <v>832</v>
      </c>
      <c r="AB67" s="1" t="s">
        <v>833</v>
      </c>
      <c r="AC67" s="1" t="s">
        <v>834</v>
      </c>
      <c r="AD67" s="1" t="s">
        <v>835</v>
      </c>
    </row>
    <row r="68" spans="10:30" x14ac:dyDescent="0.25">
      <c r="Q68" s="1" t="s">
        <v>836</v>
      </c>
      <c r="R68" s="1" t="s">
        <v>837</v>
      </c>
      <c r="S68" s="1" t="s">
        <v>838</v>
      </c>
      <c r="T68" s="1" t="s">
        <v>839</v>
      </c>
      <c r="U68" s="1" t="s">
        <v>840</v>
      </c>
      <c r="V68" s="1" t="s">
        <v>841</v>
      </c>
      <c r="W68" s="1" t="s">
        <v>842</v>
      </c>
      <c r="X68" s="1" t="s">
        <v>843</v>
      </c>
      <c r="Y68" s="1" t="s">
        <v>844</v>
      </c>
      <c r="Z68" s="1" t="s">
        <v>845</v>
      </c>
      <c r="AA68" s="1" t="s">
        <v>846</v>
      </c>
      <c r="AB68" s="1" t="s">
        <v>847</v>
      </c>
      <c r="AC68" s="1" t="s">
        <v>848</v>
      </c>
      <c r="AD68" s="1" t="s">
        <v>849</v>
      </c>
    </row>
    <row r="69" spans="10:30" x14ac:dyDescent="0.25">
      <c r="Q69" s="1" t="s">
        <v>850</v>
      </c>
      <c r="R69" s="1" t="s">
        <v>851</v>
      </c>
      <c r="S69" s="1" t="s">
        <v>852</v>
      </c>
      <c r="T69" s="1" t="s">
        <v>853</v>
      </c>
      <c r="U69" s="1" t="s">
        <v>854</v>
      </c>
      <c r="V69" s="1" t="s">
        <v>855</v>
      </c>
      <c r="W69" s="1" t="s">
        <v>856</v>
      </c>
      <c r="X69" s="1" t="s">
        <v>857</v>
      </c>
      <c r="Y69" s="1" t="s">
        <v>858</v>
      </c>
      <c r="Z69" s="1" t="s">
        <v>859</v>
      </c>
      <c r="AA69" s="1" t="s">
        <v>860</v>
      </c>
      <c r="AB69" s="1" t="s">
        <v>861</v>
      </c>
      <c r="AC69" s="1" t="s">
        <v>862</v>
      </c>
      <c r="AD69" s="1" t="s">
        <v>863</v>
      </c>
    </row>
    <row r="70" spans="10:30" x14ac:dyDescent="0.25">
      <c r="Q70" s="1" t="s">
        <v>864</v>
      </c>
      <c r="R70" s="1" t="s">
        <v>865</v>
      </c>
      <c r="S70" s="1" t="s">
        <v>866</v>
      </c>
      <c r="T70" s="1" t="s">
        <v>867</v>
      </c>
      <c r="U70" s="1" t="s">
        <v>868</v>
      </c>
      <c r="V70" s="1" t="s">
        <v>869</v>
      </c>
      <c r="W70" s="1" t="s">
        <v>870</v>
      </c>
      <c r="X70" s="1" t="s">
        <v>871</v>
      </c>
      <c r="Y70" s="1" t="s">
        <v>872</v>
      </c>
      <c r="AA70" s="1" t="s">
        <v>873</v>
      </c>
      <c r="AB70" s="1" t="s">
        <v>874</v>
      </c>
      <c r="AC70" s="1" t="s">
        <v>875</v>
      </c>
      <c r="AD70" s="1" t="s">
        <v>876</v>
      </c>
    </row>
    <row r="71" spans="10:30" x14ac:dyDescent="0.25">
      <c r="Q71" s="1" t="s">
        <v>877</v>
      </c>
      <c r="R71" s="1" t="s">
        <v>878</v>
      </c>
      <c r="S71" s="1" t="s">
        <v>879</v>
      </c>
      <c r="T71" s="1" t="s">
        <v>880</v>
      </c>
      <c r="U71" s="1" t="s">
        <v>881</v>
      </c>
      <c r="V71" s="1" t="s">
        <v>882</v>
      </c>
      <c r="W71" s="1" t="s">
        <v>883</v>
      </c>
      <c r="Y71" s="1" t="s">
        <v>884</v>
      </c>
      <c r="AA71" s="1" t="s">
        <v>885</v>
      </c>
      <c r="AB71" s="1" t="s">
        <v>886</v>
      </c>
      <c r="AC71" s="1" t="s">
        <v>887</v>
      </c>
      <c r="AD71" s="1" t="s">
        <v>888</v>
      </c>
    </row>
    <row r="72" spans="10:30" x14ac:dyDescent="0.25">
      <c r="Q72" s="1" t="s">
        <v>889</v>
      </c>
      <c r="S72" s="1" t="s">
        <v>890</v>
      </c>
      <c r="T72" s="1" t="s">
        <v>891</v>
      </c>
      <c r="U72" s="1" t="s">
        <v>892</v>
      </c>
      <c r="V72" s="1" t="s">
        <v>893</v>
      </c>
      <c r="W72" s="1" t="s">
        <v>894</v>
      </c>
      <c r="X72" s="1" t="s">
        <v>895</v>
      </c>
      <c r="Y72" s="1" t="s">
        <v>896</v>
      </c>
      <c r="AA72" s="1" t="s">
        <v>897</v>
      </c>
      <c r="AB72" s="1" t="s">
        <v>898</v>
      </c>
      <c r="AC72" s="1" t="s">
        <v>899</v>
      </c>
    </row>
    <row r="73" spans="10:30" x14ac:dyDescent="0.25">
      <c r="Q73" s="1" t="s">
        <v>900</v>
      </c>
      <c r="R73" s="1" t="s">
        <v>901</v>
      </c>
      <c r="W73" s="1" t="s">
        <v>902</v>
      </c>
      <c r="X73" s="1" t="s">
        <v>903</v>
      </c>
      <c r="Y73" s="1" t="s">
        <v>904</v>
      </c>
      <c r="AA73" s="1" t="s">
        <v>905</v>
      </c>
      <c r="AC73" s="1" t="s">
        <v>906</v>
      </c>
      <c r="AD73" s="1" t="s">
        <v>907</v>
      </c>
    </row>
    <row r="74" spans="10:30" x14ac:dyDescent="0.25">
      <c r="Q74" s="1" t="s">
        <v>908</v>
      </c>
      <c r="R74" s="1" t="s">
        <v>909</v>
      </c>
      <c r="S74" s="1" t="s">
        <v>910</v>
      </c>
      <c r="T74" s="1" t="s">
        <v>911</v>
      </c>
      <c r="U74" s="1" t="s">
        <v>912</v>
      </c>
      <c r="V74" s="1" t="s">
        <v>913</v>
      </c>
      <c r="W74" s="1" t="s">
        <v>914</v>
      </c>
      <c r="X74" s="1" t="s">
        <v>915</v>
      </c>
      <c r="Y74" s="1" t="s">
        <v>916</v>
      </c>
      <c r="Z74" s="1" t="s">
        <v>917</v>
      </c>
      <c r="AA74" s="1" t="s">
        <v>918</v>
      </c>
      <c r="AB74" s="1" t="s">
        <v>919</v>
      </c>
      <c r="AC74" s="1" t="s">
        <v>920</v>
      </c>
      <c r="AD74" s="1" t="s">
        <v>921</v>
      </c>
    </row>
    <row r="75" spans="10:30" x14ac:dyDescent="0.25">
      <c r="Q75" s="1" t="s">
        <v>922</v>
      </c>
      <c r="R75" s="1" t="s">
        <v>923</v>
      </c>
      <c r="S75" s="1" t="s">
        <v>924</v>
      </c>
      <c r="T75" s="1" t="s">
        <v>925</v>
      </c>
      <c r="U75" s="1" t="s">
        <v>926</v>
      </c>
      <c r="V75" s="1" t="s">
        <v>927</v>
      </c>
      <c r="W75" s="1" t="s">
        <v>928</v>
      </c>
      <c r="X75" s="1" t="s">
        <v>929</v>
      </c>
      <c r="Y75" s="1" t="s">
        <v>930</v>
      </c>
      <c r="Z75" s="1" t="s">
        <v>931</v>
      </c>
      <c r="AA75" s="1" t="s">
        <v>932</v>
      </c>
      <c r="AB75" s="1" t="s">
        <v>933</v>
      </c>
      <c r="AC75" s="1" t="s">
        <v>934</v>
      </c>
      <c r="AD75" s="1" t="s">
        <v>935</v>
      </c>
    </row>
    <row r="76" spans="10:30" x14ac:dyDescent="0.25">
      <c r="Q76" s="1" t="s">
        <v>936</v>
      </c>
      <c r="R76" s="1" t="s">
        <v>937</v>
      </c>
      <c r="S76" s="1" t="s">
        <v>938</v>
      </c>
      <c r="T76" s="1" t="s">
        <v>939</v>
      </c>
      <c r="U76" s="1" t="s">
        <v>940</v>
      </c>
      <c r="V76" s="1" t="s">
        <v>941</v>
      </c>
      <c r="W76" s="1" t="s">
        <v>942</v>
      </c>
      <c r="X76" s="1" t="s">
        <v>943</v>
      </c>
      <c r="Y76" s="1" t="s">
        <v>944</v>
      </c>
      <c r="AA76" s="1" t="s">
        <v>945</v>
      </c>
      <c r="AB76" s="1" t="s">
        <v>946</v>
      </c>
      <c r="AC76" s="1" t="s">
        <v>947</v>
      </c>
      <c r="AD76" s="1" t="s">
        <v>948</v>
      </c>
    </row>
    <row r="77" spans="10:30" x14ac:dyDescent="0.25">
      <c r="Q77" s="1" t="s">
        <v>949</v>
      </c>
      <c r="R77" s="1" t="s">
        <v>950</v>
      </c>
      <c r="S77" s="1" t="s">
        <v>951</v>
      </c>
      <c r="T77" s="1" t="s">
        <v>952</v>
      </c>
      <c r="U77" s="1" t="s">
        <v>953</v>
      </c>
      <c r="V77" s="1" t="s">
        <v>954</v>
      </c>
      <c r="W77" s="1" t="s">
        <v>955</v>
      </c>
      <c r="X77" s="1" t="s">
        <v>956</v>
      </c>
      <c r="Y77" s="1" t="s">
        <v>957</v>
      </c>
      <c r="AA77" s="1" t="s">
        <v>958</v>
      </c>
      <c r="AB77" s="1" t="s">
        <v>959</v>
      </c>
      <c r="AC77" s="1" t="s">
        <v>960</v>
      </c>
      <c r="AD77" s="1" t="s">
        <v>961</v>
      </c>
    </row>
    <row r="78" spans="10:30" x14ac:dyDescent="0.25">
      <c r="Q78" s="1" t="s">
        <v>962</v>
      </c>
      <c r="R78" s="1" t="s">
        <v>963</v>
      </c>
      <c r="S78" s="1" t="s">
        <v>964</v>
      </c>
      <c r="T78" s="1" t="s">
        <v>965</v>
      </c>
      <c r="U78" s="1" t="s">
        <v>966</v>
      </c>
      <c r="V78" s="1" t="s">
        <v>967</v>
      </c>
      <c r="W78" s="1" t="s">
        <v>968</v>
      </c>
      <c r="X78" s="1" t="s">
        <v>969</v>
      </c>
      <c r="Y78" s="1" t="s">
        <v>970</v>
      </c>
      <c r="AA78" s="1" t="s">
        <v>971</v>
      </c>
      <c r="AB78" s="1" t="s">
        <v>972</v>
      </c>
      <c r="AC78" s="1" t="s">
        <v>973</v>
      </c>
      <c r="AD78" s="1" t="s">
        <v>974</v>
      </c>
    </row>
    <row r="80" spans="10:30" x14ac:dyDescent="0.25">
      <c r="J80" s="1" t="s">
        <v>975</v>
      </c>
      <c r="K80" s="1" t="s">
        <v>976</v>
      </c>
      <c r="L80" s="1" t="s">
        <v>977</v>
      </c>
      <c r="M80" s="1" t="s">
        <v>978</v>
      </c>
      <c r="N80" s="1" t="s">
        <v>979</v>
      </c>
      <c r="O80" s="1" t="s">
        <v>980</v>
      </c>
      <c r="P80" s="1" t="s">
        <v>981</v>
      </c>
      <c r="Q80" s="1" t="s">
        <v>982</v>
      </c>
      <c r="R80" s="1" t="s">
        <v>983</v>
      </c>
      <c r="T80" s="1" t="s">
        <v>984</v>
      </c>
      <c r="U80" s="1" t="s">
        <v>985</v>
      </c>
      <c r="V80" s="1" t="s">
        <v>986</v>
      </c>
      <c r="W80" s="1" t="s">
        <v>987</v>
      </c>
    </row>
    <row r="81" spans="10:23" x14ac:dyDescent="0.25">
      <c r="J81" s="1" t="s">
        <v>988</v>
      </c>
      <c r="K81" s="1" t="s">
        <v>989</v>
      </c>
      <c r="L81" s="1" t="s">
        <v>990</v>
      </c>
      <c r="M81" s="1" t="s">
        <v>991</v>
      </c>
      <c r="N81" s="1" t="s">
        <v>992</v>
      </c>
      <c r="O81" s="1" t="s">
        <v>993</v>
      </c>
      <c r="P81" s="1" t="s">
        <v>994</v>
      </c>
      <c r="Q81" s="1" t="s">
        <v>995</v>
      </c>
      <c r="R81" s="1" t="s">
        <v>996</v>
      </c>
      <c r="T81" s="1" t="s">
        <v>997</v>
      </c>
      <c r="U81" s="1" t="s">
        <v>998</v>
      </c>
      <c r="V81" s="1" t="s">
        <v>999</v>
      </c>
      <c r="W81" s="1" t="s">
        <v>1000</v>
      </c>
    </row>
    <row r="82" spans="10:23" x14ac:dyDescent="0.25">
      <c r="J82" s="1" t="s">
        <v>1001</v>
      </c>
      <c r="K82" s="1" t="s">
        <v>1002</v>
      </c>
      <c r="L82" s="1" t="s">
        <v>1003</v>
      </c>
      <c r="M82" s="1" t="s">
        <v>1004</v>
      </c>
      <c r="N82" s="1" t="s">
        <v>1005</v>
      </c>
      <c r="O82" s="1" t="s">
        <v>1006</v>
      </c>
      <c r="P82" s="1" t="s">
        <v>1007</v>
      </c>
      <c r="Q82" s="1" t="s">
        <v>1008</v>
      </c>
      <c r="R82" s="1" t="s">
        <v>1009</v>
      </c>
      <c r="T82" s="1" t="s">
        <v>1010</v>
      </c>
      <c r="U82" s="1" t="s">
        <v>1011</v>
      </c>
      <c r="V82" s="1" t="s">
        <v>1012</v>
      </c>
      <c r="W82" s="1" t="s">
        <v>1013</v>
      </c>
    </row>
    <row r="83" spans="10:23" x14ac:dyDescent="0.25">
      <c r="J83" s="1" t="s">
        <v>1014</v>
      </c>
      <c r="K83" s="1" t="s">
        <v>1015</v>
      </c>
      <c r="L83" s="1" t="s">
        <v>1016</v>
      </c>
      <c r="M83" s="1" t="s">
        <v>1017</v>
      </c>
      <c r="N83" s="1" t="s">
        <v>1018</v>
      </c>
      <c r="O83" s="1" t="s">
        <v>1019</v>
      </c>
      <c r="P83" s="1" t="s">
        <v>1020</v>
      </c>
      <c r="Q83" s="1" t="s">
        <v>1021</v>
      </c>
      <c r="R83" s="1" t="s">
        <v>1022</v>
      </c>
      <c r="S83" s="1" t="s">
        <v>1023</v>
      </c>
      <c r="T83" s="1" t="s">
        <v>1024</v>
      </c>
      <c r="U83" s="1" t="s">
        <v>1025</v>
      </c>
      <c r="V83" s="1" t="s">
        <v>1026</v>
      </c>
      <c r="W83" s="1" t="s">
        <v>1027</v>
      </c>
    </row>
    <row r="85" spans="10:23" x14ac:dyDescent="0.25">
      <c r="J85" s="1" t="s">
        <v>1028</v>
      </c>
      <c r="K85" s="1" t="s">
        <v>1029</v>
      </c>
      <c r="L85" s="1" t="s">
        <v>1030</v>
      </c>
      <c r="M85" s="1" t="s">
        <v>1031</v>
      </c>
      <c r="N85" s="1" t="s">
        <v>1032</v>
      </c>
      <c r="O85" s="1" t="s">
        <v>1033</v>
      </c>
      <c r="P85" s="1" t="s">
        <v>1034</v>
      </c>
      <c r="Q85" s="1" t="s">
        <v>1035</v>
      </c>
      <c r="R85" s="1" t="s">
        <v>1036</v>
      </c>
      <c r="S85" s="1" t="s">
        <v>1037</v>
      </c>
      <c r="T85" s="1" t="s">
        <v>1038</v>
      </c>
      <c r="U85" s="1" t="s">
        <v>1039</v>
      </c>
      <c r="V85" s="1" t="s">
        <v>1040</v>
      </c>
      <c r="W85" s="1" t="s">
        <v>1041</v>
      </c>
    </row>
    <row r="86" spans="10:23" x14ac:dyDescent="0.25">
      <c r="J86" s="1" t="s">
        <v>1042</v>
      </c>
      <c r="K86" s="1" t="s">
        <v>1043</v>
      </c>
      <c r="L86" s="1" t="s">
        <v>1044</v>
      </c>
      <c r="M86" s="1" t="s">
        <v>1045</v>
      </c>
      <c r="N86" s="1" t="s">
        <v>1046</v>
      </c>
      <c r="O86" s="1" t="s">
        <v>1047</v>
      </c>
      <c r="P86" s="1" t="s">
        <v>1048</v>
      </c>
      <c r="Q86" s="1" t="s">
        <v>1049</v>
      </c>
      <c r="R86" s="1" t="s">
        <v>1050</v>
      </c>
      <c r="S86" s="1" t="s">
        <v>1051</v>
      </c>
      <c r="T86" s="1" t="s">
        <v>1052</v>
      </c>
      <c r="U86" s="1" t="s">
        <v>1053</v>
      </c>
      <c r="V86" s="1" t="s">
        <v>1054</v>
      </c>
      <c r="W86" s="1" t="s">
        <v>1055</v>
      </c>
    </row>
    <row r="87" spans="10:23" x14ac:dyDescent="0.25">
      <c r="J87" s="1" t="s">
        <v>1056</v>
      </c>
      <c r="K87" s="1" t="s">
        <v>1057</v>
      </c>
      <c r="L87" s="1" t="s">
        <v>1058</v>
      </c>
      <c r="M87" s="1" t="s">
        <v>1059</v>
      </c>
      <c r="N87" s="1" t="s">
        <v>1060</v>
      </c>
      <c r="O87" s="1" t="s">
        <v>1061</v>
      </c>
      <c r="P87" s="1" t="s">
        <v>1062</v>
      </c>
      <c r="Q87" s="1" t="s">
        <v>1063</v>
      </c>
      <c r="R87" s="1" t="s">
        <v>1064</v>
      </c>
      <c r="T87" s="1" t="s">
        <v>1065</v>
      </c>
      <c r="U87" s="1" t="s">
        <v>1066</v>
      </c>
      <c r="V87" s="1" t="s">
        <v>1067</v>
      </c>
      <c r="W87" s="1" t="s">
        <v>1068</v>
      </c>
    </row>
    <row r="89" spans="10:23" x14ac:dyDescent="0.25">
      <c r="J89" s="1" t="s">
        <v>1069</v>
      </c>
      <c r="K89" s="1" t="s">
        <v>1070</v>
      </c>
      <c r="L89" s="1" t="s">
        <v>1071</v>
      </c>
      <c r="M89" s="1" t="s">
        <v>1072</v>
      </c>
      <c r="N89" s="1" t="s">
        <v>1073</v>
      </c>
      <c r="O89" s="1" t="s">
        <v>1074</v>
      </c>
      <c r="P89" s="1" t="s">
        <v>1075</v>
      </c>
      <c r="Q89" s="1" t="s">
        <v>1076</v>
      </c>
      <c r="R89" s="1" t="s">
        <v>1077</v>
      </c>
      <c r="T89" s="1" t="s">
        <v>1078</v>
      </c>
      <c r="U89" s="1" t="s">
        <v>1079</v>
      </c>
      <c r="V89" s="1" t="s">
        <v>1080</v>
      </c>
      <c r="W89" s="1" t="s">
        <v>1081</v>
      </c>
    </row>
    <row r="90" spans="10:23" x14ac:dyDescent="0.25">
      <c r="J90" s="1" t="s">
        <v>1082</v>
      </c>
      <c r="K90" s="1" t="s">
        <v>1083</v>
      </c>
      <c r="L90" s="1" t="s">
        <v>1084</v>
      </c>
      <c r="M90" s="1" t="s">
        <v>1085</v>
      </c>
      <c r="N90" s="1" t="s">
        <v>1086</v>
      </c>
      <c r="O90" s="1" t="s">
        <v>1087</v>
      </c>
      <c r="P90" s="1" t="s">
        <v>1088</v>
      </c>
      <c r="Q90" s="1" t="s">
        <v>1089</v>
      </c>
      <c r="R90" s="1" t="s">
        <v>1090</v>
      </c>
      <c r="S90" s="1" t="s">
        <v>1091</v>
      </c>
      <c r="T90" s="1" t="s">
        <v>1092</v>
      </c>
      <c r="U90" s="1" t="s">
        <v>1093</v>
      </c>
      <c r="V90" s="1" t="s">
        <v>1094</v>
      </c>
      <c r="W90" s="1" t="s">
        <v>1095</v>
      </c>
    </row>
    <row r="91" spans="10:23" x14ac:dyDescent="0.25">
      <c r="J91" s="1" t="s">
        <v>1096</v>
      </c>
      <c r="K91" s="1" t="s">
        <v>1097</v>
      </c>
      <c r="L91" s="1" t="s">
        <v>1098</v>
      </c>
      <c r="M91" s="1" t="s">
        <v>1099</v>
      </c>
      <c r="N91" s="1" t="s">
        <v>1100</v>
      </c>
      <c r="O91" s="1" t="s">
        <v>1101</v>
      </c>
      <c r="P91" s="1" t="s">
        <v>1102</v>
      </c>
      <c r="Q91" s="1" t="s">
        <v>1103</v>
      </c>
      <c r="R91" s="1" t="s">
        <v>1104</v>
      </c>
      <c r="S91" s="1" t="s">
        <v>1105</v>
      </c>
      <c r="T91" s="1" t="s">
        <v>1106</v>
      </c>
      <c r="U91" s="1" t="s">
        <v>1107</v>
      </c>
      <c r="V91" s="1" t="s">
        <v>1108</v>
      </c>
      <c r="W91" s="1" t="s">
        <v>1109</v>
      </c>
    </row>
    <row r="92" spans="10:23" x14ac:dyDescent="0.25">
      <c r="J92" s="1" t="s">
        <v>1110</v>
      </c>
      <c r="K92" s="1" t="s">
        <v>1111</v>
      </c>
      <c r="L92" s="1" t="s">
        <v>1112</v>
      </c>
      <c r="M92" s="1" t="s">
        <v>1113</v>
      </c>
      <c r="N92" s="1" t="s">
        <v>1114</v>
      </c>
      <c r="O92" s="1" t="s">
        <v>1115</v>
      </c>
      <c r="P92" s="1" t="s">
        <v>1116</v>
      </c>
      <c r="Q92" s="1" t="s">
        <v>1117</v>
      </c>
      <c r="R92" s="1" t="s">
        <v>1118</v>
      </c>
      <c r="T92" s="1" t="s">
        <v>1119</v>
      </c>
      <c r="U92" s="1" t="s">
        <v>1120</v>
      </c>
      <c r="V92" s="1" t="s">
        <v>1121</v>
      </c>
      <c r="W92" s="1" t="s">
        <v>1122</v>
      </c>
    </row>
    <row r="93" spans="10:23" x14ac:dyDescent="0.25">
      <c r="J93" s="1" t="s">
        <v>1123</v>
      </c>
      <c r="K93" s="1" t="s">
        <v>1124</v>
      </c>
      <c r="L93" s="1" t="s">
        <v>1125</v>
      </c>
      <c r="M93" s="1" t="s">
        <v>1126</v>
      </c>
      <c r="N93" s="1" t="s">
        <v>1127</v>
      </c>
      <c r="O93" s="1" t="s">
        <v>1128</v>
      </c>
      <c r="P93" s="1" t="s">
        <v>1129</v>
      </c>
      <c r="Q93" s="1" t="s">
        <v>1130</v>
      </c>
      <c r="R93" s="1" t="s">
        <v>1131</v>
      </c>
      <c r="T93" s="1" t="s">
        <v>1132</v>
      </c>
      <c r="U93" s="1" t="s">
        <v>1133</v>
      </c>
      <c r="V93" s="1" t="s">
        <v>1134</v>
      </c>
      <c r="W93" s="1" t="s">
        <v>1135</v>
      </c>
    </row>
    <row r="94" spans="10:23" x14ac:dyDescent="0.25">
      <c r="J94" s="1" t="s">
        <v>1136</v>
      </c>
      <c r="K94" s="1" t="s">
        <v>1137</v>
      </c>
      <c r="L94" s="1" t="s">
        <v>1138</v>
      </c>
      <c r="M94" s="1" t="s">
        <v>1139</v>
      </c>
      <c r="N94" s="1" t="s">
        <v>1140</v>
      </c>
      <c r="O94" s="1" t="s">
        <v>1141</v>
      </c>
      <c r="P94" s="1" t="s">
        <v>1142</v>
      </c>
      <c r="Q94" s="1" t="s">
        <v>1143</v>
      </c>
      <c r="R94" s="1" t="s">
        <v>1144</v>
      </c>
      <c r="T94" s="1" t="s">
        <v>1145</v>
      </c>
      <c r="U94" s="1" t="s">
        <v>1146</v>
      </c>
      <c r="V94" s="1" t="s">
        <v>1147</v>
      </c>
      <c r="W94" s="1" t="s">
        <v>1148</v>
      </c>
    </row>
    <row r="95" spans="10:23" x14ac:dyDescent="0.25">
      <c r="J95" s="1" t="s">
        <v>1149</v>
      </c>
      <c r="K95" s="1" t="s">
        <v>1150</v>
      </c>
      <c r="L95" s="1" t="s">
        <v>1151</v>
      </c>
      <c r="M95" s="1" t="s">
        <v>1152</v>
      </c>
      <c r="N95" s="1" t="s">
        <v>1153</v>
      </c>
      <c r="O95" s="1" t="s">
        <v>1154</v>
      </c>
      <c r="P95" s="1" t="s">
        <v>1155</v>
      </c>
      <c r="Q95" s="1" t="s">
        <v>1156</v>
      </c>
      <c r="R95" s="1" t="s">
        <v>1157</v>
      </c>
      <c r="T95" s="1" t="s">
        <v>1158</v>
      </c>
      <c r="U95" s="1" t="s">
        <v>1159</v>
      </c>
      <c r="V95" s="1" t="s">
        <v>1160</v>
      </c>
      <c r="W95" s="1" t="s">
        <v>1161</v>
      </c>
    </row>
    <row r="97" spans="10:22" x14ac:dyDescent="0.25">
      <c r="J97" s="1" t="s">
        <v>1162</v>
      </c>
      <c r="K97" s="1" t="s">
        <v>1163</v>
      </c>
      <c r="L97" s="1" t="s">
        <v>1164</v>
      </c>
      <c r="M97" s="1" t="s">
        <v>1165</v>
      </c>
      <c r="N97" s="1" t="s">
        <v>1166</v>
      </c>
      <c r="O97" s="1" t="s">
        <v>1167</v>
      </c>
      <c r="P97" s="1" t="s">
        <v>1168</v>
      </c>
      <c r="Q97" s="1" t="s">
        <v>1169</v>
      </c>
      <c r="R97" s="1" t="s">
        <v>1170</v>
      </c>
      <c r="S97" s="1" t="s">
        <v>1171</v>
      </c>
      <c r="T97" s="1" t="s">
        <v>1172</v>
      </c>
      <c r="U97" s="1" t="s">
        <v>1173</v>
      </c>
      <c r="V97" s="1" t="s">
        <v>1174</v>
      </c>
    </row>
    <row r="98" spans="10:22" x14ac:dyDescent="0.25">
      <c r="J98" s="1" t="s">
        <v>1175</v>
      </c>
      <c r="K98" s="1" t="s">
        <v>1176</v>
      </c>
      <c r="L98" s="1" t="s">
        <v>1177</v>
      </c>
      <c r="M98" s="1" t="s">
        <v>1178</v>
      </c>
      <c r="N98" s="1" t="s">
        <v>1179</v>
      </c>
      <c r="O98" s="1" t="s">
        <v>1180</v>
      </c>
      <c r="P98" s="1" t="s">
        <v>1181</v>
      </c>
      <c r="Q98" s="1" t="s">
        <v>1182</v>
      </c>
      <c r="R98" s="1" t="s">
        <v>1183</v>
      </c>
      <c r="S98" s="1" t="s">
        <v>1184</v>
      </c>
      <c r="T98" s="1" t="s">
        <v>1185</v>
      </c>
      <c r="U98" s="1" t="s">
        <v>1186</v>
      </c>
      <c r="V98" s="1" t="s">
        <v>1187</v>
      </c>
    </row>
    <row r="99" spans="10:22" x14ac:dyDescent="0.25">
      <c r="J99" s="1" t="s">
        <v>1188</v>
      </c>
      <c r="K99" s="1" t="s">
        <v>1189</v>
      </c>
      <c r="L99" s="1" t="s">
        <v>1190</v>
      </c>
      <c r="M99" s="1" t="s">
        <v>1191</v>
      </c>
      <c r="N99" s="1" t="s">
        <v>1192</v>
      </c>
      <c r="O99" s="1" t="s">
        <v>1193</v>
      </c>
      <c r="P99" s="1" t="s">
        <v>1194</v>
      </c>
      <c r="Q99" s="1" t="s">
        <v>1195</v>
      </c>
      <c r="R99" s="1" t="s">
        <v>1196</v>
      </c>
      <c r="S99" s="1" t="s">
        <v>1197</v>
      </c>
      <c r="T99" s="1" t="s">
        <v>1198</v>
      </c>
      <c r="U99" s="1" t="s">
        <v>1199</v>
      </c>
      <c r="V99" s="1" t="s">
        <v>1200</v>
      </c>
    </row>
    <row r="101" spans="10:22" x14ac:dyDescent="0.25">
      <c r="J101" s="1" t="s">
        <v>1201</v>
      </c>
      <c r="K101" s="1" t="s">
        <v>1202</v>
      </c>
      <c r="L101" s="1" t="s">
        <v>1203</v>
      </c>
      <c r="M101" s="1" t="s">
        <v>1204</v>
      </c>
      <c r="N101" s="1" t="s">
        <v>1205</v>
      </c>
      <c r="O101" s="1" t="s">
        <v>1206</v>
      </c>
      <c r="P101" s="1" t="s">
        <v>1207</v>
      </c>
      <c r="Q101" s="1" t="s">
        <v>1208</v>
      </c>
      <c r="R101" s="1" t="s">
        <v>1209</v>
      </c>
      <c r="S101" s="1" t="s">
        <v>1210</v>
      </c>
      <c r="T101" s="1" t="s">
        <v>1211</v>
      </c>
      <c r="U101" s="1" t="s">
        <v>1212</v>
      </c>
      <c r="V101" s="1" t="s">
        <v>1213</v>
      </c>
    </row>
    <row r="103" spans="10:22" x14ac:dyDescent="0.25">
      <c r="J103" s="1" t="s">
        <v>1214</v>
      </c>
      <c r="K103" s="1" t="s">
        <v>1215</v>
      </c>
      <c r="L103" s="1" t="s">
        <v>1216</v>
      </c>
      <c r="M103" s="1" t="s">
        <v>1217</v>
      </c>
      <c r="N103" s="1" t="s">
        <v>1218</v>
      </c>
      <c r="O103" s="1" t="s">
        <v>1219</v>
      </c>
      <c r="P103" s="1" t="s">
        <v>1220</v>
      </c>
      <c r="Q103" s="1" t="s">
        <v>1221</v>
      </c>
      <c r="R103" s="1" t="s">
        <v>1222</v>
      </c>
      <c r="S103" s="1" t="s">
        <v>1223</v>
      </c>
      <c r="T103" s="1" t="s">
        <v>1224</v>
      </c>
    </row>
    <row r="104" spans="10:22" x14ac:dyDescent="0.25">
      <c r="J104" s="1" t="s">
        <v>1225</v>
      </c>
      <c r="K104" s="1" t="s">
        <v>1226</v>
      </c>
      <c r="L104" s="1" t="s">
        <v>1227</v>
      </c>
      <c r="M104" s="1" t="s">
        <v>1228</v>
      </c>
      <c r="N104" s="1" t="s">
        <v>1229</v>
      </c>
      <c r="O104" s="1" t="s">
        <v>1230</v>
      </c>
      <c r="P104" s="1" t="s">
        <v>1231</v>
      </c>
      <c r="Q104" s="1" t="s">
        <v>1232</v>
      </c>
      <c r="R104" s="1" t="s">
        <v>1233</v>
      </c>
      <c r="S104" s="1" t="s">
        <v>1234</v>
      </c>
      <c r="T104" s="1" t="s">
        <v>1235</v>
      </c>
    </row>
    <row r="106" spans="10:22" x14ac:dyDescent="0.25">
      <c r="J106" s="1" t="s">
        <v>1236</v>
      </c>
      <c r="K106" s="1" t="s">
        <v>1237</v>
      </c>
      <c r="L106" s="1" t="s">
        <v>1238</v>
      </c>
      <c r="M106" s="1" t="s">
        <v>1239</v>
      </c>
      <c r="N106" s="1" t="s">
        <v>1240</v>
      </c>
      <c r="O106" s="1" t="s">
        <v>1241</v>
      </c>
      <c r="P106" s="1" t="s">
        <v>1242</v>
      </c>
      <c r="Q106" s="1" t="s">
        <v>1243</v>
      </c>
      <c r="R106" s="1" t="s">
        <v>1244</v>
      </c>
      <c r="S106" s="1" t="s">
        <v>1245</v>
      </c>
      <c r="T106" s="1" t="s">
        <v>1246</v>
      </c>
      <c r="U106" s="1" t="s">
        <v>1247</v>
      </c>
    </row>
    <row r="108" spans="10:22" x14ac:dyDescent="0.25">
      <c r="J108" s="1" t="s">
        <v>1248</v>
      </c>
      <c r="K108" s="1" t="s">
        <v>1249</v>
      </c>
      <c r="L108" s="1" t="s">
        <v>1250</v>
      </c>
      <c r="M108" s="1" t="s">
        <v>1251</v>
      </c>
      <c r="N108" s="1" t="s">
        <v>1252</v>
      </c>
      <c r="O108" s="1" t="s">
        <v>1253</v>
      </c>
      <c r="P108" s="1" t="s">
        <v>1254</v>
      </c>
      <c r="Q108" s="1" t="s">
        <v>1255</v>
      </c>
      <c r="R108" s="1" t="s">
        <v>1256</v>
      </c>
      <c r="S108" s="1" t="s">
        <v>1257</v>
      </c>
      <c r="T108" s="1" t="s">
        <v>1258</v>
      </c>
    </row>
    <row r="109" spans="10:22" x14ac:dyDescent="0.25">
      <c r="J109" s="1" t="s">
        <v>1259</v>
      </c>
      <c r="K109" s="1" t="s">
        <v>1260</v>
      </c>
      <c r="L109" s="1" t="s">
        <v>1261</v>
      </c>
      <c r="M109" s="1" t="s">
        <v>1262</v>
      </c>
      <c r="N109" s="1" t="s">
        <v>1263</v>
      </c>
      <c r="O109" s="1" t="s">
        <v>1264</v>
      </c>
      <c r="P109" s="1" t="s">
        <v>1265</v>
      </c>
      <c r="Q109" s="1" t="s">
        <v>1266</v>
      </c>
      <c r="R109" s="1" t="s">
        <v>1267</v>
      </c>
      <c r="S109" s="1" t="s">
        <v>1268</v>
      </c>
      <c r="T109" s="1" t="s">
        <v>1269</v>
      </c>
    </row>
    <row r="110" spans="10:22" x14ac:dyDescent="0.25">
      <c r="J110" s="1" t="s">
        <v>1270</v>
      </c>
      <c r="K110" s="1" t="s">
        <v>1271</v>
      </c>
      <c r="L110" s="1" t="s">
        <v>1272</v>
      </c>
      <c r="M110" s="1" t="s">
        <v>1273</v>
      </c>
      <c r="N110" s="1" t="s">
        <v>1274</v>
      </c>
      <c r="O110" s="1" t="s">
        <v>1275</v>
      </c>
      <c r="P110" s="1" t="s">
        <v>1276</v>
      </c>
      <c r="Q110" s="1" t="s">
        <v>1277</v>
      </c>
      <c r="R110" s="1" t="s">
        <v>1278</v>
      </c>
      <c r="S110" s="1" t="s">
        <v>1279</v>
      </c>
      <c r="T110" s="1" t="s">
        <v>1280</v>
      </c>
    </row>
    <row r="111" spans="10:22" x14ac:dyDescent="0.25">
      <c r="L111" s="1" t="s">
        <v>1281</v>
      </c>
      <c r="M111" s="1" t="s">
        <v>1282</v>
      </c>
      <c r="N111" s="1" t="s">
        <v>1283</v>
      </c>
      <c r="O111" s="1" t="s">
        <v>1284</v>
      </c>
      <c r="P111" s="1" t="s">
        <v>1285</v>
      </c>
    </row>
    <row r="113" spans="10:28" x14ac:dyDescent="0.25">
      <c r="J113" s="1" t="s">
        <v>1286</v>
      </c>
      <c r="K113" s="1" t="s">
        <v>1287</v>
      </c>
      <c r="L113" s="1" t="s">
        <v>1288</v>
      </c>
      <c r="M113" s="1" t="s">
        <v>1289</v>
      </c>
      <c r="N113" s="1" t="s">
        <v>1290</v>
      </c>
      <c r="O113" s="1" t="s">
        <v>1291</v>
      </c>
      <c r="P113" s="1" t="s">
        <v>1292</v>
      </c>
      <c r="Q113" s="1" t="s">
        <v>1293</v>
      </c>
      <c r="R113" s="1" t="s">
        <v>1294</v>
      </c>
      <c r="S113" s="1" t="s">
        <v>1295</v>
      </c>
      <c r="T113" s="1" t="s">
        <v>1296</v>
      </c>
    </row>
    <row r="115" spans="10:28" x14ac:dyDescent="0.25">
      <c r="J115" s="1" t="s">
        <v>1297</v>
      </c>
      <c r="K115" s="1" t="s">
        <v>1298</v>
      </c>
      <c r="L115" s="1" t="s">
        <v>1299</v>
      </c>
      <c r="M115" s="1" t="s">
        <v>1300</v>
      </c>
      <c r="N115" s="1" t="s">
        <v>1301</v>
      </c>
      <c r="O115" s="1" t="s">
        <v>1302</v>
      </c>
      <c r="P115" s="1" t="s">
        <v>1303</v>
      </c>
      <c r="Q115" s="1" t="s">
        <v>1304</v>
      </c>
      <c r="R115" s="1" t="s">
        <v>1305</v>
      </c>
      <c r="S115" s="1" t="s">
        <v>1306</v>
      </c>
      <c r="T115" s="1" t="s">
        <v>1307</v>
      </c>
    </row>
    <row r="119" spans="10:28" x14ac:dyDescent="0.25">
      <c r="J119" s="1" t="s">
        <v>1308</v>
      </c>
      <c r="K119" s="1" t="s">
        <v>1309</v>
      </c>
      <c r="L119" s="1" t="s">
        <v>1310</v>
      </c>
      <c r="M119" s="1" t="s">
        <v>1311</v>
      </c>
      <c r="N119" s="1" t="s">
        <v>1312</v>
      </c>
      <c r="O119" s="1" t="s">
        <v>1313</v>
      </c>
      <c r="P119" s="1" t="s">
        <v>1314</v>
      </c>
      <c r="Q119" s="1" t="s">
        <v>1315</v>
      </c>
      <c r="R119" s="1" t="s">
        <v>1316</v>
      </c>
      <c r="S119" s="1" t="s">
        <v>1317</v>
      </c>
      <c r="T119" s="1" t="s">
        <v>1318</v>
      </c>
      <c r="U119" s="1" t="s">
        <v>1319</v>
      </c>
    </row>
    <row r="120" spans="10:28" x14ac:dyDescent="0.25">
      <c r="J120" s="1" t="s">
        <v>1320</v>
      </c>
      <c r="K120" s="1" t="s">
        <v>1321</v>
      </c>
      <c r="L120" s="1" t="s">
        <v>1322</v>
      </c>
      <c r="M120" s="1" t="s">
        <v>1323</v>
      </c>
      <c r="N120" s="1" t="s">
        <v>1324</v>
      </c>
      <c r="O120" s="1" t="s">
        <v>1325</v>
      </c>
      <c r="P120" s="1" t="s">
        <v>1326</v>
      </c>
      <c r="Q120" s="1" t="s">
        <v>1327</v>
      </c>
      <c r="R120" s="1" t="s">
        <v>1328</v>
      </c>
      <c r="S120" s="1" t="s">
        <v>1329</v>
      </c>
      <c r="T120" s="1" t="s">
        <v>1330</v>
      </c>
      <c r="U120" s="1" t="s">
        <v>1331</v>
      </c>
    </row>
    <row r="121" spans="10:28" x14ac:dyDescent="0.25">
      <c r="J121" s="1" t="s">
        <v>1332</v>
      </c>
      <c r="K121" s="1" t="s">
        <v>1333</v>
      </c>
      <c r="L121" s="1" t="s">
        <v>1334</v>
      </c>
      <c r="M121" s="1" t="s">
        <v>1335</v>
      </c>
      <c r="N121" s="1" t="s">
        <v>1336</v>
      </c>
      <c r="O121" s="1" t="s">
        <v>1337</v>
      </c>
      <c r="P121" s="1" t="s">
        <v>1338</v>
      </c>
      <c r="Q121" s="1" t="s">
        <v>1339</v>
      </c>
      <c r="R121" s="1" t="s">
        <v>1340</v>
      </c>
      <c r="S121" s="1" t="s">
        <v>1341</v>
      </c>
      <c r="T121" s="1" t="s">
        <v>1342</v>
      </c>
      <c r="U121" s="1" t="s">
        <v>1343</v>
      </c>
    </row>
    <row r="122" spans="10:28" x14ac:dyDescent="0.25">
      <c r="J122" s="1" t="s">
        <v>1344</v>
      </c>
      <c r="K122" s="1" t="s">
        <v>1345</v>
      </c>
      <c r="M122" s="1" t="s">
        <v>1346</v>
      </c>
      <c r="O122" s="1" t="s">
        <v>1347</v>
      </c>
      <c r="P122" s="1" t="s">
        <v>1348</v>
      </c>
      <c r="Q122" s="1" t="s">
        <v>1349</v>
      </c>
      <c r="R122" s="1" t="s">
        <v>1350</v>
      </c>
      <c r="S122" s="1" t="s">
        <v>1351</v>
      </c>
      <c r="T122" s="1" t="s">
        <v>1352</v>
      </c>
      <c r="U122" s="1" t="s">
        <v>1353</v>
      </c>
      <c r="V122" s="1" t="s">
        <v>1354</v>
      </c>
      <c r="W122" s="1" t="s">
        <v>1355</v>
      </c>
      <c r="X122" s="1" t="s">
        <v>1356</v>
      </c>
      <c r="Y122" s="1" t="s">
        <v>1357</v>
      </c>
      <c r="Z122" s="1" t="s">
        <v>1358</v>
      </c>
      <c r="AA122" s="1" t="s">
        <v>1359</v>
      </c>
      <c r="AB122" s="1" t="s">
        <v>1360</v>
      </c>
    </row>
    <row r="124" spans="10:28" x14ac:dyDescent="0.25">
      <c r="J124" s="1" t="s">
        <v>1361</v>
      </c>
      <c r="K124" s="1" t="s">
        <v>1362</v>
      </c>
      <c r="N124" s="1" t="s">
        <v>1363</v>
      </c>
    </row>
    <row r="126" spans="10:28" x14ac:dyDescent="0.25">
      <c r="J126" s="1" t="s">
        <v>1364</v>
      </c>
      <c r="K126" s="1" t="s">
        <v>1365</v>
      </c>
      <c r="L126" s="1" t="s">
        <v>1366</v>
      </c>
      <c r="M126" s="1" t="s">
        <v>1367</v>
      </c>
      <c r="N126" s="1" t="s">
        <v>1368</v>
      </c>
      <c r="O126" s="1" t="s">
        <v>1369</v>
      </c>
      <c r="P126" s="1" t="s">
        <v>1370</v>
      </c>
      <c r="Q126" s="1" t="s">
        <v>1371</v>
      </c>
      <c r="R126" s="1" t="s">
        <v>1372</v>
      </c>
      <c r="S126" s="1" t="s">
        <v>1373</v>
      </c>
      <c r="T126" s="1" t="s">
        <v>1374</v>
      </c>
      <c r="U126" s="1" t="s">
        <v>1375</v>
      </c>
      <c r="V126" s="1" t="s">
        <v>1376</v>
      </c>
    </row>
    <row r="127" spans="10:28" x14ac:dyDescent="0.25">
      <c r="J127" s="1" t="s">
        <v>1377</v>
      </c>
      <c r="K127" s="1" t="s">
        <v>1378</v>
      </c>
      <c r="L127" s="1" t="s">
        <v>1379</v>
      </c>
      <c r="M127" s="1" t="s">
        <v>1380</v>
      </c>
      <c r="N127" s="1" t="s">
        <v>1381</v>
      </c>
      <c r="O127" s="1" t="s">
        <v>1382</v>
      </c>
      <c r="P127" s="1" t="s">
        <v>1383</v>
      </c>
      <c r="Q127" s="1" t="s">
        <v>1384</v>
      </c>
      <c r="R127" s="1" t="s">
        <v>1385</v>
      </c>
      <c r="S127" s="1" t="s">
        <v>1386</v>
      </c>
      <c r="U127" s="1" t="s">
        <v>1387</v>
      </c>
      <c r="V127" s="1" t="s">
        <v>1388</v>
      </c>
    </row>
    <row r="129" spans="10:15" x14ac:dyDescent="0.25">
      <c r="J129" s="1" t="s">
        <v>1389</v>
      </c>
      <c r="K129" s="1" t="s">
        <v>1390</v>
      </c>
      <c r="L129" s="1" t="s">
        <v>1391</v>
      </c>
      <c r="M129" s="1" t="s">
        <v>1392</v>
      </c>
      <c r="N129" s="1" t="s">
        <v>1393</v>
      </c>
      <c r="O129" s="1" t="s">
        <v>1394</v>
      </c>
    </row>
    <row r="130" spans="10:15" x14ac:dyDescent="0.25">
      <c r="J130" s="1" t="s">
        <v>1395</v>
      </c>
      <c r="K130" s="1" t="s">
        <v>1396</v>
      </c>
      <c r="L130" s="1" t="s">
        <v>1397</v>
      </c>
      <c r="M130" s="1" t="s">
        <v>1398</v>
      </c>
      <c r="N130" s="1" t="s">
        <v>1399</v>
      </c>
      <c r="O130" s="1" t="s">
        <v>1400</v>
      </c>
    </row>
    <row r="133" spans="10:15" x14ac:dyDescent="0.25">
      <c r="J133" s="1" t="s">
        <v>1401</v>
      </c>
    </row>
  </sheetData>
  <sheetProtection password="E42B" sheet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holesalePrice"/>
  <dimension ref="A16:AD133"/>
  <sheetViews>
    <sheetView workbookViewId="0"/>
  </sheetViews>
  <sheetFormatPr defaultRowHeight="15" x14ac:dyDescent="0.25"/>
  <cols>
    <col min="1" max="1" width="12" style="1" customWidth="1"/>
    <col min="2" max="2" width="3" style="1" customWidth="1"/>
    <col min="3" max="3" width="48" style="1" customWidth="1"/>
    <col min="4" max="4" width="0" style="1" hidden="1" customWidth="1"/>
    <col min="5" max="5" width="3" style="1" customWidth="1"/>
    <col min="6" max="6" width="12" style="1" customWidth="1"/>
    <col min="7" max="7" width="14" style="1" customWidth="1"/>
  </cols>
  <sheetData>
    <row r="16" spans="10:22" x14ac:dyDescent="0.25">
      <c r="J16" s="40">
        <v>80</v>
      </c>
      <c r="K16" s="40">
        <v>80</v>
      </c>
      <c r="L16" s="40">
        <v>80</v>
      </c>
      <c r="M16" s="40">
        <v>80</v>
      </c>
      <c r="N16" s="40">
        <v>80</v>
      </c>
      <c r="O16" s="40">
        <v>80</v>
      </c>
      <c r="P16" s="40">
        <v>80</v>
      </c>
      <c r="Q16" s="40">
        <v>80</v>
      </c>
      <c r="R16" s="40">
        <v>80</v>
      </c>
      <c r="S16" s="40">
        <v>80</v>
      </c>
      <c r="T16" s="40">
        <v>80</v>
      </c>
      <c r="U16" s="40">
        <v>80</v>
      </c>
      <c r="V16" s="40">
        <v>80</v>
      </c>
    </row>
    <row r="17" spans="10:30" x14ac:dyDescent="0.25">
      <c r="J17" s="40">
        <v>80</v>
      </c>
      <c r="K17" s="40">
        <v>80</v>
      </c>
      <c r="L17" s="40">
        <v>80</v>
      </c>
      <c r="M17" s="40">
        <v>80</v>
      </c>
      <c r="N17" s="40">
        <v>80</v>
      </c>
      <c r="O17" s="40">
        <v>80</v>
      </c>
      <c r="P17" s="40">
        <v>80</v>
      </c>
      <c r="Q17" s="40">
        <v>80</v>
      </c>
      <c r="R17" s="40">
        <v>80</v>
      </c>
      <c r="S17" s="40">
        <v>80</v>
      </c>
      <c r="T17" s="40">
        <v>80</v>
      </c>
      <c r="U17" s="40">
        <v>80</v>
      </c>
      <c r="V17" s="40">
        <v>80</v>
      </c>
    </row>
    <row r="18" spans="10:30" x14ac:dyDescent="0.25">
      <c r="J18" s="40">
        <v>75</v>
      </c>
      <c r="K18" s="40">
        <v>75</v>
      </c>
      <c r="L18" s="40">
        <v>75</v>
      </c>
      <c r="M18" s="40">
        <v>75</v>
      </c>
      <c r="N18" s="40">
        <v>75</v>
      </c>
      <c r="O18" s="40">
        <v>75</v>
      </c>
      <c r="P18" s="40">
        <v>75</v>
      </c>
      <c r="Q18" s="40">
        <v>75</v>
      </c>
      <c r="R18" s="40">
        <v>75</v>
      </c>
      <c r="S18" s="40">
        <v>75</v>
      </c>
      <c r="T18" s="40">
        <v>75</v>
      </c>
      <c r="U18" s="40">
        <v>75</v>
      </c>
      <c r="V18" s="40">
        <v>75</v>
      </c>
    </row>
    <row r="19" spans="10:30" x14ac:dyDescent="0.25">
      <c r="J19" s="40">
        <v>75</v>
      </c>
      <c r="K19" s="40">
        <v>75</v>
      </c>
      <c r="L19" s="40">
        <v>75</v>
      </c>
      <c r="M19" s="40">
        <v>75</v>
      </c>
      <c r="N19" s="40">
        <v>75</v>
      </c>
      <c r="O19" s="40">
        <v>75</v>
      </c>
      <c r="P19" s="40">
        <v>75</v>
      </c>
      <c r="Q19" s="40">
        <v>75</v>
      </c>
      <c r="R19" s="40">
        <v>75</v>
      </c>
      <c r="S19" s="40">
        <v>75</v>
      </c>
      <c r="T19" s="40">
        <v>75</v>
      </c>
      <c r="U19" s="40">
        <v>75</v>
      </c>
      <c r="V19" s="40">
        <v>75</v>
      </c>
    </row>
    <row r="20" spans="10:30" x14ac:dyDescent="0.25">
      <c r="J20" s="40">
        <v>65</v>
      </c>
      <c r="K20" s="40">
        <v>65</v>
      </c>
      <c r="L20" s="40">
        <v>65</v>
      </c>
      <c r="M20" s="40">
        <v>65</v>
      </c>
      <c r="N20" s="40">
        <v>65</v>
      </c>
      <c r="O20" s="40">
        <v>65</v>
      </c>
      <c r="P20" s="40">
        <v>65</v>
      </c>
      <c r="Q20" s="40">
        <v>65</v>
      </c>
      <c r="R20" s="40">
        <v>65</v>
      </c>
      <c r="S20" s="40">
        <v>65</v>
      </c>
      <c r="T20" s="40">
        <v>65</v>
      </c>
      <c r="U20" s="40">
        <v>65</v>
      </c>
      <c r="V20" s="40">
        <v>65</v>
      </c>
    </row>
    <row r="21" spans="10:30" x14ac:dyDescent="0.25">
      <c r="V21" s="40">
        <v>85</v>
      </c>
    </row>
    <row r="22" spans="10:30" x14ac:dyDescent="0.25">
      <c r="J22" s="40">
        <v>85</v>
      </c>
      <c r="K22" s="40">
        <v>85</v>
      </c>
      <c r="L22" s="40">
        <v>85</v>
      </c>
      <c r="M22" s="40">
        <v>85</v>
      </c>
      <c r="N22" s="40">
        <v>85</v>
      </c>
      <c r="O22" s="40">
        <v>85</v>
      </c>
      <c r="P22" s="40">
        <v>85</v>
      </c>
      <c r="Q22" s="40">
        <v>85</v>
      </c>
      <c r="R22" s="40">
        <v>85</v>
      </c>
      <c r="S22" s="40">
        <v>85</v>
      </c>
      <c r="T22" s="40">
        <v>85</v>
      </c>
      <c r="U22" s="40">
        <v>85</v>
      </c>
      <c r="V22" s="40">
        <v>85</v>
      </c>
    </row>
    <row r="24" spans="10:30" x14ac:dyDescent="0.25">
      <c r="Z24" s="40">
        <v>150</v>
      </c>
    </row>
    <row r="25" spans="10:30" x14ac:dyDescent="0.25">
      <c r="Q25" s="40">
        <v>150</v>
      </c>
      <c r="R25" s="40">
        <v>150</v>
      </c>
      <c r="S25" s="40">
        <v>150</v>
      </c>
      <c r="T25" s="40">
        <v>150</v>
      </c>
      <c r="U25" s="40">
        <v>150</v>
      </c>
      <c r="V25" s="40">
        <v>150</v>
      </c>
      <c r="W25" s="40">
        <v>150</v>
      </c>
      <c r="X25" s="40">
        <v>150</v>
      </c>
      <c r="Y25" s="40">
        <v>150</v>
      </c>
      <c r="Z25" s="40">
        <v>150</v>
      </c>
      <c r="AA25" s="40">
        <v>150</v>
      </c>
      <c r="AB25" s="40">
        <v>150</v>
      </c>
      <c r="AC25" s="40">
        <v>150</v>
      </c>
      <c r="AD25" s="40">
        <v>150</v>
      </c>
    </row>
    <row r="26" spans="10:30" x14ac:dyDescent="0.25">
      <c r="Q26" s="40">
        <v>130</v>
      </c>
      <c r="R26" s="40">
        <v>130</v>
      </c>
      <c r="S26" s="40">
        <v>130</v>
      </c>
      <c r="T26" s="40">
        <v>130</v>
      </c>
      <c r="U26" s="40">
        <v>130</v>
      </c>
      <c r="V26" s="40">
        <v>130</v>
      </c>
      <c r="W26" s="40">
        <v>130</v>
      </c>
      <c r="X26" s="40">
        <v>130</v>
      </c>
      <c r="Y26" s="40">
        <v>130</v>
      </c>
      <c r="AA26" s="40">
        <v>130</v>
      </c>
      <c r="AB26" s="40">
        <v>130</v>
      </c>
      <c r="AC26" s="40">
        <v>130</v>
      </c>
      <c r="AD26" s="40">
        <v>130</v>
      </c>
    </row>
    <row r="27" spans="10:30" x14ac:dyDescent="0.25">
      <c r="J27" s="40">
        <v>137.5</v>
      </c>
      <c r="K27" s="40">
        <v>137.5</v>
      </c>
      <c r="L27" s="40">
        <v>137.5</v>
      </c>
      <c r="M27" s="40">
        <v>137.5</v>
      </c>
      <c r="N27" s="40">
        <v>137.5</v>
      </c>
      <c r="O27" s="40">
        <v>137.5</v>
      </c>
      <c r="P27" s="40">
        <v>137.5</v>
      </c>
      <c r="Q27" s="40">
        <v>137.5</v>
      </c>
      <c r="R27" s="40">
        <v>137.5</v>
      </c>
      <c r="S27" s="40">
        <v>137.5</v>
      </c>
      <c r="T27" s="40">
        <v>137.5</v>
      </c>
      <c r="U27" s="40">
        <v>137.5</v>
      </c>
      <c r="V27" s="40">
        <v>137.5</v>
      </c>
      <c r="W27" s="40">
        <v>137.5</v>
      </c>
      <c r="X27" s="40">
        <v>137.5</v>
      </c>
      <c r="Y27" s="40">
        <v>137.5</v>
      </c>
      <c r="Z27" s="40">
        <v>137.5</v>
      </c>
      <c r="AA27" s="40">
        <v>137.5</v>
      </c>
      <c r="AB27" s="40">
        <v>137.5</v>
      </c>
      <c r="AC27" s="40">
        <v>137.5</v>
      </c>
      <c r="AD27" s="40">
        <v>137.5</v>
      </c>
    </row>
    <row r="28" spans="10:30" x14ac:dyDescent="0.25">
      <c r="J28" s="40">
        <v>137.5</v>
      </c>
      <c r="K28" s="40">
        <v>137.5</v>
      </c>
      <c r="L28" s="40">
        <v>137.5</v>
      </c>
      <c r="M28" s="40">
        <v>137.5</v>
      </c>
      <c r="N28" s="40">
        <v>137.5</v>
      </c>
      <c r="O28" s="40">
        <v>137.5</v>
      </c>
      <c r="P28" s="40">
        <v>137.5</v>
      </c>
      <c r="Q28" s="40">
        <v>137.5</v>
      </c>
      <c r="R28" s="40">
        <v>137.5</v>
      </c>
      <c r="S28" s="40">
        <v>137.5</v>
      </c>
      <c r="T28" s="40">
        <v>137.5</v>
      </c>
      <c r="U28" s="40">
        <v>137.5</v>
      </c>
      <c r="V28" s="40">
        <v>137.5</v>
      </c>
      <c r="W28" s="40">
        <v>137.5</v>
      </c>
      <c r="X28" s="40">
        <v>137.5</v>
      </c>
      <c r="Y28" s="40">
        <v>137.5</v>
      </c>
      <c r="Z28" s="40">
        <v>137.5</v>
      </c>
      <c r="AA28" s="40">
        <v>137.5</v>
      </c>
      <c r="AB28" s="40">
        <v>137.5</v>
      </c>
      <c r="AC28" s="40">
        <v>137.5</v>
      </c>
      <c r="AD28" s="40">
        <v>137.5</v>
      </c>
    </row>
    <row r="29" spans="10:30" x14ac:dyDescent="0.25">
      <c r="Q29" s="40">
        <v>137.5</v>
      </c>
      <c r="R29" s="40">
        <v>137.5</v>
      </c>
      <c r="S29" s="40">
        <v>137.5</v>
      </c>
      <c r="T29" s="40">
        <v>137.5</v>
      </c>
      <c r="U29" s="40">
        <v>137.5</v>
      </c>
      <c r="V29" s="40">
        <v>137.5</v>
      </c>
      <c r="W29" s="40">
        <v>137.5</v>
      </c>
      <c r="X29" s="40">
        <v>137.5</v>
      </c>
      <c r="Y29" s="40">
        <v>137.5</v>
      </c>
      <c r="Z29" s="40">
        <v>137.5</v>
      </c>
      <c r="AA29" s="40">
        <v>137.5</v>
      </c>
      <c r="AB29" s="40">
        <v>137.5</v>
      </c>
      <c r="AC29" s="40">
        <v>137.5</v>
      </c>
      <c r="AD29" s="40">
        <v>137.5</v>
      </c>
    </row>
    <row r="30" spans="10:30" x14ac:dyDescent="0.25">
      <c r="Q30" s="40">
        <v>130</v>
      </c>
      <c r="R30" s="40">
        <v>130</v>
      </c>
      <c r="S30" s="40">
        <v>130</v>
      </c>
      <c r="T30" s="40">
        <v>130</v>
      </c>
      <c r="U30" s="40">
        <v>130</v>
      </c>
      <c r="V30" s="40">
        <v>130</v>
      </c>
      <c r="W30" s="40">
        <v>130</v>
      </c>
      <c r="X30" s="40">
        <v>130</v>
      </c>
      <c r="Y30" s="40">
        <v>130</v>
      </c>
      <c r="Z30" s="40">
        <v>130</v>
      </c>
      <c r="AA30" s="40">
        <v>130</v>
      </c>
      <c r="AB30" s="40">
        <v>130</v>
      </c>
      <c r="AC30" s="40">
        <v>130</v>
      </c>
    </row>
    <row r="31" spans="10:30" x14ac:dyDescent="0.25">
      <c r="Z31" s="40">
        <v>130</v>
      </c>
    </row>
    <row r="32" spans="10:30" x14ac:dyDescent="0.25">
      <c r="Q32" s="40">
        <v>120</v>
      </c>
      <c r="R32" s="40">
        <v>120</v>
      </c>
      <c r="S32" s="40">
        <v>120</v>
      </c>
      <c r="T32" s="40">
        <v>120</v>
      </c>
      <c r="U32" s="40">
        <v>120</v>
      </c>
      <c r="V32" s="40">
        <v>120</v>
      </c>
      <c r="W32" s="40">
        <v>120</v>
      </c>
      <c r="X32" s="40">
        <v>120</v>
      </c>
      <c r="Y32" s="40">
        <v>120</v>
      </c>
      <c r="Z32" s="40">
        <v>120</v>
      </c>
    </row>
    <row r="33" spans="17:30" x14ac:dyDescent="0.25">
      <c r="Z33" s="40">
        <v>120</v>
      </c>
    </row>
    <row r="34" spans="17:30" x14ac:dyDescent="0.25">
      <c r="Q34" s="40">
        <v>150</v>
      </c>
      <c r="R34" s="40">
        <v>150</v>
      </c>
      <c r="S34" s="40">
        <v>150</v>
      </c>
      <c r="T34" s="40">
        <v>150</v>
      </c>
      <c r="U34" s="40">
        <v>150</v>
      </c>
      <c r="V34" s="40">
        <v>150</v>
      </c>
      <c r="W34" s="40">
        <v>150</v>
      </c>
      <c r="X34" s="40">
        <v>150</v>
      </c>
      <c r="Y34" s="40">
        <v>150</v>
      </c>
      <c r="Z34" s="40">
        <v>150</v>
      </c>
      <c r="AA34" s="40">
        <v>150</v>
      </c>
      <c r="AB34" s="40">
        <v>150</v>
      </c>
      <c r="AC34" s="40">
        <v>150</v>
      </c>
      <c r="AD34" s="40">
        <v>150</v>
      </c>
    </row>
    <row r="35" spans="17:30" x14ac:dyDescent="0.25">
      <c r="Q35" s="40">
        <v>150</v>
      </c>
      <c r="R35" s="40">
        <v>150</v>
      </c>
      <c r="S35" s="40">
        <v>150</v>
      </c>
      <c r="T35" s="40">
        <v>150</v>
      </c>
      <c r="U35" s="40">
        <v>150</v>
      </c>
      <c r="V35" s="40">
        <v>150</v>
      </c>
      <c r="W35" s="40">
        <v>150</v>
      </c>
      <c r="X35" s="40">
        <v>150</v>
      </c>
      <c r="Y35" s="40">
        <v>150</v>
      </c>
      <c r="Z35" s="40">
        <v>150</v>
      </c>
      <c r="AA35" s="40">
        <v>150</v>
      </c>
      <c r="AB35" s="40">
        <v>150</v>
      </c>
      <c r="AC35" s="40">
        <v>150</v>
      </c>
      <c r="AD35" s="40">
        <v>150</v>
      </c>
    </row>
    <row r="36" spans="17:30" x14ac:dyDescent="0.25">
      <c r="Q36" s="40">
        <v>140</v>
      </c>
      <c r="R36" s="40">
        <v>140</v>
      </c>
      <c r="S36" s="40">
        <v>140</v>
      </c>
      <c r="T36" s="40">
        <v>140</v>
      </c>
      <c r="U36" s="40">
        <v>140</v>
      </c>
      <c r="V36" s="40">
        <v>140</v>
      </c>
      <c r="W36" s="40">
        <v>140</v>
      </c>
      <c r="X36" s="40">
        <v>140</v>
      </c>
      <c r="Y36" s="40">
        <v>140</v>
      </c>
      <c r="AA36" s="40">
        <v>140</v>
      </c>
      <c r="AB36" s="40">
        <v>140</v>
      </c>
      <c r="AC36" s="40">
        <v>140</v>
      </c>
      <c r="AD36" s="40">
        <v>140</v>
      </c>
    </row>
    <row r="37" spans="17:30" x14ac:dyDescent="0.25">
      <c r="AD37" s="40">
        <v>125</v>
      </c>
    </row>
    <row r="38" spans="17:30" x14ac:dyDescent="0.25">
      <c r="Q38" s="40">
        <v>140</v>
      </c>
      <c r="R38" s="40">
        <v>140</v>
      </c>
      <c r="S38" s="40">
        <v>140</v>
      </c>
      <c r="T38" s="40">
        <v>140</v>
      </c>
      <c r="U38" s="40">
        <v>140</v>
      </c>
      <c r="V38" s="40">
        <v>140</v>
      </c>
      <c r="W38" s="40">
        <v>140</v>
      </c>
      <c r="X38" s="40">
        <v>140</v>
      </c>
      <c r="Y38" s="40">
        <v>140</v>
      </c>
      <c r="AA38" s="40">
        <v>140</v>
      </c>
      <c r="AB38" s="40">
        <v>140</v>
      </c>
      <c r="AC38" s="40">
        <v>140</v>
      </c>
      <c r="AD38" s="40">
        <v>140</v>
      </c>
    </row>
    <row r="39" spans="17:30" x14ac:dyDescent="0.25">
      <c r="Q39" s="40">
        <v>140</v>
      </c>
      <c r="R39" s="40">
        <v>140</v>
      </c>
      <c r="S39" s="40">
        <v>140</v>
      </c>
      <c r="T39" s="40">
        <v>140</v>
      </c>
      <c r="U39" s="40">
        <v>140</v>
      </c>
      <c r="V39" s="40">
        <v>140</v>
      </c>
      <c r="W39" s="40">
        <v>140</v>
      </c>
      <c r="X39" s="40">
        <v>140</v>
      </c>
      <c r="Y39" s="40">
        <v>140</v>
      </c>
      <c r="AA39" s="40">
        <v>140</v>
      </c>
      <c r="AB39" s="40">
        <v>140</v>
      </c>
      <c r="AC39" s="40">
        <v>140</v>
      </c>
      <c r="AD39" s="40">
        <v>140</v>
      </c>
    </row>
    <row r="40" spans="17:30" x14ac:dyDescent="0.25">
      <c r="Q40" s="40">
        <v>155</v>
      </c>
      <c r="R40" s="40">
        <v>155</v>
      </c>
      <c r="S40" s="40">
        <v>155</v>
      </c>
      <c r="T40" s="40">
        <v>155</v>
      </c>
      <c r="U40" s="40">
        <v>155</v>
      </c>
      <c r="V40" s="40">
        <v>155</v>
      </c>
      <c r="W40" s="40">
        <v>155</v>
      </c>
      <c r="X40" s="40">
        <v>155</v>
      </c>
      <c r="Y40" s="40">
        <v>155</v>
      </c>
      <c r="AA40" s="40">
        <v>155</v>
      </c>
      <c r="AB40" s="40">
        <v>155</v>
      </c>
      <c r="AC40" s="40">
        <v>155</v>
      </c>
      <c r="AD40" s="40">
        <v>155</v>
      </c>
    </row>
    <row r="41" spans="17:30" x14ac:dyDescent="0.25">
      <c r="Q41" s="40">
        <v>155</v>
      </c>
      <c r="R41" s="40">
        <v>155</v>
      </c>
      <c r="S41" s="40">
        <v>155</v>
      </c>
      <c r="T41" s="40">
        <v>155</v>
      </c>
      <c r="U41" s="40">
        <v>155</v>
      </c>
      <c r="V41" s="40">
        <v>155</v>
      </c>
      <c r="W41" s="40">
        <v>155</v>
      </c>
      <c r="X41" s="40">
        <v>155</v>
      </c>
      <c r="Y41" s="40">
        <v>155</v>
      </c>
      <c r="AA41" s="40">
        <v>155</v>
      </c>
      <c r="AB41" s="40">
        <v>155</v>
      </c>
      <c r="AC41" s="40">
        <v>155</v>
      </c>
      <c r="AD41" s="40">
        <v>155</v>
      </c>
    </row>
    <row r="42" spans="17:30" x14ac:dyDescent="0.25">
      <c r="Q42" s="40">
        <v>150</v>
      </c>
      <c r="R42" s="40">
        <v>150</v>
      </c>
      <c r="S42" s="40">
        <v>150</v>
      </c>
      <c r="T42" s="40">
        <v>150</v>
      </c>
      <c r="U42" s="40">
        <v>150</v>
      </c>
      <c r="V42" s="40">
        <v>150</v>
      </c>
      <c r="W42" s="40">
        <v>150</v>
      </c>
      <c r="X42" s="40">
        <v>150</v>
      </c>
      <c r="Y42" s="40">
        <v>150</v>
      </c>
      <c r="AA42" s="40">
        <v>150</v>
      </c>
      <c r="AB42" s="40">
        <v>150</v>
      </c>
      <c r="AC42" s="40">
        <v>150</v>
      </c>
      <c r="AD42" s="40">
        <v>150</v>
      </c>
    </row>
    <row r="43" spans="17:30" x14ac:dyDescent="0.25">
      <c r="Q43" s="40">
        <v>150</v>
      </c>
      <c r="R43" s="40">
        <v>150</v>
      </c>
      <c r="S43" s="40">
        <v>150</v>
      </c>
      <c r="T43" s="40">
        <v>150</v>
      </c>
      <c r="U43" s="40">
        <v>150</v>
      </c>
      <c r="V43" s="40">
        <v>150</v>
      </c>
      <c r="W43" s="40">
        <v>150</v>
      </c>
      <c r="X43" s="40">
        <v>150</v>
      </c>
      <c r="Y43" s="40">
        <v>150</v>
      </c>
      <c r="AA43" s="40">
        <v>150</v>
      </c>
      <c r="AB43" s="40">
        <v>150</v>
      </c>
      <c r="AC43" s="40">
        <v>150</v>
      </c>
      <c r="AD43" s="40">
        <v>150</v>
      </c>
    </row>
    <row r="44" spans="17:30" x14ac:dyDescent="0.25">
      <c r="Q44" s="40">
        <v>160</v>
      </c>
      <c r="R44" s="40">
        <v>160</v>
      </c>
      <c r="S44" s="40">
        <v>160</v>
      </c>
      <c r="T44" s="40">
        <v>160</v>
      </c>
      <c r="U44" s="40">
        <v>160</v>
      </c>
      <c r="V44" s="40">
        <v>160</v>
      </c>
      <c r="W44" s="40">
        <v>160</v>
      </c>
      <c r="X44" s="40">
        <v>160</v>
      </c>
      <c r="Y44" s="40">
        <v>160</v>
      </c>
      <c r="Z44" s="40">
        <v>160</v>
      </c>
      <c r="AA44" s="40">
        <v>160</v>
      </c>
      <c r="AB44" s="40">
        <v>160</v>
      </c>
      <c r="AC44" s="40">
        <v>160</v>
      </c>
      <c r="AD44" s="40">
        <v>160</v>
      </c>
    </row>
    <row r="45" spans="17:30" x14ac:dyDescent="0.25">
      <c r="Q45" s="40">
        <v>160</v>
      </c>
      <c r="R45" s="40">
        <v>160</v>
      </c>
      <c r="S45" s="40">
        <v>160</v>
      </c>
      <c r="T45" s="40">
        <v>160</v>
      </c>
      <c r="U45" s="40">
        <v>160</v>
      </c>
      <c r="V45" s="40">
        <v>160</v>
      </c>
      <c r="W45" s="40">
        <v>160</v>
      </c>
      <c r="X45" s="40">
        <v>160</v>
      </c>
      <c r="Y45" s="40">
        <v>160</v>
      </c>
      <c r="Z45" s="40">
        <v>160</v>
      </c>
      <c r="AA45" s="40">
        <v>160</v>
      </c>
      <c r="AB45" s="40">
        <v>160</v>
      </c>
      <c r="AC45" s="40">
        <v>160</v>
      </c>
      <c r="AD45" s="40">
        <v>160</v>
      </c>
    </row>
    <row r="46" spans="17:30" x14ac:dyDescent="0.25">
      <c r="Q46" s="40">
        <v>160</v>
      </c>
      <c r="R46" s="40">
        <v>160</v>
      </c>
      <c r="S46" s="40">
        <v>160</v>
      </c>
      <c r="T46" s="40">
        <v>160</v>
      </c>
      <c r="U46" s="40">
        <v>160</v>
      </c>
      <c r="V46" s="40">
        <v>160</v>
      </c>
      <c r="W46" s="40">
        <v>160</v>
      </c>
      <c r="X46" s="40">
        <v>160</v>
      </c>
      <c r="Y46" s="40">
        <v>160</v>
      </c>
      <c r="Z46" s="40">
        <v>160</v>
      </c>
      <c r="AA46" s="40">
        <v>160</v>
      </c>
      <c r="AB46" s="40">
        <v>160</v>
      </c>
      <c r="AC46" s="40">
        <v>160</v>
      </c>
      <c r="AD46" s="40">
        <v>160</v>
      </c>
    </row>
    <row r="47" spans="17:30" x14ac:dyDescent="0.25">
      <c r="Q47" s="40">
        <v>160</v>
      </c>
      <c r="R47" s="40">
        <v>160</v>
      </c>
      <c r="S47" s="40">
        <v>160</v>
      </c>
      <c r="T47" s="40">
        <v>160</v>
      </c>
      <c r="U47" s="40">
        <v>160</v>
      </c>
      <c r="V47" s="40">
        <v>160</v>
      </c>
      <c r="W47" s="40">
        <v>160</v>
      </c>
      <c r="X47" s="40">
        <v>160</v>
      </c>
      <c r="Y47" s="40">
        <v>160</v>
      </c>
      <c r="AA47" s="40">
        <v>160</v>
      </c>
      <c r="AB47" s="40">
        <v>160</v>
      </c>
      <c r="AC47" s="40">
        <v>160</v>
      </c>
      <c r="AD47" s="40">
        <v>160</v>
      </c>
    </row>
    <row r="48" spans="17:30" x14ac:dyDescent="0.25">
      <c r="Q48" s="40">
        <v>175</v>
      </c>
      <c r="R48" s="40">
        <v>175</v>
      </c>
      <c r="S48" s="40">
        <v>175</v>
      </c>
      <c r="T48" s="40">
        <v>175</v>
      </c>
      <c r="U48" s="40">
        <v>175</v>
      </c>
      <c r="V48" s="40">
        <v>175</v>
      </c>
      <c r="W48" s="40">
        <v>175</v>
      </c>
      <c r="X48" s="40">
        <v>175</v>
      </c>
      <c r="Y48" s="40">
        <v>175</v>
      </c>
      <c r="Z48" s="40">
        <v>175</v>
      </c>
      <c r="AA48" s="40">
        <v>175</v>
      </c>
      <c r="AB48" s="40">
        <v>175</v>
      </c>
      <c r="AC48" s="40">
        <v>175</v>
      </c>
      <c r="AD48" s="40">
        <v>175</v>
      </c>
    </row>
    <row r="49" spans="10:30" x14ac:dyDescent="0.25">
      <c r="Q49" s="40">
        <v>175</v>
      </c>
      <c r="R49" s="40">
        <v>175</v>
      </c>
      <c r="S49" s="40">
        <v>175</v>
      </c>
      <c r="T49" s="40">
        <v>175</v>
      </c>
      <c r="U49" s="40">
        <v>175</v>
      </c>
      <c r="V49" s="40">
        <v>175</v>
      </c>
      <c r="W49" s="40">
        <v>175</v>
      </c>
      <c r="X49" s="40">
        <v>175</v>
      </c>
      <c r="Y49" s="40">
        <v>175</v>
      </c>
      <c r="Z49" s="40">
        <v>175</v>
      </c>
      <c r="AA49" s="40">
        <v>175</v>
      </c>
      <c r="AB49" s="40">
        <v>175</v>
      </c>
      <c r="AC49" s="40">
        <v>175</v>
      </c>
      <c r="AD49" s="40">
        <v>175</v>
      </c>
    </row>
    <row r="50" spans="10:30" x14ac:dyDescent="0.25">
      <c r="Q50" s="40">
        <v>185</v>
      </c>
      <c r="R50" s="40">
        <v>185</v>
      </c>
      <c r="S50" s="40">
        <v>185</v>
      </c>
      <c r="T50" s="40">
        <v>185</v>
      </c>
      <c r="U50" s="40">
        <v>185</v>
      </c>
      <c r="V50" s="40">
        <v>185</v>
      </c>
      <c r="W50" s="40">
        <v>185</v>
      </c>
      <c r="X50" s="40">
        <v>185</v>
      </c>
      <c r="Y50" s="40">
        <v>185</v>
      </c>
      <c r="AA50" s="40">
        <v>185</v>
      </c>
      <c r="AB50" s="40">
        <v>185</v>
      </c>
      <c r="AC50" s="40">
        <v>185</v>
      </c>
      <c r="AD50" s="40">
        <v>185</v>
      </c>
    </row>
    <row r="51" spans="10:30" x14ac:dyDescent="0.25">
      <c r="Q51" s="40">
        <v>170</v>
      </c>
      <c r="R51" s="40">
        <v>170</v>
      </c>
      <c r="S51" s="40">
        <v>170</v>
      </c>
      <c r="T51" s="40">
        <v>170</v>
      </c>
      <c r="U51" s="40">
        <v>170</v>
      </c>
      <c r="V51" s="40">
        <v>170</v>
      </c>
      <c r="W51" s="40">
        <v>170</v>
      </c>
      <c r="X51" s="40">
        <v>170</v>
      </c>
      <c r="Y51" s="40">
        <v>170</v>
      </c>
      <c r="AA51" s="40">
        <v>170</v>
      </c>
      <c r="AB51" s="40">
        <v>170</v>
      </c>
      <c r="AC51" s="40">
        <v>170</v>
      </c>
      <c r="AD51" s="40">
        <v>170</v>
      </c>
    </row>
    <row r="52" spans="10:30" x14ac:dyDescent="0.25">
      <c r="Q52" s="40">
        <v>160</v>
      </c>
      <c r="R52" s="40">
        <v>160</v>
      </c>
      <c r="S52" s="40">
        <v>160</v>
      </c>
      <c r="T52" s="40">
        <v>160</v>
      </c>
      <c r="U52" s="40">
        <v>160</v>
      </c>
      <c r="V52" s="40">
        <v>160</v>
      </c>
      <c r="W52" s="40">
        <v>160</v>
      </c>
      <c r="X52" s="40">
        <v>160</v>
      </c>
      <c r="Y52" s="40">
        <v>160</v>
      </c>
      <c r="AA52" s="40">
        <v>160</v>
      </c>
      <c r="AB52" s="40">
        <v>160</v>
      </c>
      <c r="AC52" s="40">
        <v>160</v>
      </c>
      <c r="AD52" s="40">
        <v>160</v>
      </c>
    </row>
    <row r="53" spans="10:30" x14ac:dyDescent="0.25">
      <c r="Q53" s="40">
        <v>140</v>
      </c>
      <c r="R53" s="40">
        <v>140</v>
      </c>
      <c r="S53" s="40">
        <v>140</v>
      </c>
      <c r="T53" s="40">
        <v>140</v>
      </c>
      <c r="U53" s="40">
        <v>140</v>
      </c>
      <c r="V53" s="40">
        <v>140</v>
      </c>
      <c r="W53" s="40">
        <v>140</v>
      </c>
      <c r="X53" s="40">
        <v>140</v>
      </c>
      <c r="Y53" s="40">
        <v>140</v>
      </c>
      <c r="Z53" s="40">
        <v>140</v>
      </c>
      <c r="AA53" s="40">
        <v>140</v>
      </c>
      <c r="AB53" s="40">
        <v>140</v>
      </c>
      <c r="AC53" s="40">
        <v>140</v>
      </c>
      <c r="AD53" s="40">
        <v>140</v>
      </c>
    </row>
    <row r="54" spans="10:30" x14ac:dyDescent="0.25">
      <c r="Q54" s="40">
        <v>140</v>
      </c>
      <c r="R54" s="40">
        <v>140</v>
      </c>
      <c r="S54" s="40">
        <v>140</v>
      </c>
      <c r="T54" s="40">
        <v>140</v>
      </c>
      <c r="U54" s="40">
        <v>140</v>
      </c>
      <c r="V54" s="40">
        <v>140</v>
      </c>
      <c r="W54" s="40">
        <v>140</v>
      </c>
      <c r="X54" s="40">
        <v>140</v>
      </c>
      <c r="Y54" s="40">
        <v>140</v>
      </c>
      <c r="Z54" s="40">
        <v>140</v>
      </c>
      <c r="AA54" s="40">
        <v>140</v>
      </c>
      <c r="AB54" s="40">
        <v>140</v>
      </c>
      <c r="AC54" s="40">
        <v>140</v>
      </c>
      <c r="AD54" s="40">
        <v>140</v>
      </c>
    </row>
    <row r="55" spans="10:30" x14ac:dyDescent="0.25">
      <c r="Q55" s="40">
        <v>165</v>
      </c>
      <c r="R55" s="40">
        <v>165</v>
      </c>
      <c r="S55" s="40">
        <v>165</v>
      </c>
      <c r="T55" s="40">
        <v>165</v>
      </c>
      <c r="U55" s="40">
        <v>165</v>
      </c>
      <c r="V55" s="40">
        <v>165</v>
      </c>
      <c r="W55" s="40">
        <v>165</v>
      </c>
      <c r="X55" s="40">
        <v>165</v>
      </c>
      <c r="Y55" s="40">
        <v>165</v>
      </c>
      <c r="Z55" s="40">
        <v>165</v>
      </c>
      <c r="AA55" s="40">
        <v>165</v>
      </c>
      <c r="AB55" s="40">
        <v>165</v>
      </c>
      <c r="AC55" s="40">
        <v>165</v>
      </c>
      <c r="AD55" s="40">
        <v>165</v>
      </c>
    </row>
    <row r="56" spans="10:30" x14ac:dyDescent="0.25">
      <c r="Q56" s="40">
        <v>165</v>
      </c>
      <c r="R56" s="40">
        <v>165</v>
      </c>
      <c r="S56" s="40">
        <v>165</v>
      </c>
      <c r="T56" s="40">
        <v>165</v>
      </c>
      <c r="U56" s="40">
        <v>165</v>
      </c>
      <c r="V56" s="40">
        <v>165</v>
      </c>
      <c r="W56" s="40">
        <v>165</v>
      </c>
      <c r="X56" s="40">
        <v>165</v>
      </c>
      <c r="Y56" s="40">
        <v>165</v>
      </c>
      <c r="Z56" s="40">
        <v>165</v>
      </c>
      <c r="AA56" s="40">
        <v>165</v>
      </c>
      <c r="AB56" s="40">
        <v>165</v>
      </c>
      <c r="AC56" s="40">
        <v>165</v>
      </c>
      <c r="AD56" s="40">
        <v>165</v>
      </c>
    </row>
    <row r="57" spans="10:30" x14ac:dyDescent="0.25">
      <c r="J57" s="40">
        <v>165</v>
      </c>
      <c r="K57" s="40">
        <v>165</v>
      </c>
      <c r="L57" s="40">
        <v>165</v>
      </c>
      <c r="M57" s="40">
        <v>165</v>
      </c>
      <c r="N57" s="40">
        <v>165</v>
      </c>
      <c r="O57" s="40">
        <v>165</v>
      </c>
      <c r="P57" s="40">
        <v>165</v>
      </c>
      <c r="Q57" s="40">
        <v>165</v>
      </c>
      <c r="R57" s="40">
        <v>165</v>
      </c>
      <c r="S57" s="40">
        <v>165</v>
      </c>
      <c r="T57" s="40">
        <v>165</v>
      </c>
      <c r="U57" s="40">
        <v>165</v>
      </c>
      <c r="V57" s="40">
        <v>165</v>
      </c>
      <c r="W57" s="40">
        <v>165</v>
      </c>
      <c r="X57" s="40">
        <v>165</v>
      </c>
      <c r="Y57" s="40">
        <v>165</v>
      </c>
      <c r="AA57" s="40">
        <v>165</v>
      </c>
      <c r="AB57" s="40">
        <v>165</v>
      </c>
      <c r="AC57" s="40">
        <v>165</v>
      </c>
      <c r="AD57" s="40">
        <v>165</v>
      </c>
    </row>
    <row r="58" spans="10:30" x14ac:dyDescent="0.25">
      <c r="J58" s="40">
        <v>165</v>
      </c>
      <c r="K58" s="40">
        <v>165</v>
      </c>
      <c r="L58" s="40">
        <v>165</v>
      </c>
      <c r="M58" s="40">
        <v>165</v>
      </c>
      <c r="N58" s="40">
        <v>165</v>
      </c>
      <c r="O58" s="40">
        <v>165</v>
      </c>
      <c r="P58" s="40">
        <v>165</v>
      </c>
      <c r="Q58" s="40">
        <v>165</v>
      </c>
      <c r="R58" s="40">
        <v>165</v>
      </c>
      <c r="S58" s="40">
        <v>165</v>
      </c>
      <c r="T58" s="40">
        <v>165</v>
      </c>
      <c r="U58" s="40">
        <v>165</v>
      </c>
      <c r="V58" s="40">
        <v>165</v>
      </c>
      <c r="W58" s="40">
        <v>165</v>
      </c>
      <c r="X58" s="40">
        <v>165</v>
      </c>
      <c r="Y58" s="40">
        <v>165</v>
      </c>
      <c r="AA58" s="40">
        <v>165</v>
      </c>
      <c r="AB58" s="40">
        <v>165</v>
      </c>
      <c r="AC58" s="40">
        <v>165</v>
      </c>
      <c r="AD58" s="40">
        <v>165</v>
      </c>
    </row>
    <row r="59" spans="10:30" x14ac:dyDescent="0.25">
      <c r="Q59" s="40">
        <v>160</v>
      </c>
      <c r="R59" s="40">
        <v>160</v>
      </c>
      <c r="S59" s="40">
        <v>160</v>
      </c>
      <c r="T59" s="40">
        <v>160</v>
      </c>
      <c r="U59" s="40">
        <v>160</v>
      </c>
      <c r="V59" s="40">
        <v>160</v>
      </c>
      <c r="W59" s="40">
        <v>160</v>
      </c>
      <c r="X59" s="40">
        <v>160</v>
      </c>
      <c r="Y59" s="40">
        <v>160</v>
      </c>
      <c r="AA59" s="40">
        <v>160</v>
      </c>
      <c r="AB59" s="40">
        <v>160</v>
      </c>
      <c r="AC59" s="40">
        <v>160</v>
      </c>
      <c r="AD59" s="40">
        <v>160</v>
      </c>
    </row>
    <row r="61" spans="10:30" x14ac:dyDescent="0.25">
      <c r="K61" s="40">
        <v>90</v>
      </c>
      <c r="R61" s="40">
        <v>90</v>
      </c>
      <c r="S61" s="40">
        <v>90</v>
      </c>
      <c r="T61" s="40">
        <v>90</v>
      </c>
      <c r="U61" s="40">
        <v>90</v>
      </c>
      <c r="V61" s="40">
        <v>90</v>
      </c>
    </row>
    <row r="62" spans="10:30" x14ac:dyDescent="0.25">
      <c r="J62" s="40">
        <v>90</v>
      </c>
      <c r="K62" s="40">
        <v>90</v>
      </c>
      <c r="L62" s="40">
        <v>90</v>
      </c>
      <c r="M62" s="40">
        <v>90</v>
      </c>
      <c r="N62" s="40">
        <v>90</v>
      </c>
      <c r="O62" s="40">
        <v>90</v>
      </c>
      <c r="P62" s="40">
        <v>90</v>
      </c>
      <c r="Q62" s="40">
        <v>90</v>
      </c>
      <c r="R62" s="40">
        <v>90</v>
      </c>
      <c r="S62" s="40">
        <v>90</v>
      </c>
      <c r="T62" s="40">
        <v>90</v>
      </c>
      <c r="U62" s="40">
        <v>90</v>
      </c>
      <c r="V62" s="40">
        <v>90</v>
      </c>
    </row>
    <row r="63" spans="10:30" x14ac:dyDescent="0.25">
      <c r="J63" s="40">
        <v>95</v>
      </c>
      <c r="K63" s="40">
        <v>95</v>
      </c>
      <c r="L63" s="40">
        <v>95</v>
      </c>
      <c r="M63" s="40">
        <v>95</v>
      </c>
      <c r="N63" s="40">
        <v>95</v>
      </c>
      <c r="O63" s="40">
        <v>95</v>
      </c>
      <c r="P63" s="40">
        <v>95</v>
      </c>
      <c r="Q63" s="40">
        <v>95</v>
      </c>
      <c r="R63" s="40">
        <v>95</v>
      </c>
      <c r="S63" s="40">
        <v>95</v>
      </c>
      <c r="T63" s="40">
        <v>95</v>
      </c>
      <c r="U63" s="40">
        <v>95</v>
      </c>
      <c r="V63" s="40">
        <v>95</v>
      </c>
    </row>
    <row r="64" spans="10:30" x14ac:dyDescent="0.25">
      <c r="J64" s="40">
        <v>65</v>
      </c>
      <c r="K64" s="40">
        <v>65</v>
      </c>
      <c r="L64" s="40">
        <v>65</v>
      </c>
      <c r="M64" s="40">
        <v>65</v>
      </c>
      <c r="N64" s="40">
        <v>65</v>
      </c>
      <c r="O64" s="40">
        <v>65</v>
      </c>
      <c r="P64" s="40">
        <v>65</v>
      </c>
      <c r="Q64" s="40">
        <v>65</v>
      </c>
      <c r="R64" s="40">
        <v>65</v>
      </c>
      <c r="S64" s="40">
        <v>65</v>
      </c>
      <c r="T64" s="40">
        <v>65</v>
      </c>
      <c r="U64" s="40">
        <v>65</v>
      </c>
      <c r="V64" s="40">
        <v>65</v>
      </c>
    </row>
    <row r="65" spans="10:30" x14ac:dyDescent="0.25">
      <c r="J65" s="40">
        <v>65</v>
      </c>
      <c r="K65" s="40">
        <v>65</v>
      </c>
      <c r="L65" s="40">
        <v>65</v>
      </c>
      <c r="M65" s="40">
        <v>65</v>
      </c>
      <c r="N65" s="40">
        <v>65</v>
      </c>
      <c r="O65" s="40">
        <v>65</v>
      </c>
      <c r="P65" s="40">
        <v>65</v>
      </c>
      <c r="Q65" s="40">
        <v>65</v>
      </c>
      <c r="R65" s="40">
        <v>65</v>
      </c>
      <c r="S65" s="40">
        <v>65</v>
      </c>
      <c r="T65" s="40">
        <v>65</v>
      </c>
      <c r="U65" s="40">
        <v>65</v>
      </c>
      <c r="V65" s="40">
        <v>65</v>
      </c>
    </row>
    <row r="67" spans="10:30" x14ac:dyDescent="0.25">
      <c r="Q67" s="40">
        <v>120</v>
      </c>
      <c r="R67" s="40">
        <v>120</v>
      </c>
      <c r="S67" s="40">
        <v>120</v>
      </c>
      <c r="T67" s="40">
        <v>120</v>
      </c>
      <c r="U67" s="40">
        <v>120</v>
      </c>
      <c r="V67" s="40">
        <v>120</v>
      </c>
      <c r="W67" s="40">
        <v>120</v>
      </c>
      <c r="X67" s="40">
        <v>120</v>
      </c>
      <c r="Y67" s="40">
        <v>120</v>
      </c>
      <c r="AA67" s="40">
        <v>120</v>
      </c>
      <c r="AB67" s="40">
        <v>120</v>
      </c>
      <c r="AC67" s="40">
        <v>120</v>
      </c>
      <c r="AD67" s="40">
        <v>120</v>
      </c>
    </row>
    <row r="68" spans="10:30" x14ac:dyDescent="0.25">
      <c r="Q68" s="40">
        <v>120</v>
      </c>
      <c r="R68" s="40">
        <v>120</v>
      </c>
      <c r="S68" s="40">
        <v>120</v>
      </c>
      <c r="T68" s="40">
        <v>120</v>
      </c>
      <c r="U68" s="40">
        <v>120</v>
      </c>
      <c r="V68" s="40">
        <v>120</v>
      </c>
      <c r="W68" s="40">
        <v>120</v>
      </c>
      <c r="X68" s="40">
        <v>120</v>
      </c>
      <c r="Y68" s="40">
        <v>120</v>
      </c>
      <c r="Z68" s="40">
        <v>120</v>
      </c>
      <c r="AA68" s="40">
        <v>120</v>
      </c>
      <c r="AB68" s="40">
        <v>120</v>
      </c>
      <c r="AC68" s="40">
        <v>120</v>
      </c>
      <c r="AD68" s="40">
        <v>120</v>
      </c>
    </row>
    <row r="69" spans="10:30" x14ac:dyDescent="0.25">
      <c r="Q69" s="40">
        <v>120</v>
      </c>
      <c r="R69" s="40">
        <v>120</v>
      </c>
      <c r="S69" s="40">
        <v>120</v>
      </c>
      <c r="T69" s="40">
        <v>120</v>
      </c>
      <c r="U69" s="40">
        <v>120</v>
      </c>
      <c r="V69" s="40">
        <v>120</v>
      </c>
      <c r="W69" s="40">
        <v>120</v>
      </c>
      <c r="X69" s="40">
        <v>120</v>
      </c>
      <c r="Y69" s="40">
        <v>120</v>
      </c>
      <c r="Z69" s="40">
        <v>120</v>
      </c>
      <c r="AA69" s="40">
        <v>120</v>
      </c>
      <c r="AB69" s="40">
        <v>120</v>
      </c>
      <c r="AC69" s="40">
        <v>120</v>
      </c>
      <c r="AD69" s="40">
        <v>120</v>
      </c>
    </row>
    <row r="70" spans="10:30" x14ac:dyDescent="0.25">
      <c r="Q70" s="40">
        <v>125</v>
      </c>
      <c r="R70" s="40">
        <v>125</v>
      </c>
      <c r="S70" s="40">
        <v>125</v>
      </c>
      <c r="T70" s="40">
        <v>125</v>
      </c>
      <c r="U70" s="40">
        <v>125</v>
      </c>
      <c r="V70" s="40">
        <v>125</v>
      </c>
      <c r="W70" s="40">
        <v>125</v>
      </c>
      <c r="X70" s="40">
        <v>125</v>
      </c>
      <c r="Y70" s="40">
        <v>125</v>
      </c>
      <c r="AA70" s="40">
        <v>125</v>
      </c>
      <c r="AB70" s="40">
        <v>125</v>
      </c>
      <c r="AC70" s="40">
        <v>125</v>
      </c>
      <c r="AD70" s="40">
        <v>125</v>
      </c>
    </row>
    <row r="71" spans="10:30" x14ac:dyDescent="0.25">
      <c r="Q71" s="40">
        <v>105</v>
      </c>
      <c r="R71" s="40">
        <v>105</v>
      </c>
      <c r="S71" s="40">
        <v>105</v>
      </c>
      <c r="T71" s="40">
        <v>105</v>
      </c>
      <c r="U71" s="40">
        <v>105</v>
      </c>
      <c r="V71" s="40">
        <v>105</v>
      </c>
      <c r="W71" s="40">
        <v>105</v>
      </c>
      <c r="Y71" s="40">
        <v>105</v>
      </c>
      <c r="AA71" s="40">
        <v>105</v>
      </c>
      <c r="AB71" s="40">
        <v>105</v>
      </c>
      <c r="AC71" s="40">
        <v>105</v>
      </c>
      <c r="AD71" s="40">
        <v>105</v>
      </c>
    </row>
    <row r="72" spans="10:30" x14ac:dyDescent="0.25">
      <c r="Q72" s="40">
        <v>115</v>
      </c>
      <c r="S72" s="40">
        <v>115</v>
      </c>
      <c r="T72" s="40">
        <v>115</v>
      </c>
      <c r="U72" s="40">
        <v>115</v>
      </c>
      <c r="V72" s="40">
        <v>115</v>
      </c>
      <c r="W72" s="40">
        <v>115</v>
      </c>
      <c r="X72" s="40">
        <v>115</v>
      </c>
      <c r="Y72" s="40">
        <v>115</v>
      </c>
      <c r="AA72" s="40">
        <v>115</v>
      </c>
      <c r="AB72" s="40">
        <v>115</v>
      </c>
      <c r="AC72" s="40">
        <v>115</v>
      </c>
    </row>
    <row r="73" spans="10:30" x14ac:dyDescent="0.25">
      <c r="Q73" s="40">
        <v>125</v>
      </c>
      <c r="R73" s="40">
        <v>125</v>
      </c>
      <c r="W73" s="40">
        <v>125</v>
      </c>
      <c r="X73" s="40">
        <v>125</v>
      </c>
      <c r="Y73" s="40">
        <v>125</v>
      </c>
      <c r="AA73" s="40">
        <v>125</v>
      </c>
      <c r="AC73" s="40">
        <v>125</v>
      </c>
      <c r="AD73" s="40">
        <v>125</v>
      </c>
    </row>
    <row r="74" spans="10:30" x14ac:dyDescent="0.25">
      <c r="Q74" s="40">
        <v>160</v>
      </c>
      <c r="R74" s="40">
        <v>160</v>
      </c>
      <c r="S74" s="40">
        <v>160</v>
      </c>
      <c r="T74" s="40">
        <v>160</v>
      </c>
      <c r="U74" s="40">
        <v>160</v>
      </c>
      <c r="V74" s="40">
        <v>160</v>
      </c>
      <c r="W74" s="40">
        <v>160</v>
      </c>
      <c r="X74" s="40">
        <v>160</v>
      </c>
      <c r="Y74" s="40">
        <v>160</v>
      </c>
      <c r="Z74" s="40">
        <v>160</v>
      </c>
      <c r="AA74" s="40">
        <v>160</v>
      </c>
      <c r="AB74" s="40">
        <v>160</v>
      </c>
      <c r="AC74" s="40">
        <v>160</v>
      </c>
      <c r="AD74" s="40">
        <v>160</v>
      </c>
    </row>
    <row r="75" spans="10:30" x14ac:dyDescent="0.25">
      <c r="Q75" s="40">
        <v>160</v>
      </c>
      <c r="R75" s="40">
        <v>160</v>
      </c>
      <c r="S75" s="40">
        <v>160</v>
      </c>
      <c r="T75" s="40">
        <v>160</v>
      </c>
      <c r="U75" s="40">
        <v>160</v>
      </c>
      <c r="V75" s="40">
        <v>160</v>
      </c>
      <c r="W75" s="40">
        <v>160</v>
      </c>
      <c r="X75" s="40">
        <v>160</v>
      </c>
      <c r="Y75" s="40">
        <v>160</v>
      </c>
      <c r="Z75" s="40">
        <v>160</v>
      </c>
      <c r="AA75" s="40">
        <v>160</v>
      </c>
      <c r="AB75" s="40">
        <v>160</v>
      </c>
      <c r="AC75" s="40">
        <v>160</v>
      </c>
      <c r="AD75" s="40">
        <v>160</v>
      </c>
    </row>
    <row r="76" spans="10:30" x14ac:dyDescent="0.25">
      <c r="Q76" s="40">
        <v>145</v>
      </c>
      <c r="R76" s="40">
        <v>145</v>
      </c>
      <c r="S76" s="40">
        <v>145</v>
      </c>
      <c r="T76" s="40">
        <v>145</v>
      </c>
      <c r="U76" s="40">
        <v>145</v>
      </c>
      <c r="V76" s="40">
        <v>145</v>
      </c>
      <c r="W76" s="40">
        <v>145</v>
      </c>
      <c r="X76" s="40">
        <v>145</v>
      </c>
      <c r="Y76" s="40">
        <v>145</v>
      </c>
      <c r="AA76" s="40">
        <v>145</v>
      </c>
      <c r="AB76" s="40">
        <v>145</v>
      </c>
      <c r="AC76" s="40">
        <v>145</v>
      </c>
      <c r="AD76" s="40">
        <v>145</v>
      </c>
    </row>
    <row r="77" spans="10:30" x14ac:dyDescent="0.25">
      <c r="Q77" s="40">
        <v>145</v>
      </c>
      <c r="R77" s="40">
        <v>145</v>
      </c>
      <c r="S77" s="40">
        <v>145</v>
      </c>
      <c r="T77" s="40">
        <v>145</v>
      </c>
      <c r="U77" s="40">
        <v>145</v>
      </c>
      <c r="V77" s="40">
        <v>145</v>
      </c>
      <c r="W77" s="40">
        <v>145</v>
      </c>
      <c r="X77" s="40">
        <v>145</v>
      </c>
      <c r="Y77" s="40">
        <v>145</v>
      </c>
      <c r="AA77" s="40">
        <v>145</v>
      </c>
      <c r="AB77" s="40">
        <v>145</v>
      </c>
      <c r="AC77" s="40">
        <v>145</v>
      </c>
      <c r="AD77" s="40">
        <v>145</v>
      </c>
    </row>
    <row r="78" spans="10:30" x14ac:dyDescent="0.25">
      <c r="Q78" s="40">
        <v>125</v>
      </c>
      <c r="R78" s="40">
        <v>125</v>
      </c>
      <c r="S78" s="40">
        <v>125</v>
      </c>
      <c r="T78" s="40">
        <v>125</v>
      </c>
      <c r="U78" s="40">
        <v>125</v>
      </c>
      <c r="V78" s="40">
        <v>125</v>
      </c>
      <c r="W78" s="40">
        <v>125</v>
      </c>
      <c r="X78" s="40">
        <v>125</v>
      </c>
      <c r="Y78" s="40">
        <v>125</v>
      </c>
      <c r="AA78" s="40">
        <v>125</v>
      </c>
      <c r="AB78" s="40">
        <v>125</v>
      </c>
      <c r="AC78" s="40">
        <v>125</v>
      </c>
      <c r="AD78" s="40">
        <v>125</v>
      </c>
    </row>
    <row r="80" spans="10:30" x14ac:dyDescent="0.25">
      <c r="J80" s="40">
        <v>120</v>
      </c>
      <c r="K80" s="40">
        <v>120</v>
      </c>
      <c r="L80" s="40">
        <v>120</v>
      </c>
      <c r="M80" s="40">
        <v>120</v>
      </c>
      <c r="N80" s="40">
        <v>120</v>
      </c>
      <c r="O80" s="40">
        <v>120</v>
      </c>
      <c r="P80" s="40">
        <v>120</v>
      </c>
      <c r="Q80" s="40">
        <v>120</v>
      </c>
      <c r="R80" s="40">
        <v>120</v>
      </c>
      <c r="T80" s="40">
        <v>120</v>
      </c>
      <c r="U80" s="40">
        <v>120</v>
      </c>
      <c r="V80" s="40">
        <v>120</v>
      </c>
      <c r="W80" s="40">
        <v>120</v>
      </c>
    </row>
    <row r="81" spans="10:23" x14ac:dyDescent="0.25">
      <c r="J81" s="40">
        <v>120</v>
      </c>
      <c r="K81" s="40">
        <v>120</v>
      </c>
      <c r="L81" s="40">
        <v>120</v>
      </c>
      <c r="M81" s="40">
        <v>120</v>
      </c>
      <c r="N81" s="40">
        <v>120</v>
      </c>
      <c r="O81" s="40">
        <v>120</v>
      </c>
      <c r="P81" s="40">
        <v>120</v>
      </c>
      <c r="Q81" s="40">
        <v>120</v>
      </c>
      <c r="R81" s="40">
        <v>120</v>
      </c>
      <c r="T81" s="40">
        <v>120</v>
      </c>
      <c r="U81" s="40">
        <v>120</v>
      </c>
      <c r="V81" s="40">
        <v>120</v>
      </c>
      <c r="W81" s="40">
        <v>120</v>
      </c>
    </row>
    <row r="82" spans="10:23" x14ac:dyDescent="0.25">
      <c r="J82" s="40">
        <v>125</v>
      </c>
      <c r="K82" s="40">
        <v>125</v>
      </c>
      <c r="L82" s="40">
        <v>125</v>
      </c>
      <c r="M82" s="40">
        <v>125</v>
      </c>
      <c r="N82" s="40">
        <v>125</v>
      </c>
      <c r="O82" s="40">
        <v>125</v>
      </c>
      <c r="P82" s="40">
        <v>125</v>
      </c>
      <c r="Q82" s="40">
        <v>125</v>
      </c>
      <c r="R82" s="40">
        <v>125</v>
      </c>
      <c r="T82" s="40">
        <v>125</v>
      </c>
      <c r="U82" s="40">
        <v>125</v>
      </c>
      <c r="V82" s="40">
        <v>125</v>
      </c>
      <c r="W82" s="40">
        <v>125</v>
      </c>
    </row>
    <row r="83" spans="10:23" x14ac:dyDescent="0.25">
      <c r="J83" s="40">
        <v>125</v>
      </c>
      <c r="K83" s="40">
        <v>125</v>
      </c>
      <c r="L83" s="40">
        <v>125</v>
      </c>
      <c r="M83" s="40">
        <v>125</v>
      </c>
      <c r="N83" s="40">
        <v>125</v>
      </c>
      <c r="O83" s="40">
        <v>125</v>
      </c>
      <c r="P83" s="40">
        <v>125</v>
      </c>
      <c r="Q83" s="40">
        <v>125</v>
      </c>
      <c r="R83" s="40">
        <v>125</v>
      </c>
      <c r="S83" s="40">
        <v>125</v>
      </c>
      <c r="T83" s="40">
        <v>125</v>
      </c>
      <c r="U83" s="40">
        <v>125</v>
      </c>
      <c r="V83" s="40">
        <v>125</v>
      </c>
      <c r="W83" s="40">
        <v>125</v>
      </c>
    </row>
    <row r="85" spans="10:23" x14ac:dyDescent="0.25">
      <c r="J85" s="40">
        <v>70</v>
      </c>
      <c r="K85" s="40">
        <v>70</v>
      </c>
      <c r="L85" s="40">
        <v>70</v>
      </c>
      <c r="M85" s="40">
        <v>70</v>
      </c>
      <c r="N85" s="40">
        <v>70</v>
      </c>
      <c r="O85" s="40">
        <v>70</v>
      </c>
      <c r="P85" s="40">
        <v>70</v>
      </c>
      <c r="Q85" s="40">
        <v>70</v>
      </c>
      <c r="R85" s="40">
        <v>70</v>
      </c>
      <c r="S85" s="40">
        <v>70</v>
      </c>
      <c r="T85" s="40">
        <v>70</v>
      </c>
      <c r="U85" s="40">
        <v>70</v>
      </c>
      <c r="V85" s="40">
        <v>70</v>
      </c>
      <c r="W85" s="40">
        <v>70</v>
      </c>
    </row>
    <row r="86" spans="10:23" x14ac:dyDescent="0.25">
      <c r="J86" s="40">
        <v>70</v>
      </c>
      <c r="K86" s="40">
        <v>70</v>
      </c>
      <c r="L86" s="40">
        <v>70</v>
      </c>
      <c r="M86" s="40">
        <v>70</v>
      </c>
      <c r="N86" s="40">
        <v>70</v>
      </c>
      <c r="O86" s="40">
        <v>70</v>
      </c>
      <c r="P86" s="40">
        <v>70</v>
      </c>
      <c r="Q86" s="40">
        <v>70</v>
      </c>
      <c r="R86" s="40">
        <v>70</v>
      </c>
      <c r="S86" s="40">
        <v>70</v>
      </c>
      <c r="T86" s="40">
        <v>70</v>
      </c>
      <c r="U86" s="40">
        <v>70</v>
      </c>
      <c r="V86" s="40">
        <v>70</v>
      </c>
      <c r="W86" s="40">
        <v>70</v>
      </c>
    </row>
    <row r="87" spans="10:23" x14ac:dyDescent="0.25">
      <c r="J87" s="40">
        <v>90</v>
      </c>
      <c r="K87" s="40">
        <v>90</v>
      </c>
      <c r="L87" s="40">
        <v>90</v>
      </c>
      <c r="M87" s="40">
        <v>90</v>
      </c>
      <c r="N87" s="40">
        <v>90</v>
      </c>
      <c r="O87" s="40">
        <v>90</v>
      </c>
      <c r="P87" s="40">
        <v>90</v>
      </c>
      <c r="Q87" s="40">
        <v>90</v>
      </c>
      <c r="R87" s="40">
        <v>90</v>
      </c>
      <c r="T87" s="40">
        <v>90</v>
      </c>
      <c r="U87" s="40">
        <v>90</v>
      </c>
      <c r="V87" s="40">
        <v>90</v>
      </c>
      <c r="W87" s="40">
        <v>90</v>
      </c>
    </row>
    <row r="89" spans="10:23" x14ac:dyDescent="0.25">
      <c r="J89" s="40">
        <v>90</v>
      </c>
      <c r="K89" s="40">
        <v>90</v>
      </c>
      <c r="L89" s="40">
        <v>90</v>
      </c>
      <c r="M89" s="40">
        <v>90</v>
      </c>
      <c r="N89" s="40">
        <v>90</v>
      </c>
      <c r="O89" s="40">
        <v>90</v>
      </c>
      <c r="P89" s="40">
        <v>90</v>
      </c>
      <c r="Q89" s="40">
        <v>90</v>
      </c>
      <c r="R89" s="40">
        <v>90</v>
      </c>
      <c r="T89" s="40">
        <v>90</v>
      </c>
      <c r="U89" s="40">
        <v>90</v>
      </c>
      <c r="V89" s="40">
        <v>90</v>
      </c>
      <c r="W89" s="40">
        <v>90</v>
      </c>
    </row>
    <row r="90" spans="10:23" x14ac:dyDescent="0.25">
      <c r="J90" s="40">
        <v>115</v>
      </c>
      <c r="K90" s="40">
        <v>115</v>
      </c>
      <c r="L90" s="40">
        <v>115</v>
      </c>
      <c r="M90" s="40">
        <v>115</v>
      </c>
      <c r="N90" s="40">
        <v>115</v>
      </c>
      <c r="O90" s="40">
        <v>115</v>
      </c>
      <c r="P90" s="40">
        <v>115</v>
      </c>
      <c r="Q90" s="40">
        <v>115</v>
      </c>
      <c r="R90" s="40">
        <v>115</v>
      </c>
      <c r="S90" s="40">
        <v>115</v>
      </c>
      <c r="T90" s="40">
        <v>115</v>
      </c>
      <c r="U90" s="40">
        <v>115</v>
      </c>
      <c r="V90" s="40">
        <v>115</v>
      </c>
      <c r="W90" s="40">
        <v>115</v>
      </c>
    </row>
    <row r="91" spans="10:23" x14ac:dyDescent="0.25">
      <c r="J91" s="40">
        <v>115</v>
      </c>
      <c r="K91" s="40">
        <v>115</v>
      </c>
      <c r="L91" s="40">
        <v>115</v>
      </c>
      <c r="M91" s="40">
        <v>115</v>
      </c>
      <c r="N91" s="40">
        <v>115</v>
      </c>
      <c r="O91" s="40">
        <v>115</v>
      </c>
      <c r="P91" s="40">
        <v>115</v>
      </c>
      <c r="Q91" s="40">
        <v>115</v>
      </c>
      <c r="R91" s="40">
        <v>115</v>
      </c>
      <c r="S91" s="40">
        <v>115</v>
      </c>
      <c r="T91" s="40">
        <v>115</v>
      </c>
      <c r="U91" s="40">
        <v>115</v>
      </c>
      <c r="V91" s="40">
        <v>115</v>
      </c>
      <c r="W91" s="40">
        <v>115</v>
      </c>
    </row>
    <row r="92" spans="10:23" x14ac:dyDescent="0.25">
      <c r="J92" s="40">
        <v>90</v>
      </c>
      <c r="K92" s="40">
        <v>90</v>
      </c>
      <c r="L92" s="40">
        <v>90</v>
      </c>
      <c r="M92" s="40">
        <v>90</v>
      </c>
      <c r="N92" s="40">
        <v>90</v>
      </c>
      <c r="O92" s="40">
        <v>90</v>
      </c>
      <c r="P92" s="40">
        <v>90</v>
      </c>
      <c r="Q92" s="40">
        <v>90</v>
      </c>
      <c r="R92" s="40">
        <v>90</v>
      </c>
      <c r="T92" s="40">
        <v>90</v>
      </c>
      <c r="U92" s="40">
        <v>90</v>
      </c>
      <c r="V92" s="40">
        <v>90</v>
      </c>
      <c r="W92" s="40">
        <v>90</v>
      </c>
    </row>
    <row r="93" spans="10:23" x14ac:dyDescent="0.25">
      <c r="J93" s="40">
        <v>80</v>
      </c>
      <c r="K93" s="40">
        <v>80</v>
      </c>
      <c r="L93" s="40">
        <v>80</v>
      </c>
      <c r="M93" s="40">
        <v>80</v>
      </c>
      <c r="N93" s="40">
        <v>80</v>
      </c>
      <c r="O93" s="40">
        <v>80</v>
      </c>
      <c r="P93" s="40">
        <v>80</v>
      </c>
      <c r="Q93" s="40">
        <v>80</v>
      </c>
      <c r="R93" s="40">
        <v>80</v>
      </c>
      <c r="T93" s="40">
        <v>80</v>
      </c>
      <c r="U93" s="40">
        <v>80</v>
      </c>
      <c r="V93" s="40">
        <v>80</v>
      </c>
      <c r="W93" s="40">
        <v>80</v>
      </c>
    </row>
    <row r="94" spans="10:23" x14ac:dyDescent="0.25">
      <c r="J94" s="40">
        <v>100</v>
      </c>
      <c r="K94" s="40">
        <v>100</v>
      </c>
      <c r="L94" s="40">
        <v>100</v>
      </c>
      <c r="M94" s="40">
        <v>100</v>
      </c>
      <c r="N94" s="40">
        <v>100</v>
      </c>
      <c r="O94" s="40">
        <v>100</v>
      </c>
      <c r="P94" s="40">
        <v>100</v>
      </c>
      <c r="Q94" s="40">
        <v>100</v>
      </c>
      <c r="R94" s="40">
        <v>100</v>
      </c>
      <c r="T94" s="40">
        <v>100</v>
      </c>
      <c r="U94" s="40">
        <v>100</v>
      </c>
      <c r="V94" s="40">
        <v>100</v>
      </c>
      <c r="W94" s="40">
        <v>100</v>
      </c>
    </row>
    <row r="95" spans="10:23" x14ac:dyDescent="0.25">
      <c r="J95" s="40">
        <v>95</v>
      </c>
      <c r="K95" s="40">
        <v>95</v>
      </c>
      <c r="L95" s="40">
        <v>95</v>
      </c>
      <c r="M95" s="40">
        <v>95</v>
      </c>
      <c r="N95" s="40">
        <v>95</v>
      </c>
      <c r="O95" s="40">
        <v>95</v>
      </c>
      <c r="P95" s="40">
        <v>95</v>
      </c>
      <c r="Q95" s="40">
        <v>95</v>
      </c>
      <c r="R95" s="40">
        <v>95</v>
      </c>
      <c r="T95" s="40">
        <v>95</v>
      </c>
      <c r="U95" s="40">
        <v>95</v>
      </c>
      <c r="V95" s="40">
        <v>95</v>
      </c>
      <c r="W95" s="40">
        <v>95</v>
      </c>
    </row>
    <row r="97" spans="10:22" x14ac:dyDescent="0.25">
      <c r="J97" s="40">
        <v>165</v>
      </c>
      <c r="K97" s="40">
        <v>165</v>
      </c>
      <c r="L97" s="40">
        <v>165</v>
      </c>
      <c r="M97" s="40">
        <v>165</v>
      </c>
      <c r="N97" s="40">
        <v>165</v>
      </c>
      <c r="O97" s="40">
        <v>165</v>
      </c>
      <c r="P97" s="40">
        <v>165</v>
      </c>
      <c r="Q97" s="40">
        <v>165</v>
      </c>
      <c r="R97" s="40">
        <v>165</v>
      </c>
      <c r="S97" s="40">
        <v>165</v>
      </c>
      <c r="T97" s="40">
        <v>165</v>
      </c>
      <c r="U97" s="40">
        <v>165</v>
      </c>
      <c r="V97" s="40">
        <v>165</v>
      </c>
    </row>
    <row r="98" spans="10:22" x14ac:dyDescent="0.25">
      <c r="J98" s="40">
        <v>155</v>
      </c>
      <c r="K98" s="40">
        <v>155</v>
      </c>
      <c r="L98" s="40">
        <v>155</v>
      </c>
      <c r="M98" s="40">
        <v>155</v>
      </c>
      <c r="N98" s="40">
        <v>155</v>
      </c>
      <c r="O98" s="40">
        <v>155</v>
      </c>
      <c r="P98" s="40">
        <v>155</v>
      </c>
      <c r="Q98" s="40">
        <v>155</v>
      </c>
      <c r="R98" s="40">
        <v>155</v>
      </c>
      <c r="S98" s="40">
        <v>155</v>
      </c>
      <c r="T98" s="40">
        <v>155</v>
      </c>
      <c r="U98" s="40">
        <v>155</v>
      </c>
      <c r="V98" s="40">
        <v>155</v>
      </c>
    </row>
    <row r="99" spans="10:22" x14ac:dyDescent="0.25">
      <c r="J99" s="40">
        <v>160</v>
      </c>
      <c r="K99" s="40">
        <v>160</v>
      </c>
      <c r="L99" s="40">
        <v>160</v>
      </c>
      <c r="M99" s="40">
        <v>160</v>
      </c>
      <c r="N99" s="40">
        <v>160</v>
      </c>
      <c r="O99" s="40">
        <v>160</v>
      </c>
      <c r="P99" s="40">
        <v>160</v>
      </c>
      <c r="Q99" s="40">
        <v>160</v>
      </c>
      <c r="R99" s="40">
        <v>160</v>
      </c>
      <c r="S99" s="40">
        <v>160</v>
      </c>
      <c r="T99" s="40">
        <v>160</v>
      </c>
      <c r="U99" s="40">
        <v>160</v>
      </c>
      <c r="V99" s="40">
        <v>160</v>
      </c>
    </row>
    <row r="101" spans="10:22" x14ac:dyDescent="0.25">
      <c r="J101" s="40">
        <v>187.5</v>
      </c>
      <c r="K101" s="40">
        <v>187.5</v>
      </c>
      <c r="L101" s="40">
        <v>187.5</v>
      </c>
      <c r="M101" s="40">
        <v>187.5</v>
      </c>
      <c r="N101" s="40">
        <v>187.5</v>
      </c>
      <c r="O101" s="40">
        <v>187.5</v>
      </c>
      <c r="P101" s="40">
        <v>187.5</v>
      </c>
      <c r="Q101" s="40">
        <v>187.5</v>
      </c>
      <c r="R101" s="40">
        <v>187.5</v>
      </c>
      <c r="S101" s="40">
        <v>187.5</v>
      </c>
      <c r="T101" s="40">
        <v>187.5</v>
      </c>
      <c r="U101" s="40">
        <v>187.5</v>
      </c>
      <c r="V101" s="40">
        <v>187.5</v>
      </c>
    </row>
    <row r="103" spans="10:22" x14ac:dyDescent="0.25">
      <c r="J103" s="40">
        <v>135</v>
      </c>
      <c r="K103" s="40">
        <v>135</v>
      </c>
      <c r="L103" s="40">
        <v>135</v>
      </c>
      <c r="M103" s="40">
        <v>135</v>
      </c>
      <c r="N103" s="40">
        <v>135</v>
      </c>
      <c r="O103" s="40">
        <v>135</v>
      </c>
      <c r="P103" s="40">
        <v>135</v>
      </c>
      <c r="Q103" s="40">
        <v>135</v>
      </c>
      <c r="R103" s="40">
        <v>135</v>
      </c>
      <c r="S103" s="40">
        <v>135</v>
      </c>
      <c r="T103" s="40">
        <v>135</v>
      </c>
    </row>
    <row r="104" spans="10:22" x14ac:dyDescent="0.25">
      <c r="J104" s="40">
        <v>135</v>
      </c>
      <c r="K104" s="40">
        <v>135</v>
      </c>
      <c r="L104" s="40">
        <v>135</v>
      </c>
      <c r="M104" s="40">
        <v>135</v>
      </c>
      <c r="N104" s="40">
        <v>135</v>
      </c>
      <c r="O104" s="40">
        <v>135</v>
      </c>
      <c r="P104" s="40">
        <v>135</v>
      </c>
      <c r="Q104" s="40">
        <v>135</v>
      </c>
      <c r="R104" s="40">
        <v>135</v>
      </c>
      <c r="S104" s="40">
        <v>135</v>
      </c>
      <c r="T104" s="40">
        <v>135</v>
      </c>
    </row>
    <row r="106" spans="10:22" x14ac:dyDescent="0.25">
      <c r="J106" s="40">
        <v>115</v>
      </c>
      <c r="K106" s="40">
        <v>115</v>
      </c>
      <c r="L106" s="40">
        <v>115</v>
      </c>
      <c r="M106" s="40">
        <v>115</v>
      </c>
      <c r="N106" s="40">
        <v>115</v>
      </c>
      <c r="O106" s="40">
        <v>115</v>
      </c>
      <c r="P106" s="40">
        <v>115</v>
      </c>
      <c r="Q106" s="40">
        <v>115</v>
      </c>
      <c r="R106" s="40">
        <v>115</v>
      </c>
      <c r="S106" s="40">
        <v>115</v>
      </c>
      <c r="T106" s="40">
        <v>115</v>
      </c>
      <c r="U106" s="40">
        <v>115</v>
      </c>
    </row>
    <row r="108" spans="10:22" x14ac:dyDescent="0.25">
      <c r="J108" s="40">
        <v>75</v>
      </c>
      <c r="K108" s="40">
        <v>75</v>
      </c>
      <c r="L108" s="40">
        <v>75</v>
      </c>
      <c r="M108" s="40">
        <v>75</v>
      </c>
      <c r="N108" s="40">
        <v>75</v>
      </c>
      <c r="O108" s="40">
        <v>75</v>
      </c>
      <c r="P108" s="40">
        <v>75</v>
      </c>
      <c r="Q108" s="40">
        <v>75</v>
      </c>
      <c r="R108" s="40">
        <v>75</v>
      </c>
      <c r="S108" s="40">
        <v>75</v>
      </c>
      <c r="T108" s="40">
        <v>75</v>
      </c>
    </row>
    <row r="109" spans="10:22" x14ac:dyDescent="0.25">
      <c r="J109" s="40">
        <v>65</v>
      </c>
      <c r="K109" s="40">
        <v>65</v>
      </c>
      <c r="L109" s="40">
        <v>65</v>
      </c>
      <c r="M109" s="40">
        <v>65</v>
      </c>
      <c r="N109" s="40">
        <v>65</v>
      </c>
      <c r="O109" s="40">
        <v>65</v>
      </c>
      <c r="P109" s="40">
        <v>65</v>
      </c>
      <c r="Q109" s="40">
        <v>65</v>
      </c>
      <c r="R109" s="40">
        <v>65</v>
      </c>
      <c r="S109" s="40">
        <v>65</v>
      </c>
      <c r="T109" s="40">
        <v>65</v>
      </c>
    </row>
    <row r="110" spans="10:22" x14ac:dyDescent="0.25">
      <c r="J110" s="40">
        <v>65</v>
      </c>
      <c r="K110" s="40">
        <v>65</v>
      </c>
      <c r="L110" s="40">
        <v>65</v>
      </c>
      <c r="M110" s="40">
        <v>65</v>
      </c>
      <c r="N110" s="40">
        <v>65</v>
      </c>
      <c r="O110" s="40">
        <v>65</v>
      </c>
      <c r="P110" s="40">
        <v>65</v>
      </c>
      <c r="Q110" s="40">
        <v>65</v>
      </c>
      <c r="R110" s="40">
        <v>65</v>
      </c>
      <c r="S110" s="40">
        <v>65</v>
      </c>
      <c r="T110" s="40">
        <v>65</v>
      </c>
    </row>
    <row r="111" spans="10:22" x14ac:dyDescent="0.25">
      <c r="L111" s="40">
        <v>85</v>
      </c>
      <c r="M111" s="40">
        <v>85</v>
      </c>
      <c r="N111" s="40">
        <v>85</v>
      </c>
      <c r="O111" s="40">
        <v>85</v>
      </c>
      <c r="P111" s="40">
        <v>85</v>
      </c>
    </row>
    <row r="113" spans="10:28" x14ac:dyDescent="0.25">
      <c r="J113" s="40">
        <v>120</v>
      </c>
      <c r="K113" s="40">
        <v>120</v>
      </c>
      <c r="L113" s="40">
        <v>120</v>
      </c>
      <c r="M113" s="40">
        <v>120</v>
      </c>
      <c r="N113" s="40">
        <v>120</v>
      </c>
      <c r="O113" s="40">
        <v>120</v>
      </c>
      <c r="P113" s="40">
        <v>120</v>
      </c>
      <c r="Q113" s="40">
        <v>120</v>
      </c>
      <c r="R113" s="40">
        <v>120</v>
      </c>
      <c r="S113" s="40">
        <v>120</v>
      </c>
      <c r="T113" s="40">
        <v>120</v>
      </c>
    </row>
    <row r="115" spans="10:28" x14ac:dyDescent="0.25">
      <c r="J115" s="40">
        <v>70</v>
      </c>
      <c r="K115" s="40">
        <v>70</v>
      </c>
      <c r="L115" s="40">
        <v>70</v>
      </c>
      <c r="M115" s="40">
        <v>70</v>
      </c>
      <c r="N115" s="40">
        <v>70</v>
      </c>
      <c r="O115" s="40">
        <v>70</v>
      </c>
      <c r="P115" s="40">
        <v>70</v>
      </c>
      <c r="Q115" s="40">
        <v>70</v>
      </c>
      <c r="R115" s="40">
        <v>70</v>
      </c>
      <c r="S115" s="40">
        <v>70</v>
      </c>
      <c r="T115" s="40">
        <v>70</v>
      </c>
    </row>
    <row r="119" spans="10:28" x14ac:dyDescent="0.25">
      <c r="J119" s="40">
        <v>35</v>
      </c>
      <c r="K119" s="40">
        <v>35</v>
      </c>
      <c r="L119" s="40">
        <v>35</v>
      </c>
      <c r="M119" s="40">
        <v>35</v>
      </c>
      <c r="N119" s="40">
        <v>35</v>
      </c>
      <c r="O119" s="40">
        <v>35</v>
      </c>
      <c r="P119" s="40">
        <v>35</v>
      </c>
      <c r="Q119" s="40">
        <v>35</v>
      </c>
      <c r="R119" s="40">
        <v>35</v>
      </c>
      <c r="S119" s="40">
        <v>35</v>
      </c>
      <c r="T119" s="40">
        <v>35</v>
      </c>
      <c r="U119" s="40">
        <v>35</v>
      </c>
    </row>
    <row r="120" spans="10:28" x14ac:dyDescent="0.25">
      <c r="J120" s="40">
        <v>35</v>
      </c>
      <c r="K120" s="40">
        <v>35</v>
      </c>
      <c r="L120" s="40">
        <v>35</v>
      </c>
      <c r="M120" s="40">
        <v>35</v>
      </c>
      <c r="N120" s="40">
        <v>35</v>
      </c>
      <c r="O120" s="40">
        <v>35</v>
      </c>
      <c r="P120" s="40">
        <v>35</v>
      </c>
      <c r="Q120" s="40">
        <v>35</v>
      </c>
      <c r="R120" s="40">
        <v>35</v>
      </c>
      <c r="S120" s="40">
        <v>35</v>
      </c>
      <c r="T120" s="40">
        <v>35</v>
      </c>
      <c r="U120" s="40">
        <v>35</v>
      </c>
    </row>
    <row r="121" spans="10:28" x14ac:dyDescent="0.25">
      <c r="J121" s="40">
        <v>35</v>
      </c>
      <c r="K121" s="40">
        <v>35</v>
      </c>
      <c r="L121" s="40">
        <v>35</v>
      </c>
      <c r="M121" s="40">
        <v>35</v>
      </c>
      <c r="N121" s="40">
        <v>35</v>
      </c>
      <c r="O121" s="40">
        <v>35</v>
      </c>
      <c r="P121" s="40">
        <v>35</v>
      </c>
      <c r="Q121" s="40">
        <v>35</v>
      </c>
      <c r="R121" s="40">
        <v>35</v>
      </c>
      <c r="S121" s="40">
        <v>35</v>
      </c>
      <c r="T121" s="40">
        <v>35</v>
      </c>
      <c r="U121" s="40">
        <v>35</v>
      </c>
    </row>
    <row r="122" spans="10:28" x14ac:dyDescent="0.25">
      <c r="J122" s="40">
        <v>35</v>
      </c>
      <c r="K122" s="40">
        <v>35</v>
      </c>
      <c r="M122" s="40">
        <v>35</v>
      </c>
      <c r="O122" s="40">
        <v>35</v>
      </c>
      <c r="P122" s="40">
        <v>35</v>
      </c>
      <c r="Q122" s="40">
        <v>35</v>
      </c>
      <c r="R122" s="40">
        <v>35</v>
      </c>
      <c r="S122" s="40">
        <v>35</v>
      </c>
      <c r="T122" s="40">
        <v>35</v>
      </c>
      <c r="U122" s="40">
        <v>35</v>
      </c>
      <c r="V122" s="40">
        <v>35</v>
      </c>
      <c r="W122" s="40">
        <v>35</v>
      </c>
      <c r="X122" s="40">
        <v>35</v>
      </c>
      <c r="Y122" s="40">
        <v>35</v>
      </c>
      <c r="Z122" s="40">
        <v>35</v>
      </c>
      <c r="AA122" s="40">
        <v>35</v>
      </c>
      <c r="AB122" s="40">
        <v>35</v>
      </c>
    </row>
    <row r="124" spans="10:28" x14ac:dyDescent="0.25">
      <c r="J124" s="40">
        <v>100</v>
      </c>
      <c r="K124" s="40">
        <v>100</v>
      </c>
      <c r="N124" s="40">
        <v>100</v>
      </c>
    </row>
    <row r="126" spans="10:28" x14ac:dyDescent="0.25">
      <c r="J126" s="40">
        <v>50</v>
      </c>
      <c r="K126" s="40">
        <v>50</v>
      </c>
      <c r="L126" s="40">
        <v>50</v>
      </c>
      <c r="M126" s="40">
        <v>50</v>
      </c>
      <c r="N126" s="40">
        <v>50</v>
      </c>
      <c r="O126" s="40">
        <v>50</v>
      </c>
      <c r="P126" s="40">
        <v>50</v>
      </c>
      <c r="Q126" s="40">
        <v>50</v>
      </c>
      <c r="R126" s="40">
        <v>50</v>
      </c>
      <c r="S126" s="40">
        <v>50</v>
      </c>
      <c r="T126" s="40">
        <v>50</v>
      </c>
      <c r="U126" s="40">
        <v>50</v>
      </c>
      <c r="V126" s="40">
        <v>50</v>
      </c>
    </row>
    <row r="127" spans="10:28" x14ac:dyDescent="0.25">
      <c r="J127" s="40">
        <v>50</v>
      </c>
      <c r="K127" s="40">
        <v>50</v>
      </c>
      <c r="L127" s="40">
        <v>50</v>
      </c>
      <c r="M127" s="40">
        <v>50</v>
      </c>
      <c r="N127" s="40">
        <v>50</v>
      </c>
      <c r="O127" s="40">
        <v>50</v>
      </c>
      <c r="P127" s="40">
        <v>50</v>
      </c>
      <c r="Q127" s="40">
        <v>50</v>
      </c>
      <c r="R127" s="40">
        <v>50</v>
      </c>
      <c r="S127" s="40">
        <v>50</v>
      </c>
      <c r="U127" s="40">
        <v>50</v>
      </c>
      <c r="V127" s="40">
        <v>50</v>
      </c>
    </row>
    <row r="129" spans="10:15" x14ac:dyDescent="0.25">
      <c r="J129" s="40">
        <v>22.5</v>
      </c>
      <c r="K129" s="40">
        <v>22.5</v>
      </c>
      <c r="L129" s="40">
        <v>22.5</v>
      </c>
      <c r="M129" s="40">
        <v>22.5</v>
      </c>
      <c r="N129" s="40">
        <v>22.5</v>
      </c>
      <c r="O129" s="40">
        <v>22.5</v>
      </c>
    </row>
    <row r="130" spans="10:15" x14ac:dyDescent="0.25">
      <c r="J130" s="40">
        <v>20</v>
      </c>
      <c r="K130" s="40">
        <v>20</v>
      </c>
      <c r="L130" s="40">
        <v>20</v>
      </c>
      <c r="M130" s="40">
        <v>20</v>
      </c>
      <c r="N130" s="40">
        <v>20</v>
      </c>
      <c r="O130" s="40">
        <v>20</v>
      </c>
    </row>
    <row r="133" spans="10:15" x14ac:dyDescent="0.25">
      <c r="J133" s="40">
        <v>15</v>
      </c>
    </row>
  </sheetData>
  <sheetProtection password="E42B" sheet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ellFormats"/>
  <dimension ref="A1:D1177"/>
  <sheetViews>
    <sheetView workbookViewId="0"/>
  </sheetViews>
  <sheetFormatPr defaultRowHeight="15" x14ac:dyDescent="0.25"/>
  <sheetData>
    <row r="1" spans="1:4" x14ac:dyDescent="0.25">
      <c r="A1" s="1" t="s">
        <v>2829</v>
      </c>
      <c r="C1" s="1" t="s">
        <v>2830</v>
      </c>
      <c r="D1" s="1" t="s">
        <v>2831</v>
      </c>
    </row>
    <row r="2" spans="1:4" x14ac:dyDescent="0.25">
      <c r="A2" s="1" t="s">
        <v>2832</v>
      </c>
      <c r="C2" s="1" t="s">
        <v>2832</v>
      </c>
      <c r="D2" s="1" t="s">
        <v>2833</v>
      </c>
    </row>
    <row r="3" spans="1:4" x14ac:dyDescent="0.25">
      <c r="A3" s="1" t="s">
        <v>2834</v>
      </c>
      <c r="C3" s="1" t="s">
        <v>2834</v>
      </c>
      <c r="D3" s="1" t="s">
        <v>2833</v>
      </c>
    </row>
    <row r="4" spans="1:4" x14ac:dyDescent="0.25">
      <c r="A4" s="1" t="s">
        <v>2835</v>
      </c>
      <c r="C4" s="1" t="s">
        <v>2835</v>
      </c>
      <c r="D4" s="1" t="s">
        <v>2833</v>
      </c>
    </row>
    <row r="5" spans="1:4" x14ac:dyDescent="0.25">
      <c r="A5" s="1" t="s">
        <v>2836</v>
      </c>
      <c r="C5" s="1" t="s">
        <v>2836</v>
      </c>
      <c r="D5" s="1" t="s">
        <v>2833</v>
      </c>
    </row>
    <row r="6" spans="1:4" x14ac:dyDescent="0.25">
      <c r="A6" s="1" t="s">
        <v>2837</v>
      </c>
      <c r="C6" s="1" t="s">
        <v>2837</v>
      </c>
      <c r="D6" s="1" t="s">
        <v>2833</v>
      </c>
    </row>
    <row r="7" spans="1:4" x14ac:dyDescent="0.25">
      <c r="A7" s="1" t="s">
        <v>2838</v>
      </c>
      <c r="C7" s="1" t="s">
        <v>2838</v>
      </c>
      <c r="D7" s="1" t="s">
        <v>2833</v>
      </c>
    </row>
    <row r="8" spans="1:4" x14ac:dyDescent="0.25">
      <c r="A8" s="1" t="s">
        <v>2839</v>
      </c>
      <c r="C8" s="1" t="s">
        <v>2839</v>
      </c>
      <c r="D8" s="1" t="s">
        <v>2833</v>
      </c>
    </row>
    <row r="9" spans="1:4" x14ac:dyDescent="0.25">
      <c r="A9" s="1" t="s">
        <v>2840</v>
      </c>
      <c r="C9" s="1" t="s">
        <v>2840</v>
      </c>
      <c r="D9" s="1" t="s">
        <v>2833</v>
      </c>
    </row>
    <row r="10" spans="1:4" x14ac:dyDescent="0.25">
      <c r="A10" s="1" t="s">
        <v>2841</v>
      </c>
      <c r="C10" s="1" t="s">
        <v>2841</v>
      </c>
      <c r="D10" s="1" t="s">
        <v>2833</v>
      </c>
    </row>
    <row r="11" spans="1:4" x14ac:dyDescent="0.25">
      <c r="A11" s="1" t="s">
        <v>2842</v>
      </c>
      <c r="C11" s="1" t="s">
        <v>2842</v>
      </c>
      <c r="D11" s="1" t="s">
        <v>2833</v>
      </c>
    </row>
    <row r="12" spans="1:4" x14ac:dyDescent="0.25">
      <c r="A12" s="1" t="s">
        <v>2843</v>
      </c>
      <c r="C12" s="1" t="s">
        <v>2843</v>
      </c>
      <c r="D12" s="1" t="s">
        <v>2833</v>
      </c>
    </row>
    <row r="13" spans="1:4" x14ac:dyDescent="0.25">
      <c r="A13" s="1" t="s">
        <v>2844</v>
      </c>
      <c r="C13" s="1" t="s">
        <v>2844</v>
      </c>
      <c r="D13" s="1" t="s">
        <v>2833</v>
      </c>
    </row>
    <row r="14" spans="1:4" x14ac:dyDescent="0.25">
      <c r="A14" s="1" t="s">
        <v>2845</v>
      </c>
      <c r="C14" s="1" t="s">
        <v>2845</v>
      </c>
      <c r="D14" s="1" t="s">
        <v>2833</v>
      </c>
    </row>
    <row r="15" spans="1:4" x14ac:dyDescent="0.25">
      <c r="A15" s="1" t="s">
        <v>2846</v>
      </c>
      <c r="C15" s="1" t="s">
        <v>2846</v>
      </c>
      <c r="D15" s="1" t="s">
        <v>2833</v>
      </c>
    </row>
    <row r="16" spans="1:4" x14ac:dyDescent="0.25">
      <c r="A16" s="1" t="s">
        <v>2847</v>
      </c>
      <c r="C16" s="1" t="s">
        <v>2847</v>
      </c>
      <c r="D16" s="1" t="s">
        <v>2833</v>
      </c>
    </row>
    <row r="17" spans="1:4" x14ac:dyDescent="0.25">
      <c r="A17" s="1" t="s">
        <v>2848</v>
      </c>
      <c r="C17" s="1" t="s">
        <v>2848</v>
      </c>
      <c r="D17" s="1" t="s">
        <v>2833</v>
      </c>
    </row>
    <row r="18" spans="1:4" x14ac:dyDescent="0.25">
      <c r="A18" s="1" t="s">
        <v>2849</v>
      </c>
      <c r="C18" s="1" t="s">
        <v>2849</v>
      </c>
      <c r="D18" s="1" t="s">
        <v>2833</v>
      </c>
    </row>
    <row r="19" spans="1:4" x14ac:dyDescent="0.25">
      <c r="A19" s="1" t="s">
        <v>2850</v>
      </c>
      <c r="C19" s="1" t="s">
        <v>2850</v>
      </c>
      <c r="D19" s="1" t="s">
        <v>2833</v>
      </c>
    </row>
    <row r="20" spans="1:4" x14ac:dyDescent="0.25">
      <c r="A20" s="1" t="s">
        <v>2851</v>
      </c>
      <c r="C20" s="1" t="s">
        <v>2851</v>
      </c>
      <c r="D20" s="1" t="s">
        <v>2833</v>
      </c>
    </row>
    <row r="21" spans="1:4" x14ac:dyDescent="0.25">
      <c r="A21" s="1" t="s">
        <v>2852</v>
      </c>
      <c r="C21" s="1" t="s">
        <v>2852</v>
      </c>
      <c r="D21" s="1" t="s">
        <v>2833</v>
      </c>
    </row>
    <row r="22" spans="1:4" x14ac:dyDescent="0.25">
      <c r="A22" s="1" t="s">
        <v>2853</v>
      </c>
      <c r="C22" s="1" t="s">
        <v>2853</v>
      </c>
      <c r="D22" s="1" t="s">
        <v>2833</v>
      </c>
    </row>
    <row r="23" spans="1:4" x14ac:dyDescent="0.25">
      <c r="A23" s="1" t="s">
        <v>2854</v>
      </c>
      <c r="C23" s="1" t="s">
        <v>2854</v>
      </c>
      <c r="D23" s="1" t="s">
        <v>2833</v>
      </c>
    </row>
    <row r="24" spans="1:4" x14ac:dyDescent="0.25">
      <c r="A24" s="1" t="s">
        <v>2855</v>
      </c>
      <c r="C24" s="1" t="s">
        <v>2855</v>
      </c>
      <c r="D24" s="1" t="s">
        <v>2833</v>
      </c>
    </row>
    <row r="25" spans="1:4" x14ac:dyDescent="0.25">
      <c r="A25" s="1" t="s">
        <v>2856</v>
      </c>
      <c r="C25" s="1" t="s">
        <v>2856</v>
      </c>
      <c r="D25" s="1" t="s">
        <v>2833</v>
      </c>
    </row>
    <row r="26" spans="1:4" x14ac:dyDescent="0.25">
      <c r="A26" s="1" t="s">
        <v>2857</v>
      </c>
      <c r="C26" s="1" t="s">
        <v>2857</v>
      </c>
      <c r="D26" s="1" t="s">
        <v>2833</v>
      </c>
    </row>
    <row r="27" spans="1:4" x14ac:dyDescent="0.25">
      <c r="A27" s="1" t="s">
        <v>2858</v>
      </c>
      <c r="C27" s="1" t="s">
        <v>2858</v>
      </c>
      <c r="D27" s="1" t="s">
        <v>2833</v>
      </c>
    </row>
    <row r="28" spans="1:4" x14ac:dyDescent="0.25">
      <c r="A28" s="1" t="s">
        <v>2859</v>
      </c>
      <c r="C28" s="1" t="s">
        <v>2859</v>
      </c>
      <c r="D28" s="1" t="s">
        <v>2833</v>
      </c>
    </row>
    <row r="29" spans="1:4" x14ac:dyDescent="0.25">
      <c r="A29" s="1" t="s">
        <v>2860</v>
      </c>
      <c r="C29" s="1" t="s">
        <v>2860</v>
      </c>
      <c r="D29" s="1" t="s">
        <v>2833</v>
      </c>
    </row>
    <row r="30" spans="1:4" x14ac:dyDescent="0.25">
      <c r="A30" s="1" t="s">
        <v>2861</v>
      </c>
      <c r="C30" s="1" t="s">
        <v>2861</v>
      </c>
      <c r="D30" s="1" t="s">
        <v>2833</v>
      </c>
    </row>
    <row r="31" spans="1:4" x14ac:dyDescent="0.25">
      <c r="A31" s="1" t="s">
        <v>2862</v>
      </c>
      <c r="C31" s="1" t="s">
        <v>2862</v>
      </c>
      <c r="D31" s="1" t="s">
        <v>2833</v>
      </c>
    </row>
    <row r="32" spans="1:4" x14ac:dyDescent="0.25">
      <c r="A32" s="1" t="s">
        <v>2863</v>
      </c>
      <c r="C32" s="1" t="s">
        <v>2863</v>
      </c>
      <c r="D32" s="1" t="s">
        <v>2833</v>
      </c>
    </row>
    <row r="33" spans="1:4" x14ac:dyDescent="0.25">
      <c r="A33" s="1" t="s">
        <v>2864</v>
      </c>
      <c r="C33" s="1" t="s">
        <v>2864</v>
      </c>
      <c r="D33" s="1" t="s">
        <v>2833</v>
      </c>
    </row>
    <row r="34" spans="1:4" x14ac:dyDescent="0.25">
      <c r="A34" s="1" t="s">
        <v>2865</v>
      </c>
      <c r="C34" s="1" t="s">
        <v>2865</v>
      </c>
      <c r="D34" s="1" t="s">
        <v>2833</v>
      </c>
    </row>
    <row r="35" spans="1:4" x14ac:dyDescent="0.25">
      <c r="A35" s="1" t="s">
        <v>2866</v>
      </c>
      <c r="C35" s="1" t="s">
        <v>2866</v>
      </c>
      <c r="D35" s="1" t="s">
        <v>2833</v>
      </c>
    </row>
    <row r="36" spans="1:4" x14ac:dyDescent="0.25">
      <c r="A36" s="1" t="s">
        <v>2867</v>
      </c>
      <c r="C36" s="1" t="s">
        <v>2867</v>
      </c>
      <c r="D36" s="1" t="s">
        <v>2833</v>
      </c>
    </row>
    <row r="37" spans="1:4" x14ac:dyDescent="0.25">
      <c r="A37" s="1" t="s">
        <v>2868</v>
      </c>
      <c r="C37" s="1" t="s">
        <v>2868</v>
      </c>
      <c r="D37" s="1" t="s">
        <v>2833</v>
      </c>
    </row>
    <row r="38" spans="1:4" x14ac:dyDescent="0.25">
      <c r="A38" s="1" t="s">
        <v>2869</v>
      </c>
      <c r="C38" s="1" t="s">
        <v>2869</v>
      </c>
      <c r="D38" s="1" t="s">
        <v>2833</v>
      </c>
    </row>
    <row r="39" spans="1:4" x14ac:dyDescent="0.25">
      <c r="A39" s="1" t="s">
        <v>2870</v>
      </c>
      <c r="C39" s="1" t="s">
        <v>2870</v>
      </c>
      <c r="D39" s="1" t="s">
        <v>2833</v>
      </c>
    </row>
    <row r="40" spans="1:4" x14ac:dyDescent="0.25">
      <c r="A40" s="1" t="s">
        <v>2871</v>
      </c>
      <c r="C40" s="1" t="s">
        <v>2871</v>
      </c>
      <c r="D40" s="1" t="s">
        <v>2833</v>
      </c>
    </row>
    <row r="41" spans="1:4" x14ac:dyDescent="0.25">
      <c r="A41" s="1" t="s">
        <v>2872</v>
      </c>
      <c r="C41" s="1" t="s">
        <v>2872</v>
      </c>
      <c r="D41" s="1" t="s">
        <v>2833</v>
      </c>
    </row>
    <row r="42" spans="1:4" x14ac:dyDescent="0.25">
      <c r="A42" s="1" t="s">
        <v>2873</v>
      </c>
      <c r="C42" s="1" t="s">
        <v>2873</v>
      </c>
      <c r="D42" s="1" t="s">
        <v>2833</v>
      </c>
    </row>
    <row r="43" spans="1:4" x14ac:dyDescent="0.25">
      <c r="A43" s="1" t="s">
        <v>2874</v>
      </c>
      <c r="C43" s="1" t="s">
        <v>2874</v>
      </c>
      <c r="D43" s="1" t="s">
        <v>2833</v>
      </c>
    </row>
    <row r="44" spans="1:4" x14ac:dyDescent="0.25">
      <c r="A44" s="1" t="s">
        <v>2875</v>
      </c>
      <c r="C44" s="1" t="s">
        <v>2875</v>
      </c>
      <c r="D44" s="1" t="s">
        <v>2833</v>
      </c>
    </row>
    <row r="45" spans="1:4" x14ac:dyDescent="0.25">
      <c r="A45" s="1" t="s">
        <v>2876</v>
      </c>
      <c r="C45" s="1" t="s">
        <v>2876</v>
      </c>
      <c r="D45" s="1" t="s">
        <v>2833</v>
      </c>
    </row>
    <row r="46" spans="1:4" x14ac:dyDescent="0.25">
      <c r="A46" s="1" t="s">
        <v>2877</v>
      </c>
      <c r="C46" s="1" t="s">
        <v>2877</v>
      </c>
      <c r="D46" s="1" t="s">
        <v>2833</v>
      </c>
    </row>
    <row r="47" spans="1:4" x14ac:dyDescent="0.25">
      <c r="A47" s="1" t="s">
        <v>2878</v>
      </c>
      <c r="C47" s="1" t="s">
        <v>2878</v>
      </c>
      <c r="D47" s="1" t="s">
        <v>2833</v>
      </c>
    </row>
    <row r="48" spans="1:4" x14ac:dyDescent="0.25">
      <c r="A48" s="1" t="s">
        <v>2879</v>
      </c>
      <c r="C48" s="1" t="s">
        <v>2879</v>
      </c>
      <c r="D48" s="1" t="s">
        <v>2833</v>
      </c>
    </row>
    <row r="49" spans="1:4" x14ac:dyDescent="0.25">
      <c r="A49" s="1" t="s">
        <v>2880</v>
      </c>
      <c r="C49" s="1" t="s">
        <v>2880</v>
      </c>
      <c r="D49" s="1" t="s">
        <v>2833</v>
      </c>
    </row>
    <row r="50" spans="1:4" x14ac:dyDescent="0.25">
      <c r="A50" s="1" t="s">
        <v>2881</v>
      </c>
      <c r="C50" s="1" t="s">
        <v>2881</v>
      </c>
      <c r="D50" s="1" t="s">
        <v>2833</v>
      </c>
    </row>
    <row r="51" spans="1:4" x14ac:dyDescent="0.25">
      <c r="A51" s="1" t="s">
        <v>2882</v>
      </c>
      <c r="C51" s="1" t="s">
        <v>2882</v>
      </c>
      <c r="D51" s="1" t="s">
        <v>2833</v>
      </c>
    </row>
    <row r="52" spans="1:4" x14ac:dyDescent="0.25">
      <c r="A52" s="1" t="s">
        <v>2883</v>
      </c>
      <c r="C52" s="1" t="s">
        <v>2883</v>
      </c>
      <c r="D52" s="1" t="s">
        <v>2833</v>
      </c>
    </row>
    <row r="53" spans="1:4" x14ac:dyDescent="0.25">
      <c r="A53" s="1" t="s">
        <v>2884</v>
      </c>
      <c r="C53" s="1" t="s">
        <v>2884</v>
      </c>
      <c r="D53" s="1" t="s">
        <v>2833</v>
      </c>
    </row>
    <row r="54" spans="1:4" x14ac:dyDescent="0.25">
      <c r="A54" s="1" t="s">
        <v>2885</v>
      </c>
      <c r="C54" s="1" t="s">
        <v>2885</v>
      </c>
      <c r="D54" s="1" t="s">
        <v>2833</v>
      </c>
    </row>
    <row r="55" spans="1:4" x14ac:dyDescent="0.25">
      <c r="A55" s="1" t="s">
        <v>2886</v>
      </c>
      <c r="C55" s="1" t="s">
        <v>2886</v>
      </c>
      <c r="D55" s="1" t="s">
        <v>2833</v>
      </c>
    </row>
    <row r="56" spans="1:4" x14ac:dyDescent="0.25">
      <c r="A56" s="1" t="s">
        <v>2887</v>
      </c>
      <c r="C56" s="1" t="s">
        <v>2887</v>
      </c>
      <c r="D56" s="1" t="s">
        <v>2833</v>
      </c>
    </row>
    <row r="57" spans="1:4" x14ac:dyDescent="0.25">
      <c r="A57" s="1" t="s">
        <v>2888</v>
      </c>
      <c r="C57" s="1" t="s">
        <v>2888</v>
      </c>
      <c r="D57" s="1" t="s">
        <v>2833</v>
      </c>
    </row>
    <row r="58" spans="1:4" x14ac:dyDescent="0.25">
      <c r="A58" s="1" t="s">
        <v>2889</v>
      </c>
      <c r="C58" s="1" t="s">
        <v>2889</v>
      </c>
      <c r="D58" s="1" t="s">
        <v>2833</v>
      </c>
    </row>
    <row r="59" spans="1:4" x14ac:dyDescent="0.25">
      <c r="A59" s="1" t="s">
        <v>2890</v>
      </c>
      <c r="C59" s="1" t="s">
        <v>2890</v>
      </c>
      <c r="D59" s="1" t="s">
        <v>2833</v>
      </c>
    </row>
    <row r="60" spans="1:4" x14ac:dyDescent="0.25">
      <c r="A60" s="1" t="s">
        <v>2891</v>
      </c>
      <c r="C60" s="1" t="s">
        <v>2891</v>
      </c>
      <c r="D60" s="1" t="s">
        <v>2833</v>
      </c>
    </row>
    <row r="61" spans="1:4" x14ac:dyDescent="0.25">
      <c r="A61" s="1" t="s">
        <v>2892</v>
      </c>
      <c r="C61" s="1" t="s">
        <v>2892</v>
      </c>
      <c r="D61" s="1" t="s">
        <v>2833</v>
      </c>
    </row>
    <row r="62" spans="1:4" x14ac:dyDescent="0.25">
      <c r="A62" s="1" t="s">
        <v>2893</v>
      </c>
      <c r="C62" s="1" t="s">
        <v>2893</v>
      </c>
      <c r="D62" s="1" t="s">
        <v>2833</v>
      </c>
    </row>
    <row r="63" spans="1:4" x14ac:dyDescent="0.25">
      <c r="A63" s="1" t="s">
        <v>2894</v>
      </c>
      <c r="C63" s="1" t="s">
        <v>2894</v>
      </c>
      <c r="D63" s="1" t="s">
        <v>2833</v>
      </c>
    </row>
    <row r="64" spans="1:4" x14ac:dyDescent="0.25">
      <c r="A64" s="1" t="s">
        <v>2895</v>
      </c>
      <c r="C64" s="1" t="s">
        <v>2895</v>
      </c>
      <c r="D64" s="1" t="s">
        <v>2833</v>
      </c>
    </row>
    <row r="65" spans="1:4" x14ac:dyDescent="0.25">
      <c r="A65" s="1" t="s">
        <v>2896</v>
      </c>
      <c r="C65" s="1" t="s">
        <v>2896</v>
      </c>
      <c r="D65" s="1" t="s">
        <v>2833</v>
      </c>
    </row>
    <row r="66" spans="1:4" x14ac:dyDescent="0.25">
      <c r="A66" s="1" t="s">
        <v>2897</v>
      </c>
      <c r="C66" s="1" t="s">
        <v>2897</v>
      </c>
      <c r="D66" s="1" t="s">
        <v>2833</v>
      </c>
    </row>
    <row r="67" spans="1:4" x14ac:dyDescent="0.25">
      <c r="A67" s="1" t="s">
        <v>2898</v>
      </c>
      <c r="C67" s="1" t="s">
        <v>2898</v>
      </c>
      <c r="D67" s="1" t="s">
        <v>2833</v>
      </c>
    </row>
    <row r="68" spans="1:4" x14ac:dyDescent="0.25">
      <c r="A68" s="1" t="s">
        <v>2899</v>
      </c>
      <c r="C68" s="1" t="s">
        <v>2899</v>
      </c>
      <c r="D68" s="1" t="s">
        <v>2833</v>
      </c>
    </row>
    <row r="69" spans="1:4" x14ac:dyDescent="0.25">
      <c r="A69" s="1" t="s">
        <v>2900</v>
      </c>
      <c r="C69" s="1" t="s">
        <v>2900</v>
      </c>
      <c r="D69" s="1" t="s">
        <v>2833</v>
      </c>
    </row>
    <row r="70" spans="1:4" x14ac:dyDescent="0.25">
      <c r="A70" s="1" t="s">
        <v>2901</v>
      </c>
      <c r="C70" s="1" t="s">
        <v>2901</v>
      </c>
      <c r="D70" s="1" t="s">
        <v>2833</v>
      </c>
    </row>
    <row r="71" spans="1:4" x14ac:dyDescent="0.25">
      <c r="A71" s="1" t="s">
        <v>2902</v>
      </c>
      <c r="C71" s="1" t="s">
        <v>2902</v>
      </c>
      <c r="D71" s="1" t="s">
        <v>2833</v>
      </c>
    </row>
    <row r="72" spans="1:4" x14ac:dyDescent="0.25">
      <c r="A72" s="1" t="s">
        <v>2903</v>
      </c>
      <c r="C72" s="1" t="s">
        <v>2903</v>
      </c>
      <c r="D72" s="1" t="s">
        <v>2833</v>
      </c>
    </row>
    <row r="73" spans="1:4" x14ac:dyDescent="0.25">
      <c r="A73" s="1" t="s">
        <v>2904</v>
      </c>
      <c r="C73" s="1" t="s">
        <v>2904</v>
      </c>
      <c r="D73" s="1" t="s">
        <v>2833</v>
      </c>
    </row>
    <row r="74" spans="1:4" x14ac:dyDescent="0.25">
      <c r="A74" s="1" t="s">
        <v>2905</v>
      </c>
      <c r="C74" s="1" t="s">
        <v>2905</v>
      </c>
      <c r="D74" s="1" t="s">
        <v>2833</v>
      </c>
    </row>
    <row r="75" spans="1:4" x14ac:dyDescent="0.25">
      <c r="A75" s="1" t="s">
        <v>2906</v>
      </c>
      <c r="C75" s="1" t="s">
        <v>2906</v>
      </c>
      <c r="D75" s="1" t="s">
        <v>2833</v>
      </c>
    </row>
    <row r="76" spans="1:4" x14ac:dyDescent="0.25">
      <c r="A76" s="1" t="s">
        <v>2907</v>
      </c>
      <c r="C76" s="1" t="s">
        <v>2907</v>
      </c>
      <c r="D76" s="1" t="s">
        <v>2833</v>
      </c>
    </row>
    <row r="77" spans="1:4" x14ac:dyDescent="0.25">
      <c r="A77" s="1" t="s">
        <v>2908</v>
      </c>
      <c r="C77" s="1" t="s">
        <v>2908</v>
      </c>
      <c r="D77" s="1" t="s">
        <v>2833</v>
      </c>
    </row>
    <row r="78" spans="1:4" x14ac:dyDescent="0.25">
      <c r="A78" s="1" t="s">
        <v>2909</v>
      </c>
      <c r="C78" s="1" t="s">
        <v>2909</v>
      </c>
      <c r="D78" s="1" t="s">
        <v>2833</v>
      </c>
    </row>
    <row r="79" spans="1:4" x14ac:dyDescent="0.25">
      <c r="A79" s="1" t="s">
        <v>2910</v>
      </c>
      <c r="C79" s="1" t="s">
        <v>2910</v>
      </c>
      <c r="D79" s="1" t="s">
        <v>2833</v>
      </c>
    </row>
    <row r="80" spans="1:4" x14ac:dyDescent="0.25">
      <c r="A80" s="1" t="s">
        <v>2911</v>
      </c>
      <c r="C80" s="1" t="s">
        <v>2911</v>
      </c>
      <c r="D80" s="1" t="s">
        <v>2833</v>
      </c>
    </row>
    <row r="81" spans="1:4" x14ac:dyDescent="0.25">
      <c r="A81" s="1" t="s">
        <v>2912</v>
      </c>
      <c r="C81" s="1" t="s">
        <v>2912</v>
      </c>
      <c r="D81" s="1" t="s">
        <v>2833</v>
      </c>
    </row>
    <row r="82" spans="1:4" x14ac:dyDescent="0.25">
      <c r="A82" s="1" t="s">
        <v>2913</v>
      </c>
      <c r="C82" s="1" t="s">
        <v>2913</v>
      </c>
      <c r="D82" s="1" t="s">
        <v>2833</v>
      </c>
    </row>
    <row r="83" spans="1:4" x14ac:dyDescent="0.25">
      <c r="A83" s="1" t="s">
        <v>2914</v>
      </c>
      <c r="C83" s="1" t="s">
        <v>2914</v>
      </c>
      <c r="D83" s="1" t="s">
        <v>2833</v>
      </c>
    </row>
    <row r="84" spans="1:4" x14ac:dyDescent="0.25">
      <c r="A84" s="1" t="s">
        <v>2915</v>
      </c>
      <c r="C84" s="1" t="s">
        <v>2915</v>
      </c>
      <c r="D84" s="1" t="s">
        <v>2833</v>
      </c>
    </row>
    <row r="85" spans="1:4" x14ac:dyDescent="0.25">
      <c r="A85" s="1" t="s">
        <v>2916</v>
      </c>
      <c r="C85" s="1" t="s">
        <v>2916</v>
      </c>
      <c r="D85" s="1" t="s">
        <v>2833</v>
      </c>
    </row>
    <row r="86" spans="1:4" x14ac:dyDescent="0.25">
      <c r="A86" s="1" t="s">
        <v>2917</v>
      </c>
      <c r="C86" s="1" t="s">
        <v>2917</v>
      </c>
      <c r="D86" s="1" t="s">
        <v>2833</v>
      </c>
    </row>
    <row r="87" spans="1:4" x14ac:dyDescent="0.25">
      <c r="A87" s="1" t="s">
        <v>2918</v>
      </c>
      <c r="C87" s="1" t="s">
        <v>2918</v>
      </c>
      <c r="D87" s="1" t="s">
        <v>2833</v>
      </c>
    </row>
    <row r="88" spans="1:4" x14ac:dyDescent="0.25">
      <c r="A88" s="1" t="s">
        <v>2919</v>
      </c>
      <c r="C88" s="1" t="s">
        <v>2919</v>
      </c>
      <c r="D88" s="1" t="s">
        <v>2833</v>
      </c>
    </row>
    <row r="89" spans="1:4" x14ac:dyDescent="0.25">
      <c r="A89" s="1" t="s">
        <v>2920</v>
      </c>
      <c r="C89" s="1" t="s">
        <v>2920</v>
      </c>
      <c r="D89" s="1" t="s">
        <v>2833</v>
      </c>
    </row>
    <row r="90" spans="1:4" x14ac:dyDescent="0.25">
      <c r="A90" s="1" t="s">
        <v>2921</v>
      </c>
      <c r="C90" s="1" t="s">
        <v>2921</v>
      </c>
      <c r="D90" s="1" t="s">
        <v>2833</v>
      </c>
    </row>
    <row r="91" spans="1:4" x14ac:dyDescent="0.25">
      <c r="A91" s="1" t="s">
        <v>2922</v>
      </c>
      <c r="C91" s="1" t="s">
        <v>2922</v>
      </c>
      <c r="D91" s="1" t="s">
        <v>2833</v>
      </c>
    </row>
    <row r="92" spans="1:4" x14ac:dyDescent="0.25">
      <c r="A92" s="1" t="s">
        <v>2923</v>
      </c>
      <c r="C92" s="1" t="s">
        <v>2923</v>
      </c>
      <c r="D92" s="1" t="s">
        <v>2833</v>
      </c>
    </row>
    <row r="93" spans="1:4" x14ac:dyDescent="0.25">
      <c r="A93" s="1" t="s">
        <v>2924</v>
      </c>
      <c r="C93" s="1" t="s">
        <v>2924</v>
      </c>
      <c r="D93" s="1" t="s">
        <v>2833</v>
      </c>
    </row>
    <row r="94" spans="1:4" x14ac:dyDescent="0.25">
      <c r="A94" s="1" t="s">
        <v>2925</v>
      </c>
      <c r="C94" s="1" t="s">
        <v>2925</v>
      </c>
      <c r="D94" s="1" t="s">
        <v>2833</v>
      </c>
    </row>
    <row r="95" spans="1:4" x14ac:dyDescent="0.25">
      <c r="A95" s="1" t="s">
        <v>2926</v>
      </c>
      <c r="C95" s="1" t="s">
        <v>2926</v>
      </c>
      <c r="D95" s="1" t="s">
        <v>2833</v>
      </c>
    </row>
    <row r="96" spans="1:4" x14ac:dyDescent="0.25">
      <c r="A96" s="1" t="s">
        <v>2927</v>
      </c>
      <c r="C96" s="1" t="s">
        <v>2927</v>
      </c>
      <c r="D96" s="1" t="s">
        <v>2833</v>
      </c>
    </row>
    <row r="97" spans="1:4" x14ac:dyDescent="0.25">
      <c r="A97" s="1" t="s">
        <v>2928</v>
      </c>
      <c r="C97" s="1" t="s">
        <v>2928</v>
      </c>
      <c r="D97" s="1" t="s">
        <v>2833</v>
      </c>
    </row>
    <row r="98" spans="1:4" x14ac:dyDescent="0.25">
      <c r="A98" s="1" t="s">
        <v>2929</v>
      </c>
      <c r="C98" s="1" t="s">
        <v>2929</v>
      </c>
      <c r="D98" s="1" t="s">
        <v>2833</v>
      </c>
    </row>
    <row r="99" spans="1:4" x14ac:dyDescent="0.25">
      <c r="A99" s="1" t="s">
        <v>2930</v>
      </c>
      <c r="C99" s="1" t="s">
        <v>2930</v>
      </c>
      <c r="D99" s="1" t="s">
        <v>2833</v>
      </c>
    </row>
    <row r="100" spans="1:4" x14ac:dyDescent="0.25">
      <c r="A100" s="1" t="s">
        <v>2931</v>
      </c>
      <c r="C100" s="1" t="s">
        <v>2931</v>
      </c>
      <c r="D100" s="1" t="s">
        <v>2833</v>
      </c>
    </row>
    <row r="101" spans="1:4" x14ac:dyDescent="0.25">
      <c r="A101" s="1" t="s">
        <v>2932</v>
      </c>
      <c r="C101" s="1" t="s">
        <v>2932</v>
      </c>
      <c r="D101" s="1" t="s">
        <v>2833</v>
      </c>
    </row>
    <row r="102" spans="1:4" x14ac:dyDescent="0.25">
      <c r="A102" s="1" t="s">
        <v>2933</v>
      </c>
      <c r="C102" s="1" t="s">
        <v>2933</v>
      </c>
      <c r="D102" s="1" t="s">
        <v>2833</v>
      </c>
    </row>
    <row r="103" spans="1:4" x14ac:dyDescent="0.25">
      <c r="A103" s="1" t="s">
        <v>2934</v>
      </c>
      <c r="C103" s="1" t="s">
        <v>2934</v>
      </c>
      <c r="D103" s="1" t="s">
        <v>2833</v>
      </c>
    </row>
    <row r="104" spans="1:4" x14ac:dyDescent="0.25">
      <c r="A104" s="1" t="s">
        <v>2935</v>
      </c>
      <c r="C104" s="1" t="s">
        <v>2935</v>
      </c>
      <c r="D104" s="1" t="s">
        <v>2833</v>
      </c>
    </row>
    <row r="105" spans="1:4" x14ac:dyDescent="0.25">
      <c r="A105" s="1" t="s">
        <v>2936</v>
      </c>
      <c r="C105" s="1" t="s">
        <v>2936</v>
      </c>
      <c r="D105" s="1" t="s">
        <v>2833</v>
      </c>
    </row>
    <row r="106" spans="1:4" x14ac:dyDescent="0.25">
      <c r="A106" s="1" t="s">
        <v>2937</v>
      </c>
      <c r="C106" s="1" t="s">
        <v>2937</v>
      </c>
      <c r="D106" s="1" t="s">
        <v>2833</v>
      </c>
    </row>
    <row r="107" spans="1:4" x14ac:dyDescent="0.25">
      <c r="A107" s="1" t="s">
        <v>2938</v>
      </c>
      <c r="C107" s="1" t="s">
        <v>2938</v>
      </c>
      <c r="D107" s="1" t="s">
        <v>2833</v>
      </c>
    </row>
    <row r="108" spans="1:4" x14ac:dyDescent="0.25">
      <c r="A108" s="1" t="s">
        <v>2939</v>
      </c>
      <c r="C108" s="1" t="s">
        <v>2939</v>
      </c>
      <c r="D108" s="1" t="s">
        <v>2833</v>
      </c>
    </row>
    <row r="109" spans="1:4" x14ac:dyDescent="0.25">
      <c r="A109" s="1" t="s">
        <v>2940</v>
      </c>
      <c r="C109" s="1" t="s">
        <v>2940</v>
      </c>
      <c r="D109" s="1" t="s">
        <v>2833</v>
      </c>
    </row>
    <row r="110" spans="1:4" x14ac:dyDescent="0.25">
      <c r="A110" s="1" t="s">
        <v>2941</v>
      </c>
      <c r="C110" s="1" t="s">
        <v>2941</v>
      </c>
      <c r="D110" s="1" t="s">
        <v>2833</v>
      </c>
    </row>
    <row r="111" spans="1:4" x14ac:dyDescent="0.25">
      <c r="A111" s="1" t="s">
        <v>2942</v>
      </c>
      <c r="C111" s="1" t="s">
        <v>2942</v>
      </c>
      <c r="D111" s="1" t="s">
        <v>2833</v>
      </c>
    </row>
    <row r="112" spans="1:4" x14ac:dyDescent="0.25">
      <c r="A112" s="1" t="s">
        <v>2943</v>
      </c>
      <c r="C112" s="1" t="s">
        <v>2943</v>
      </c>
      <c r="D112" s="1" t="s">
        <v>2833</v>
      </c>
    </row>
    <row r="113" spans="1:4" x14ac:dyDescent="0.25">
      <c r="A113" s="1" t="s">
        <v>2944</v>
      </c>
      <c r="C113" s="1" t="s">
        <v>2944</v>
      </c>
      <c r="D113" s="1" t="s">
        <v>2833</v>
      </c>
    </row>
    <row r="114" spans="1:4" x14ac:dyDescent="0.25">
      <c r="A114" s="1" t="s">
        <v>2945</v>
      </c>
      <c r="C114" s="1" t="s">
        <v>2945</v>
      </c>
      <c r="D114" s="1" t="s">
        <v>2833</v>
      </c>
    </row>
    <row r="115" spans="1:4" x14ac:dyDescent="0.25">
      <c r="A115" s="1" t="s">
        <v>2946</v>
      </c>
      <c r="C115" s="1" t="s">
        <v>2946</v>
      </c>
      <c r="D115" s="1" t="s">
        <v>2833</v>
      </c>
    </row>
    <row r="116" spans="1:4" x14ac:dyDescent="0.25">
      <c r="A116" s="1" t="s">
        <v>2947</v>
      </c>
      <c r="C116" s="1" t="s">
        <v>2947</v>
      </c>
      <c r="D116" s="1" t="s">
        <v>2833</v>
      </c>
    </row>
    <row r="117" spans="1:4" x14ac:dyDescent="0.25">
      <c r="A117" s="1" t="s">
        <v>2948</v>
      </c>
      <c r="C117" s="1" t="s">
        <v>2948</v>
      </c>
      <c r="D117" s="1" t="s">
        <v>2833</v>
      </c>
    </row>
    <row r="118" spans="1:4" x14ac:dyDescent="0.25">
      <c r="A118" s="1" t="s">
        <v>2949</v>
      </c>
      <c r="C118" s="1" t="s">
        <v>2949</v>
      </c>
      <c r="D118" s="1" t="s">
        <v>2833</v>
      </c>
    </row>
    <row r="119" spans="1:4" x14ac:dyDescent="0.25">
      <c r="A119" s="1" t="s">
        <v>2950</v>
      </c>
      <c r="C119" s="1" t="s">
        <v>2950</v>
      </c>
      <c r="D119" s="1" t="s">
        <v>2833</v>
      </c>
    </row>
    <row r="120" spans="1:4" x14ac:dyDescent="0.25">
      <c r="A120" s="1" t="s">
        <v>2951</v>
      </c>
      <c r="C120" s="1" t="s">
        <v>2951</v>
      </c>
      <c r="D120" s="1" t="s">
        <v>2833</v>
      </c>
    </row>
    <row r="121" spans="1:4" x14ac:dyDescent="0.25">
      <c r="A121" s="1" t="s">
        <v>2952</v>
      </c>
      <c r="C121" s="1" t="s">
        <v>2952</v>
      </c>
      <c r="D121" s="1" t="s">
        <v>2833</v>
      </c>
    </row>
    <row r="122" spans="1:4" x14ac:dyDescent="0.25">
      <c r="A122" s="1" t="s">
        <v>2953</v>
      </c>
      <c r="C122" s="1" t="s">
        <v>2953</v>
      </c>
      <c r="D122" s="1" t="s">
        <v>2833</v>
      </c>
    </row>
    <row r="123" spans="1:4" x14ac:dyDescent="0.25">
      <c r="A123" s="1" t="s">
        <v>2954</v>
      </c>
      <c r="C123" s="1" t="s">
        <v>2954</v>
      </c>
      <c r="D123" s="1" t="s">
        <v>2833</v>
      </c>
    </row>
    <row r="124" spans="1:4" x14ac:dyDescent="0.25">
      <c r="A124" s="1" t="s">
        <v>2955</v>
      </c>
      <c r="C124" s="1" t="s">
        <v>2955</v>
      </c>
      <c r="D124" s="1" t="s">
        <v>2833</v>
      </c>
    </row>
    <row r="125" spans="1:4" x14ac:dyDescent="0.25">
      <c r="A125" s="1" t="s">
        <v>2956</v>
      </c>
      <c r="C125" s="1" t="s">
        <v>2956</v>
      </c>
      <c r="D125" s="1" t="s">
        <v>2833</v>
      </c>
    </row>
    <row r="126" spans="1:4" x14ac:dyDescent="0.25">
      <c r="A126" s="1" t="s">
        <v>2957</v>
      </c>
      <c r="C126" s="1" t="s">
        <v>2957</v>
      </c>
      <c r="D126" s="1" t="s">
        <v>2833</v>
      </c>
    </row>
    <row r="127" spans="1:4" x14ac:dyDescent="0.25">
      <c r="A127" s="1" t="s">
        <v>2958</v>
      </c>
      <c r="C127" s="1" t="s">
        <v>2958</v>
      </c>
      <c r="D127" s="1" t="s">
        <v>2833</v>
      </c>
    </row>
    <row r="128" spans="1:4" x14ac:dyDescent="0.25">
      <c r="A128" s="1" t="s">
        <v>2959</v>
      </c>
      <c r="C128" s="1" t="s">
        <v>2959</v>
      </c>
      <c r="D128" s="1" t="s">
        <v>2833</v>
      </c>
    </row>
    <row r="129" spans="1:4" x14ac:dyDescent="0.25">
      <c r="A129" s="1" t="s">
        <v>2960</v>
      </c>
      <c r="C129" s="1" t="s">
        <v>2960</v>
      </c>
      <c r="D129" s="1" t="s">
        <v>2833</v>
      </c>
    </row>
    <row r="130" spans="1:4" x14ac:dyDescent="0.25">
      <c r="A130" s="1" t="s">
        <v>2961</v>
      </c>
      <c r="C130" s="1" t="s">
        <v>2961</v>
      </c>
      <c r="D130" s="1" t="s">
        <v>2833</v>
      </c>
    </row>
    <row r="131" spans="1:4" x14ac:dyDescent="0.25">
      <c r="A131" s="1" t="s">
        <v>2962</v>
      </c>
      <c r="C131" s="1" t="s">
        <v>2962</v>
      </c>
      <c r="D131" s="1" t="s">
        <v>2833</v>
      </c>
    </row>
    <row r="132" spans="1:4" x14ac:dyDescent="0.25">
      <c r="A132" s="1" t="s">
        <v>2963</v>
      </c>
      <c r="C132" s="1" t="s">
        <v>2963</v>
      </c>
      <c r="D132" s="1" t="s">
        <v>2833</v>
      </c>
    </row>
    <row r="133" spans="1:4" x14ac:dyDescent="0.25">
      <c r="A133" s="1" t="s">
        <v>2964</v>
      </c>
      <c r="C133" s="1" t="s">
        <v>2964</v>
      </c>
      <c r="D133" s="1" t="s">
        <v>2833</v>
      </c>
    </row>
    <row r="134" spans="1:4" x14ac:dyDescent="0.25">
      <c r="A134" s="1" t="s">
        <v>2965</v>
      </c>
      <c r="C134" s="1" t="s">
        <v>2965</v>
      </c>
      <c r="D134" s="1" t="s">
        <v>2833</v>
      </c>
    </row>
    <row r="135" spans="1:4" x14ac:dyDescent="0.25">
      <c r="A135" s="1" t="s">
        <v>2966</v>
      </c>
      <c r="C135" s="1" t="s">
        <v>2966</v>
      </c>
      <c r="D135" s="1" t="s">
        <v>2833</v>
      </c>
    </row>
    <row r="136" spans="1:4" x14ac:dyDescent="0.25">
      <c r="A136" s="1" t="s">
        <v>2967</v>
      </c>
      <c r="C136" s="1" t="s">
        <v>2967</v>
      </c>
      <c r="D136" s="1" t="s">
        <v>2833</v>
      </c>
    </row>
    <row r="137" spans="1:4" x14ac:dyDescent="0.25">
      <c r="A137" s="1" t="s">
        <v>2968</v>
      </c>
      <c r="C137" s="1" t="s">
        <v>2968</v>
      </c>
      <c r="D137" s="1" t="s">
        <v>2833</v>
      </c>
    </row>
    <row r="138" spans="1:4" x14ac:dyDescent="0.25">
      <c r="A138" s="1" t="s">
        <v>2969</v>
      </c>
      <c r="C138" s="1" t="s">
        <v>2969</v>
      </c>
      <c r="D138" s="1" t="s">
        <v>2833</v>
      </c>
    </row>
    <row r="139" spans="1:4" x14ac:dyDescent="0.25">
      <c r="A139" s="1" t="s">
        <v>2970</v>
      </c>
      <c r="C139" s="1" t="s">
        <v>2970</v>
      </c>
      <c r="D139" s="1" t="s">
        <v>2833</v>
      </c>
    </row>
    <row r="140" spans="1:4" x14ac:dyDescent="0.25">
      <c r="A140" s="1" t="s">
        <v>2971</v>
      </c>
      <c r="C140" s="1" t="s">
        <v>2971</v>
      </c>
      <c r="D140" s="1" t="s">
        <v>2833</v>
      </c>
    </row>
    <row r="141" spans="1:4" x14ac:dyDescent="0.25">
      <c r="A141" s="1" t="s">
        <v>2972</v>
      </c>
      <c r="C141" s="1" t="s">
        <v>2972</v>
      </c>
      <c r="D141" s="1" t="s">
        <v>2833</v>
      </c>
    </row>
    <row r="142" spans="1:4" x14ac:dyDescent="0.25">
      <c r="A142" s="1" t="s">
        <v>2973</v>
      </c>
      <c r="C142" s="1" t="s">
        <v>2973</v>
      </c>
      <c r="D142" s="1" t="s">
        <v>2833</v>
      </c>
    </row>
    <row r="143" spans="1:4" x14ac:dyDescent="0.25">
      <c r="A143" s="1" t="s">
        <v>2974</v>
      </c>
      <c r="C143" s="1" t="s">
        <v>2974</v>
      </c>
      <c r="D143" s="1" t="s">
        <v>2833</v>
      </c>
    </row>
    <row r="144" spans="1:4" x14ac:dyDescent="0.25">
      <c r="A144" s="1" t="s">
        <v>2975</v>
      </c>
      <c r="C144" s="1" t="s">
        <v>2975</v>
      </c>
      <c r="D144" s="1" t="s">
        <v>2833</v>
      </c>
    </row>
    <row r="145" spans="1:4" x14ac:dyDescent="0.25">
      <c r="A145" s="1" t="s">
        <v>2976</v>
      </c>
      <c r="C145" s="1" t="s">
        <v>2976</v>
      </c>
      <c r="D145" s="1" t="s">
        <v>2833</v>
      </c>
    </row>
    <row r="146" spans="1:4" x14ac:dyDescent="0.25">
      <c r="A146" s="1" t="s">
        <v>2977</v>
      </c>
      <c r="C146" s="1" t="s">
        <v>2977</v>
      </c>
      <c r="D146" s="1" t="s">
        <v>2833</v>
      </c>
    </row>
    <row r="147" spans="1:4" x14ac:dyDescent="0.25">
      <c r="A147" s="1" t="s">
        <v>2978</v>
      </c>
      <c r="C147" s="1" t="s">
        <v>2978</v>
      </c>
      <c r="D147" s="1" t="s">
        <v>2833</v>
      </c>
    </row>
    <row r="148" spans="1:4" x14ac:dyDescent="0.25">
      <c r="A148" s="1" t="s">
        <v>2979</v>
      </c>
      <c r="C148" s="1" t="s">
        <v>2979</v>
      </c>
      <c r="D148" s="1" t="s">
        <v>2833</v>
      </c>
    </row>
    <row r="149" spans="1:4" x14ac:dyDescent="0.25">
      <c r="A149" s="1" t="s">
        <v>2980</v>
      </c>
      <c r="C149" s="1" t="s">
        <v>2980</v>
      </c>
      <c r="D149" s="1" t="s">
        <v>2833</v>
      </c>
    </row>
    <row r="150" spans="1:4" x14ac:dyDescent="0.25">
      <c r="A150" s="1" t="s">
        <v>2981</v>
      </c>
      <c r="C150" s="1" t="s">
        <v>2981</v>
      </c>
      <c r="D150" s="1" t="s">
        <v>2833</v>
      </c>
    </row>
    <row r="151" spans="1:4" x14ac:dyDescent="0.25">
      <c r="A151" s="1" t="s">
        <v>2982</v>
      </c>
      <c r="C151" s="1" t="s">
        <v>2982</v>
      </c>
      <c r="D151" s="1" t="s">
        <v>2833</v>
      </c>
    </row>
    <row r="152" spans="1:4" x14ac:dyDescent="0.25">
      <c r="A152" s="1" t="s">
        <v>2983</v>
      </c>
      <c r="C152" s="1" t="s">
        <v>2983</v>
      </c>
      <c r="D152" s="1" t="s">
        <v>2833</v>
      </c>
    </row>
    <row r="153" spans="1:4" x14ac:dyDescent="0.25">
      <c r="A153" s="1" t="s">
        <v>2984</v>
      </c>
      <c r="C153" s="1" t="s">
        <v>2984</v>
      </c>
      <c r="D153" s="1" t="s">
        <v>2833</v>
      </c>
    </row>
    <row r="154" spans="1:4" x14ac:dyDescent="0.25">
      <c r="A154" s="1" t="s">
        <v>2985</v>
      </c>
      <c r="C154" s="1" t="s">
        <v>2985</v>
      </c>
      <c r="D154" s="1" t="s">
        <v>2833</v>
      </c>
    </row>
    <row r="155" spans="1:4" x14ac:dyDescent="0.25">
      <c r="A155" s="1" t="s">
        <v>2986</v>
      </c>
      <c r="C155" s="1" t="s">
        <v>2986</v>
      </c>
      <c r="D155" s="1" t="s">
        <v>2833</v>
      </c>
    </row>
    <row r="156" spans="1:4" x14ac:dyDescent="0.25">
      <c r="A156" s="1" t="s">
        <v>2987</v>
      </c>
      <c r="C156" s="1" t="s">
        <v>2987</v>
      </c>
      <c r="D156" s="1" t="s">
        <v>2833</v>
      </c>
    </row>
    <row r="157" spans="1:4" x14ac:dyDescent="0.25">
      <c r="A157" s="1" t="s">
        <v>2988</v>
      </c>
      <c r="C157" s="1" t="s">
        <v>2988</v>
      </c>
      <c r="D157" s="1" t="s">
        <v>2833</v>
      </c>
    </row>
    <row r="158" spans="1:4" x14ac:dyDescent="0.25">
      <c r="A158" s="1" t="s">
        <v>2989</v>
      </c>
      <c r="C158" s="1" t="s">
        <v>2989</v>
      </c>
      <c r="D158" s="1" t="s">
        <v>2833</v>
      </c>
    </row>
    <row r="159" spans="1:4" x14ac:dyDescent="0.25">
      <c r="A159" s="1" t="s">
        <v>2990</v>
      </c>
      <c r="C159" s="1" t="s">
        <v>2990</v>
      </c>
      <c r="D159" s="1" t="s">
        <v>2833</v>
      </c>
    </row>
    <row r="160" spans="1:4" x14ac:dyDescent="0.25">
      <c r="A160" s="1" t="s">
        <v>2991</v>
      </c>
      <c r="C160" s="1" t="s">
        <v>2991</v>
      </c>
      <c r="D160" s="1" t="s">
        <v>2833</v>
      </c>
    </row>
    <row r="161" spans="1:4" x14ac:dyDescent="0.25">
      <c r="A161" s="1" t="s">
        <v>2992</v>
      </c>
      <c r="C161" s="1" t="s">
        <v>2992</v>
      </c>
      <c r="D161" s="1" t="s">
        <v>2833</v>
      </c>
    </row>
    <row r="162" spans="1:4" x14ac:dyDescent="0.25">
      <c r="A162" s="1" t="s">
        <v>2993</v>
      </c>
      <c r="C162" s="1" t="s">
        <v>2993</v>
      </c>
      <c r="D162" s="1" t="s">
        <v>2833</v>
      </c>
    </row>
    <row r="163" spans="1:4" x14ac:dyDescent="0.25">
      <c r="A163" s="1" t="s">
        <v>2994</v>
      </c>
      <c r="C163" s="1" t="s">
        <v>2994</v>
      </c>
      <c r="D163" s="1" t="s">
        <v>2833</v>
      </c>
    </row>
    <row r="164" spans="1:4" x14ac:dyDescent="0.25">
      <c r="A164" s="1" t="s">
        <v>2995</v>
      </c>
      <c r="C164" s="1" t="s">
        <v>2995</v>
      </c>
      <c r="D164" s="1" t="s">
        <v>2833</v>
      </c>
    </row>
    <row r="165" spans="1:4" x14ac:dyDescent="0.25">
      <c r="A165" s="1" t="s">
        <v>2996</v>
      </c>
      <c r="C165" s="1" t="s">
        <v>2996</v>
      </c>
      <c r="D165" s="1" t="s">
        <v>2833</v>
      </c>
    </row>
    <row r="166" spans="1:4" x14ac:dyDescent="0.25">
      <c r="A166" s="1" t="s">
        <v>2997</v>
      </c>
      <c r="C166" s="1" t="s">
        <v>2997</v>
      </c>
      <c r="D166" s="1" t="s">
        <v>2833</v>
      </c>
    </row>
    <row r="167" spans="1:4" x14ac:dyDescent="0.25">
      <c r="A167" s="1" t="s">
        <v>2998</v>
      </c>
      <c r="C167" s="1" t="s">
        <v>2998</v>
      </c>
      <c r="D167" s="1" t="s">
        <v>2833</v>
      </c>
    </row>
    <row r="168" spans="1:4" x14ac:dyDescent="0.25">
      <c r="A168" s="1" t="s">
        <v>2999</v>
      </c>
      <c r="C168" s="1" t="s">
        <v>2999</v>
      </c>
      <c r="D168" s="1" t="s">
        <v>2833</v>
      </c>
    </row>
    <row r="169" spans="1:4" x14ac:dyDescent="0.25">
      <c r="A169" s="1" t="s">
        <v>3000</v>
      </c>
      <c r="C169" s="1" t="s">
        <v>3000</v>
      </c>
      <c r="D169" s="1" t="s">
        <v>2833</v>
      </c>
    </row>
    <row r="170" spans="1:4" x14ac:dyDescent="0.25">
      <c r="A170" s="1" t="s">
        <v>3001</v>
      </c>
      <c r="C170" s="1" t="s">
        <v>3001</v>
      </c>
      <c r="D170" s="1" t="s">
        <v>2833</v>
      </c>
    </row>
    <row r="171" spans="1:4" x14ac:dyDescent="0.25">
      <c r="A171" s="1" t="s">
        <v>3002</v>
      </c>
      <c r="C171" s="1" t="s">
        <v>3002</v>
      </c>
      <c r="D171" s="1" t="s">
        <v>2833</v>
      </c>
    </row>
    <row r="172" spans="1:4" x14ac:dyDescent="0.25">
      <c r="A172" s="1" t="s">
        <v>3003</v>
      </c>
      <c r="C172" s="1" t="s">
        <v>3003</v>
      </c>
      <c r="D172" s="1" t="s">
        <v>2833</v>
      </c>
    </row>
    <row r="173" spans="1:4" x14ac:dyDescent="0.25">
      <c r="A173" s="1" t="s">
        <v>3004</v>
      </c>
      <c r="C173" s="1" t="s">
        <v>3004</v>
      </c>
      <c r="D173" s="1" t="s">
        <v>2833</v>
      </c>
    </row>
    <row r="174" spans="1:4" x14ac:dyDescent="0.25">
      <c r="A174" s="1" t="s">
        <v>3005</v>
      </c>
      <c r="C174" s="1" t="s">
        <v>3005</v>
      </c>
      <c r="D174" s="1" t="s">
        <v>2833</v>
      </c>
    </row>
    <row r="175" spans="1:4" x14ac:dyDescent="0.25">
      <c r="A175" s="1" t="s">
        <v>3006</v>
      </c>
      <c r="C175" s="1" t="s">
        <v>3006</v>
      </c>
      <c r="D175" s="1" t="s">
        <v>2833</v>
      </c>
    </row>
    <row r="176" spans="1:4" x14ac:dyDescent="0.25">
      <c r="A176" s="1" t="s">
        <v>3007</v>
      </c>
      <c r="C176" s="1" t="s">
        <v>3007</v>
      </c>
      <c r="D176" s="1" t="s">
        <v>2833</v>
      </c>
    </row>
    <row r="177" spans="1:4" x14ac:dyDescent="0.25">
      <c r="A177" s="1" t="s">
        <v>3008</v>
      </c>
      <c r="C177" s="1" t="s">
        <v>3008</v>
      </c>
      <c r="D177" s="1" t="s">
        <v>2833</v>
      </c>
    </row>
    <row r="178" spans="1:4" x14ac:dyDescent="0.25">
      <c r="A178" s="1" t="s">
        <v>3009</v>
      </c>
      <c r="C178" s="1" t="s">
        <v>3009</v>
      </c>
      <c r="D178" s="1" t="s">
        <v>2833</v>
      </c>
    </row>
    <row r="179" spans="1:4" x14ac:dyDescent="0.25">
      <c r="A179" s="1" t="s">
        <v>3010</v>
      </c>
      <c r="C179" s="1" t="s">
        <v>3010</v>
      </c>
      <c r="D179" s="1" t="s">
        <v>2833</v>
      </c>
    </row>
    <row r="180" spans="1:4" x14ac:dyDescent="0.25">
      <c r="A180" s="1" t="s">
        <v>3011</v>
      </c>
      <c r="C180" s="1" t="s">
        <v>3011</v>
      </c>
      <c r="D180" s="1" t="s">
        <v>2833</v>
      </c>
    </row>
    <row r="181" spans="1:4" x14ac:dyDescent="0.25">
      <c r="A181" s="1" t="s">
        <v>3012</v>
      </c>
      <c r="C181" s="1" t="s">
        <v>3012</v>
      </c>
      <c r="D181" s="1" t="s">
        <v>2833</v>
      </c>
    </row>
    <row r="182" spans="1:4" x14ac:dyDescent="0.25">
      <c r="A182" s="1" t="s">
        <v>3013</v>
      </c>
      <c r="C182" s="1" t="s">
        <v>3013</v>
      </c>
      <c r="D182" s="1" t="s">
        <v>2833</v>
      </c>
    </row>
    <row r="183" spans="1:4" x14ac:dyDescent="0.25">
      <c r="A183" s="1" t="s">
        <v>3014</v>
      </c>
      <c r="C183" s="1" t="s">
        <v>3014</v>
      </c>
      <c r="D183" s="1" t="s">
        <v>2833</v>
      </c>
    </row>
    <row r="184" spans="1:4" x14ac:dyDescent="0.25">
      <c r="A184" s="1" t="s">
        <v>3015</v>
      </c>
      <c r="C184" s="1" t="s">
        <v>3015</v>
      </c>
      <c r="D184" s="1" t="s">
        <v>2833</v>
      </c>
    </row>
    <row r="185" spans="1:4" x14ac:dyDescent="0.25">
      <c r="A185" s="1" t="s">
        <v>3016</v>
      </c>
      <c r="C185" s="1" t="s">
        <v>3016</v>
      </c>
      <c r="D185" s="1" t="s">
        <v>2833</v>
      </c>
    </row>
    <row r="186" spans="1:4" x14ac:dyDescent="0.25">
      <c r="A186" s="1" t="s">
        <v>3017</v>
      </c>
      <c r="C186" s="1" t="s">
        <v>3017</v>
      </c>
      <c r="D186" s="1" t="s">
        <v>2833</v>
      </c>
    </row>
    <row r="187" spans="1:4" x14ac:dyDescent="0.25">
      <c r="A187" s="1" t="s">
        <v>3018</v>
      </c>
      <c r="C187" s="1" t="s">
        <v>3018</v>
      </c>
      <c r="D187" s="1" t="s">
        <v>2833</v>
      </c>
    </row>
    <row r="188" spans="1:4" x14ac:dyDescent="0.25">
      <c r="A188" s="1" t="s">
        <v>3019</v>
      </c>
      <c r="C188" s="1" t="s">
        <v>3019</v>
      </c>
      <c r="D188" s="1" t="s">
        <v>2833</v>
      </c>
    </row>
    <row r="189" spans="1:4" x14ac:dyDescent="0.25">
      <c r="A189" s="1" t="s">
        <v>3020</v>
      </c>
      <c r="C189" s="1" t="s">
        <v>3020</v>
      </c>
      <c r="D189" s="1" t="s">
        <v>2833</v>
      </c>
    </row>
    <row r="190" spans="1:4" x14ac:dyDescent="0.25">
      <c r="A190" s="1" t="s">
        <v>3021</v>
      </c>
      <c r="C190" s="1" t="s">
        <v>3021</v>
      </c>
      <c r="D190" s="1" t="s">
        <v>2833</v>
      </c>
    </row>
    <row r="191" spans="1:4" x14ac:dyDescent="0.25">
      <c r="A191" s="1" t="s">
        <v>3022</v>
      </c>
      <c r="C191" s="1" t="s">
        <v>3022</v>
      </c>
      <c r="D191" s="1" t="s">
        <v>2833</v>
      </c>
    </row>
    <row r="192" spans="1:4" x14ac:dyDescent="0.25">
      <c r="A192" s="1" t="s">
        <v>3023</v>
      </c>
      <c r="C192" s="1" t="s">
        <v>3023</v>
      </c>
      <c r="D192" s="1" t="s">
        <v>2833</v>
      </c>
    </row>
    <row r="193" spans="1:4" x14ac:dyDescent="0.25">
      <c r="A193" s="1" t="s">
        <v>3024</v>
      </c>
      <c r="C193" s="1" t="s">
        <v>3024</v>
      </c>
      <c r="D193" s="1" t="s">
        <v>2833</v>
      </c>
    </row>
    <row r="194" spans="1:4" x14ac:dyDescent="0.25">
      <c r="A194" s="1" t="s">
        <v>3025</v>
      </c>
      <c r="C194" s="1" t="s">
        <v>3025</v>
      </c>
      <c r="D194" s="1" t="s">
        <v>2833</v>
      </c>
    </row>
    <row r="195" spans="1:4" x14ac:dyDescent="0.25">
      <c r="A195" s="1" t="s">
        <v>3026</v>
      </c>
      <c r="C195" s="1" t="s">
        <v>3026</v>
      </c>
      <c r="D195" s="1" t="s">
        <v>2833</v>
      </c>
    </row>
    <row r="196" spans="1:4" x14ac:dyDescent="0.25">
      <c r="A196" s="1" t="s">
        <v>3027</v>
      </c>
      <c r="C196" s="1" t="s">
        <v>3027</v>
      </c>
      <c r="D196" s="1" t="s">
        <v>2833</v>
      </c>
    </row>
    <row r="197" spans="1:4" x14ac:dyDescent="0.25">
      <c r="A197" s="1" t="s">
        <v>3028</v>
      </c>
      <c r="C197" s="1" t="s">
        <v>3028</v>
      </c>
      <c r="D197" s="1" t="s">
        <v>2833</v>
      </c>
    </row>
    <row r="198" spans="1:4" x14ac:dyDescent="0.25">
      <c r="A198" s="1" t="s">
        <v>3029</v>
      </c>
      <c r="C198" s="1" t="s">
        <v>3029</v>
      </c>
      <c r="D198" s="1" t="s">
        <v>2833</v>
      </c>
    </row>
    <row r="199" spans="1:4" x14ac:dyDescent="0.25">
      <c r="A199" s="1" t="s">
        <v>3030</v>
      </c>
      <c r="C199" s="1" t="s">
        <v>3030</v>
      </c>
      <c r="D199" s="1" t="s">
        <v>2833</v>
      </c>
    </row>
    <row r="200" spans="1:4" x14ac:dyDescent="0.25">
      <c r="A200" s="1" t="s">
        <v>3031</v>
      </c>
      <c r="C200" s="1" t="s">
        <v>3031</v>
      </c>
      <c r="D200" s="1" t="s">
        <v>2833</v>
      </c>
    </row>
    <row r="201" spans="1:4" x14ac:dyDescent="0.25">
      <c r="A201" s="1" t="s">
        <v>3032</v>
      </c>
      <c r="C201" s="1" t="s">
        <v>3032</v>
      </c>
      <c r="D201" s="1" t="s">
        <v>2833</v>
      </c>
    </row>
    <row r="202" spans="1:4" x14ac:dyDescent="0.25">
      <c r="A202" s="1" t="s">
        <v>3033</v>
      </c>
      <c r="C202" s="1" t="s">
        <v>3033</v>
      </c>
      <c r="D202" s="1" t="s">
        <v>2833</v>
      </c>
    </row>
    <row r="203" spans="1:4" x14ac:dyDescent="0.25">
      <c r="A203" s="1" t="s">
        <v>3034</v>
      </c>
      <c r="C203" s="1" t="s">
        <v>3034</v>
      </c>
      <c r="D203" s="1" t="s">
        <v>2833</v>
      </c>
    </row>
    <row r="204" spans="1:4" x14ac:dyDescent="0.25">
      <c r="A204" s="1" t="s">
        <v>3035</v>
      </c>
      <c r="C204" s="1" t="s">
        <v>3035</v>
      </c>
      <c r="D204" s="1" t="s">
        <v>2833</v>
      </c>
    </row>
    <row r="205" spans="1:4" x14ac:dyDescent="0.25">
      <c r="A205" s="1" t="s">
        <v>3036</v>
      </c>
      <c r="C205" s="1" t="s">
        <v>3036</v>
      </c>
      <c r="D205" s="1" t="s">
        <v>2833</v>
      </c>
    </row>
    <row r="206" spans="1:4" x14ac:dyDescent="0.25">
      <c r="A206" s="1" t="s">
        <v>3037</v>
      </c>
      <c r="C206" s="1" t="s">
        <v>3037</v>
      </c>
      <c r="D206" s="1" t="s">
        <v>2833</v>
      </c>
    </row>
    <row r="207" spans="1:4" x14ac:dyDescent="0.25">
      <c r="A207" s="1" t="s">
        <v>3038</v>
      </c>
      <c r="C207" s="1" t="s">
        <v>3038</v>
      </c>
      <c r="D207" s="1" t="s">
        <v>2833</v>
      </c>
    </row>
    <row r="208" spans="1:4" x14ac:dyDescent="0.25">
      <c r="A208" s="1" t="s">
        <v>3039</v>
      </c>
      <c r="C208" s="1" t="s">
        <v>3039</v>
      </c>
      <c r="D208" s="1" t="s">
        <v>2833</v>
      </c>
    </row>
    <row r="209" spans="1:4" x14ac:dyDescent="0.25">
      <c r="A209" s="1" t="s">
        <v>3040</v>
      </c>
      <c r="C209" s="1" t="s">
        <v>3040</v>
      </c>
      <c r="D209" s="1" t="s">
        <v>2833</v>
      </c>
    </row>
    <row r="210" spans="1:4" x14ac:dyDescent="0.25">
      <c r="A210" s="1" t="s">
        <v>3041</v>
      </c>
      <c r="C210" s="1" t="s">
        <v>3041</v>
      </c>
      <c r="D210" s="1" t="s">
        <v>2833</v>
      </c>
    </row>
    <row r="211" spans="1:4" x14ac:dyDescent="0.25">
      <c r="A211" s="1" t="s">
        <v>3042</v>
      </c>
      <c r="C211" s="1" t="s">
        <v>3042</v>
      </c>
      <c r="D211" s="1" t="s">
        <v>2833</v>
      </c>
    </row>
    <row r="212" spans="1:4" x14ac:dyDescent="0.25">
      <c r="A212" s="1" t="s">
        <v>3043</v>
      </c>
      <c r="C212" s="1" t="s">
        <v>3043</v>
      </c>
      <c r="D212" s="1" t="s">
        <v>2833</v>
      </c>
    </row>
    <row r="213" spans="1:4" x14ac:dyDescent="0.25">
      <c r="A213" s="1" t="s">
        <v>3044</v>
      </c>
      <c r="C213" s="1" t="s">
        <v>3044</v>
      </c>
      <c r="D213" s="1" t="s">
        <v>2833</v>
      </c>
    </row>
    <row r="214" spans="1:4" x14ac:dyDescent="0.25">
      <c r="A214" s="1" t="s">
        <v>3045</v>
      </c>
      <c r="C214" s="1" t="s">
        <v>3045</v>
      </c>
      <c r="D214" s="1" t="s">
        <v>2833</v>
      </c>
    </row>
    <row r="215" spans="1:4" x14ac:dyDescent="0.25">
      <c r="A215" s="1" t="s">
        <v>3046</v>
      </c>
      <c r="C215" s="1" t="s">
        <v>3046</v>
      </c>
      <c r="D215" s="1" t="s">
        <v>2833</v>
      </c>
    </row>
    <row r="216" spans="1:4" x14ac:dyDescent="0.25">
      <c r="A216" s="1" t="s">
        <v>3047</v>
      </c>
      <c r="C216" s="1" t="s">
        <v>3047</v>
      </c>
      <c r="D216" s="1" t="s">
        <v>2833</v>
      </c>
    </row>
    <row r="217" spans="1:4" x14ac:dyDescent="0.25">
      <c r="A217" s="1" t="s">
        <v>3048</v>
      </c>
      <c r="C217" s="1" t="s">
        <v>3048</v>
      </c>
      <c r="D217" s="1" t="s">
        <v>2833</v>
      </c>
    </row>
    <row r="218" spans="1:4" x14ac:dyDescent="0.25">
      <c r="A218" s="1" t="s">
        <v>3049</v>
      </c>
      <c r="C218" s="1" t="s">
        <v>3049</v>
      </c>
      <c r="D218" s="1" t="s">
        <v>2833</v>
      </c>
    </row>
    <row r="219" spans="1:4" x14ac:dyDescent="0.25">
      <c r="A219" s="1" t="s">
        <v>3050</v>
      </c>
      <c r="C219" s="1" t="s">
        <v>3050</v>
      </c>
      <c r="D219" s="1" t="s">
        <v>2833</v>
      </c>
    </row>
    <row r="220" spans="1:4" x14ac:dyDescent="0.25">
      <c r="A220" s="1" t="s">
        <v>3051</v>
      </c>
      <c r="C220" s="1" t="s">
        <v>3051</v>
      </c>
      <c r="D220" s="1" t="s">
        <v>2833</v>
      </c>
    </row>
    <row r="221" spans="1:4" x14ac:dyDescent="0.25">
      <c r="A221" s="1" t="s">
        <v>3052</v>
      </c>
      <c r="C221" s="1" t="s">
        <v>3052</v>
      </c>
      <c r="D221" s="1" t="s">
        <v>2833</v>
      </c>
    </row>
    <row r="222" spans="1:4" x14ac:dyDescent="0.25">
      <c r="A222" s="1" t="s">
        <v>3053</v>
      </c>
      <c r="C222" s="1" t="s">
        <v>3053</v>
      </c>
      <c r="D222" s="1" t="s">
        <v>2833</v>
      </c>
    </row>
    <row r="223" spans="1:4" x14ac:dyDescent="0.25">
      <c r="A223" s="1" t="s">
        <v>3054</v>
      </c>
      <c r="C223" s="1" t="s">
        <v>3054</v>
      </c>
      <c r="D223" s="1" t="s">
        <v>2833</v>
      </c>
    </row>
    <row r="224" spans="1:4" x14ac:dyDescent="0.25">
      <c r="A224" s="1" t="s">
        <v>3055</v>
      </c>
      <c r="C224" s="1" t="s">
        <v>3055</v>
      </c>
      <c r="D224" s="1" t="s">
        <v>2833</v>
      </c>
    </row>
    <row r="225" spans="1:4" x14ac:dyDescent="0.25">
      <c r="A225" s="1" t="s">
        <v>3056</v>
      </c>
      <c r="C225" s="1" t="s">
        <v>3056</v>
      </c>
      <c r="D225" s="1" t="s">
        <v>2833</v>
      </c>
    </row>
    <row r="226" spans="1:4" x14ac:dyDescent="0.25">
      <c r="A226" s="1" t="s">
        <v>3057</v>
      </c>
      <c r="C226" s="1" t="s">
        <v>3057</v>
      </c>
      <c r="D226" s="1" t="s">
        <v>2833</v>
      </c>
    </row>
    <row r="227" spans="1:4" x14ac:dyDescent="0.25">
      <c r="A227" s="1" t="s">
        <v>3058</v>
      </c>
      <c r="C227" s="1" t="s">
        <v>3058</v>
      </c>
      <c r="D227" s="1" t="s">
        <v>2833</v>
      </c>
    </row>
    <row r="228" spans="1:4" x14ac:dyDescent="0.25">
      <c r="A228" s="1" t="s">
        <v>3059</v>
      </c>
      <c r="C228" s="1" t="s">
        <v>3059</v>
      </c>
      <c r="D228" s="1" t="s">
        <v>2833</v>
      </c>
    </row>
    <row r="229" spans="1:4" x14ac:dyDescent="0.25">
      <c r="A229" s="1" t="s">
        <v>3060</v>
      </c>
      <c r="C229" s="1" t="s">
        <v>3060</v>
      </c>
      <c r="D229" s="1" t="s">
        <v>2833</v>
      </c>
    </row>
    <row r="230" spans="1:4" x14ac:dyDescent="0.25">
      <c r="A230" s="1" t="s">
        <v>3061</v>
      </c>
      <c r="C230" s="1" t="s">
        <v>3061</v>
      </c>
      <c r="D230" s="1" t="s">
        <v>2833</v>
      </c>
    </row>
    <row r="231" spans="1:4" x14ac:dyDescent="0.25">
      <c r="A231" s="1" t="s">
        <v>3062</v>
      </c>
      <c r="C231" s="1" t="s">
        <v>3062</v>
      </c>
      <c r="D231" s="1" t="s">
        <v>2833</v>
      </c>
    </row>
    <row r="232" spans="1:4" x14ac:dyDescent="0.25">
      <c r="A232" s="1" t="s">
        <v>3063</v>
      </c>
      <c r="C232" s="1" t="s">
        <v>3063</v>
      </c>
      <c r="D232" s="1" t="s">
        <v>2833</v>
      </c>
    </row>
    <row r="233" spans="1:4" x14ac:dyDescent="0.25">
      <c r="A233" s="1" t="s">
        <v>3064</v>
      </c>
      <c r="C233" s="1" t="s">
        <v>3064</v>
      </c>
      <c r="D233" s="1" t="s">
        <v>2833</v>
      </c>
    </row>
    <row r="234" spans="1:4" x14ac:dyDescent="0.25">
      <c r="A234" s="1" t="s">
        <v>3065</v>
      </c>
      <c r="C234" s="1" t="s">
        <v>3065</v>
      </c>
      <c r="D234" s="1" t="s">
        <v>2833</v>
      </c>
    </row>
    <row r="235" spans="1:4" x14ac:dyDescent="0.25">
      <c r="A235" s="1" t="s">
        <v>3066</v>
      </c>
      <c r="C235" s="1" t="s">
        <v>3066</v>
      </c>
      <c r="D235" s="1" t="s">
        <v>2833</v>
      </c>
    </row>
    <row r="236" spans="1:4" x14ac:dyDescent="0.25">
      <c r="A236" s="1" t="s">
        <v>3067</v>
      </c>
      <c r="C236" s="1" t="s">
        <v>3067</v>
      </c>
      <c r="D236" s="1" t="s">
        <v>2833</v>
      </c>
    </row>
    <row r="237" spans="1:4" x14ac:dyDescent="0.25">
      <c r="A237" s="1" t="s">
        <v>3068</v>
      </c>
      <c r="C237" s="1" t="s">
        <v>3068</v>
      </c>
      <c r="D237" s="1" t="s">
        <v>2833</v>
      </c>
    </row>
    <row r="238" spans="1:4" x14ac:dyDescent="0.25">
      <c r="A238" s="1" t="s">
        <v>3069</v>
      </c>
      <c r="C238" s="1" t="s">
        <v>3069</v>
      </c>
      <c r="D238" s="1" t="s">
        <v>2833</v>
      </c>
    </row>
    <row r="239" spans="1:4" x14ac:dyDescent="0.25">
      <c r="A239" s="1" t="s">
        <v>3070</v>
      </c>
      <c r="C239" s="1" t="s">
        <v>3070</v>
      </c>
      <c r="D239" s="1" t="s">
        <v>2833</v>
      </c>
    </row>
    <row r="240" spans="1:4" x14ac:dyDescent="0.25">
      <c r="A240" s="1" t="s">
        <v>3071</v>
      </c>
      <c r="C240" s="1" t="s">
        <v>3071</v>
      </c>
      <c r="D240" s="1" t="s">
        <v>2833</v>
      </c>
    </row>
    <row r="241" spans="1:4" x14ac:dyDescent="0.25">
      <c r="A241" s="1" t="s">
        <v>3072</v>
      </c>
      <c r="C241" s="1" t="s">
        <v>3072</v>
      </c>
      <c r="D241" s="1" t="s">
        <v>2833</v>
      </c>
    </row>
    <row r="242" spans="1:4" x14ac:dyDescent="0.25">
      <c r="A242" s="1" t="s">
        <v>3073</v>
      </c>
      <c r="C242" s="1" t="s">
        <v>3073</v>
      </c>
      <c r="D242" s="1" t="s">
        <v>2833</v>
      </c>
    </row>
    <row r="243" spans="1:4" x14ac:dyDescent="0.25">
      <c r="A243" s="1" t="s">
        <v>3074</v>
      </c>
      <c r="C243" s="1" t="s">
        <v>3074</v>
      </c>
      <c r="D243" s="1" t="s">
        <v>2833</v>
      </c>
    </row>
    <row r="244" spans="1:4" x14ac:dyDescent="0.25">
      <c r="A244" s="1" t="s">
        <v>3075</v>
      </c>
      <c r="C244" s="1" t="s">
        <v>3075</v>
      </c>
      <c r="D244" s="1" t="s">
        <v>2833</v>
      </c>
    </row>
    <row r="245" spans="1:4" x14ac:dyDescent="0.25">
      <c r="A245" s="1" t="s">
        <v>3076</v>
      </c>
      <c r="C245" s="1" t="s">
        <v>3076</v>
      </c>
      <c r="D245" s="1" t="s">
        <v>2833</v>
      </c>
    </row>
    <row r="246" spans="1:4" x14ac:dyDescent="0.25">
      <c r="A246" s="1" t="s">
        <v>3077</v>
      </c>
      <c r="C246" s="1" t="s">
        <v>3077</v>
      </c>
      <c r="D246" s="1" t="s">
        <v>2833</v>
      </c>
    </row>
    <row r="247" spans="1:4" x14ac:dyDescent="0.25">
      <c r="A247" s="1" t="s">
        <v>3078</v>
      </c>
      <c r="C247" s="1" t="s">
        <v>3078</v>
      </c>
      <c r="D247" s="1" t="s">
        <v>2833</v>
      </c>
    </row>
    <row r="248" spans="1:4" x14ac:dyDescent="0.25">
      <c r="A248" s="1" t="s">
        <v>3079</v>
      </c>
      <c r="C248" s="1" t="s">
        <v>3079</v>
      </c>
      <c r="D248" s="1" t="s">
        <v>2833</v>
      </c>
    </row>
    <row r="249" spans="1:4" x14ac:dyDescent="0.25">
      <c r="A249" s="1" t="s">
        <v>3080</v>
      </c>
      <c r="C249" s="1" t="s">
        <v>3080</v>
      </c>
      <c r="D249" s="1" t="s">
        <v>2833</v>
      </c>
    </row>
    <row r="250" spans="1:4" x14ac:dyDescent="0.25">
      <c r="A250" s="1" t="s">
        <v>3081</v>
      </c>
      <c r="C250" s="1" t="s">
        <v>3081</v>
      </c>
      <c r="D250" s="1" t="s">
        <v>2833</v>
      </c>
    </row>
    <row r="251" spans="1:4" x14ac:dyDescent="0.25">
      <c r="A251" s="1" t="s">
        <v>3082</v>
      </c>
      <c r="C251" s="1" t="s">
        <v>3082</v>
      </c>
      <c r="D251" s="1" t="s">
        <v>2833</v>
      </c>
    </row>
    <row r="252" spans="1:4" x14ac:dyDescent="0.25">
      <c r="A252" s="1" t="s">
        <v>3083</v>
      </c>
      <c r="C252" s="1" t="s">
        <v>3083</v>
      </c>
      <c r="D252" s="1" t="s">
        <v>2833</v>
      </c>
    </row>
    <row r="253" spans="1:4" x14ac:dyDescent="0.25">
      <c r="A253" s="1" t="s">
        <v>3084</v>
      </c>
      <c r="C253" s="1" t="s">
        <v>3084</v>
      </c>
      <c r="D253" s="1" t="s">
        <v>2833</v>
      </c>
    </row>
    <row r="254" spans="1:4" x14ac:dyDescent="0.25">
      <c r="A254" s="1" t="s">
        <v>3085</v>
      </c>
      <c r="C254" s="1" t="s">
        <v>3085</v>
      </c>
      <c r="D254" s="1" t="s">
        <v>2833</v>
      </c>
    </row>
    <row r="255" spans="1:4" x14ac:dyDescent="0.25">
      <c r="A255" s="1" t="s">
        <v>3086</v>
      </c>
      <c r="C255" s="1" t="s">
        <v>3086</v>
      </c>
      <c r="D255" s="1" t="s">
        <v>2833</v>
      </c>
    </row>
    <row r="256" spans="1:4" x14ac:dyDescent="0.25">
      <c r="A256" s="1" t="s">
        <v>3087</v>
      </c>
      <c r="C256" s="1" t="s">
        <v>3087</v>
      </c>
      <c r="D256" s="1" t="s">
        <v>2833</v>
      </c>
    </row>
    <row r="257" spans="1:4" x14ac:dyDescent="0.25">
      <c r="A257" s="1" t="s">
        <v>3088</v>
      </c>
      <c r="C257" s="1" t="s">
        <v>3088</v>
      </c>
      <c r="D257" s="1" t="s">
        <v>2833</v>
      </c>
    </row>
    <row r="258" spans="1:4" x14ac:dyDescent="0.25">
      <c r="A258" s="1" t="s">
        <v>3089</v>
      </c>
      <c r="C258" s="1" t="s">
        <v>3089</v>
      </c>
      <c r="D258" s="1" t="s">
        <v>2833</v>
      </c>
    </row>
    <row r="259" spans="1:4" x14ac:dyDescent="0.25">
      <c r="A259" s="1" t="s">
        <v>3090</v>
      </c>
      <c r="C259" s="1" t="s">
        <v>3090</v>
      </c>
      <c r="D259" s="1" t="s">
        <v>2833</v>
      </c>
    </row>
    <row r="260" spans="1:4" x14ac:dyDescent="0.25">
      <c r="A260" s="1" t="s">
        <v>3091</v>
      </c>
      <c r="C260" s="1" t="s">
        <v>3091</v>
      </c>
      <c r="D260" s="1" t="s">
        <v>2833</v>
      </c>
    </row>
    <row r="261" spans="1:4" x14ac:dyDescent="0.25">
      <c r="A261" s="1" t="s">
        <v>3092</v>
      </c>
      <c r="C261" s="1" t="s">
        <v>3092</v>
      </c>
      <c r="D261" s="1" t="s">
        <v>2833</v>
      </c>
    </row>
    <row r="262" spans="1:4" x14ac:dyDescent="0.25">
      <c r="A262" s="1" t="s">
        <v>3093</v>
      </c>
      <c r="C262" s="1" t="s">
        <v>3093</v>
      </c>
      <c r="D262" s="1" t="s">
        <v>2833</v>
      </c>
    </row>
    <row r="263" spans="1:4" x14ac:dyDescent="0.25">
      <c r="A263" s="1" t="s">
        <v>3094</v>
      </c>
      <c r="C263" s="1" t="s">
        <v>3094</v>
      </c>
      <c r="D263" s="1" t="s">
        <v>2833</v>
      </c>
    </row>
    <row r="264" spans="1:4" x14ac:dyDescent="0.25">
      <c r="A264" s="1" t="s">
        <v>3095</v>
      </c>
      <c r="C264" s="1" t="s">
        <v>3095</v>
      </c>
      <c r="D264" s="1" t="s">
        <v>2833</v>
      </c>
    </row>
    <row r="265" spans="1:4" x14ac:dyDescent="0.25">
      <c r="A265" s="1" t="s">
        <v>3096</v>
      </c>
      <c r="C265" s="1" t="s">
        <v>3096</v>
      </c>
      <c r="D265" s="1" t="s">
        <v>2833</v>
      </c>
    </row>
    <row r="266" spans="1:4" x14ac:dyDescent="0.25">
      <c r="A266" s="1" t="s">
        <v>3097</v>
      </c>
      <c r="C266" s="1" t="s">
        <v>3097</v>
      </c>
      <c r="D266" s="1" t="s">
        <v>2833</v>
      </c>
    </row>
    <row r="267" spans="1:4" x14ac:dyDescent="0.25">
      <c r="A267" s="1" t="s">
        <v>3098</v>
      </c>
      <c r="C267" s="1" t="s">
        <v>3098</v>
      </c>
      <c r="D267" s="1" t="s">
        <v>2833</v>
      </c>
    </row>
    <row r="268" spans="1:4" x14ac:dyDescent="0.25">
      <c r="A268" s="1" t="s">
        <v>3099</v>
      </c>
      <c r="C268" s="1" t="s">
        <v>3099</v>
      </c>
      <c r="D268" s="1" t="s">
        <v>2833</v>
      </c>
    </row>
    <row r="269" spans="1:4" x14ac:dyDescent="0.25">
      <c r="A269" s="1" t="s">
        <v>3100</v>
      </c>
      <c r="C269" s="1" t="s">
        <v>3100</v>
      </c>
      <c r="D269" s="1" t="s">
        <v>2833</v>
      </c>
    </row>
    <row r="270" spans="1:4" x14ac:dyDescent="0.25">
      <c r="A270" s="1" t="s">
        <v>3101</v>
      </c>
      <c r="C270" s="1" t="s">
        <v>3101</v>
      </c>
      <c r="D270" s="1" t="s">
        <v>2833</v>
      </c>
    </row>
    <row r="271" spans="1:4" x14ac:dyDescent="0.25">
      <c r="A271" s="1" t="s">
        <v>3102</v>
      </c>
      <c r="C271" s="1" t="s">
        <v>3102</v>
      </c>
      <c r="D271" s="1" t="s">
        <v>2833</v>
      </c>
    </row>
    <row r="272" spans="1:4" x14ac:dyDescent="0.25">
      <c r="A272" s="1" t="s">
        <v>3103</v>
      </c>
      <c r="C272" s="1" t="s">
        <v>3103</v>
      </c>
      <c r="D272" s="1" t="s">
        <v>2833</v>
      </c>
    </row>
    <row r="273" spans="1:4" x14ac:dyDescent="0.25">
      <c r="A273" s="1" t="s">
        <v>3104</v>
      </c>
      <c r="C273" s="1" t="s">
        <v>3104</v>
      </c>
      <c r="D273" s="1" t="s">
        <v>2833</v>
      </c>
    </row>
    <row r="274" spans="1:4" x14ac:dyDescent="0.25">
      <c r="A274" s="1" t="s">
        <v>3105</v>
      </c>
      <c r="C274" s="1" t="s">
        <v>3105</v>
      </c>
      <c r="D274" s="1" t="s">
        <v>2833</v>
      </c>
    </row>
    <row r="275" spans="1:4" x14ac:dyDescent="0.25">
      <c r="A275" s="1" t="s">
        <v>3106</v>
      </c>
      <c r="C275" s="1" t="s">
        <v>3106</v>
      </c>
      <c r="D275" s="1" t="s">
        <v>2833</v>
      </c>
    </row>
    <row r="276" spans="1:4" x14ac:dyDescent="0.25">
      <c r="A276" s="1" t="s">
        <v>3107</v>
      </c>
      <c r="C276" s="1" t="s">
        <v>3107</v>
      </c>
      <c r="D276" s="1" t="s">
        <v>2833</v>
      </c>
    </row>
    <row r="277" spans="1:4" x14ac:dyDescent="0.25">
      <c r="A277" s="1" t="s">
        <v>3108</v>
      </c>
      <c r="C277" s="1" t="s">
        <v>3108</v>
      </c>
      <c r="D277" s="1" t="s">
        <v>2833</v>
      </c>
    </row>
    <row r="278" spans="1:4" x14ac:dyDescent="0.25">
      <c r="A278" s="1" t="s">
        <v>3109</v>
      </c>
      <c r="C278" s="1" t="s">
        <v>3109</v>
      </c>
      <c r="D278" s="1" t="s">
        <v>2833</v>
      </c>
    </row>
    <row r="279" spans="1:4" x14ac:dyDescent="0.25">
      <c r="A279" s="1" t="s">
        <v>3110</v>
      </c>
      <c r="C279" s="1" t="s">
        <v>3110</v>
      </c>
      <c r="D279" s="1" t="s">
        <v>2833</v>
      </c>
    </row>
    <row r="280" spans="1:4" x14ac:dyDescent="0.25">
      <c r="A280" s="1" t="s">
        <v>3111</v>
      </c>
      <c r="C280" s="1" t="s">
        <v>3111</v>
      </c>
      <c r="D280" s="1" t="s">
        <v>2833</v>
      </c>
    </row>
    <row r="281" spans="1:4" x14ac:dyDescent="0.25">
      <c r="A281" s="1" t="s">
        <v>3112</v>
      </c>
      <c r="C281" s="1" t="s">
        <v>3112</v>
      </c>
      <c r="D281" s="1" t="s">
        <v>2833</v>
      </c>
    </row>
    <row r="282" spans="1:4" x14ac:dyDescent="0.25">
      <c r="A282" s="1" t="s">
        <v>3113</v>
      </c>
      <c r="C282" s="1" t="s">
        <v>3113</v>
      </c>
      <c r="D282" s="1" t="s">
        <v>2833</v>
      </c>
    </row>
    <row r="283" spans="1:4" x14ac:dyDescent="0.25">
      <c r="A283" s="1" t="s">
        <v>3114</v>
      </c>
      <c r="C283" s="1" t="s">
        <v>3114</v>
      </c>
      <c r="D283" s="1" t="s">
        <v>2833</v>
      </c>
    </row>
    <row r="284" spans="1:4" x14ac:dyDescent="0.25">
      <c r="A284" s="1" t="s">
        <v>3115</v>
      </c>
      <c r="C284" s="1" t="s">
        <v>3115</v>
      </c>
      <c r="D284" s="1" t="s">
        <v>2833</v>
      </c>
    </row>
    <row r="285" spans="1:4" x14ac:dyDescent="0.25">
      <c r="A285" s="1" t="s">
        <v>3116</v>
      </c>
      <c r="C285" s="1" t="s">
        <v>3116</v>
      </c>
      <c r="D285" s="1" t="s">
        <v>2833</v>
      </c>
    </row>
    <row r="286" spans="1:4" x14ac:dyDescent="0.25">
      <c r="A286" s="1" t="s">
        <v>3117</v>
      </c>
      <c r="C286" s="1" t="s">
        <v>3117</v>
      </c>
      <c r="D286" s="1" t="s">
        <v>2833</v>
      </c>
    </row>
    <row r="287" spans="1:4" x14ac:dyDescent="0.25">
      <c r="A287" s="1" t="s">
        <v>3118</v>
      </c>
      <c r="C287" s="1" t="s">
        <v>3118</v>
      </c>
      <c r="D287" s="1" t="s">
        <v>2833</v>
      </c>
    </row>
    <row r="288" spans="1:4" x14ac:dyDescent="0.25">
      <c r="A288" s="1" t="s">
        <v>3119</v>
      </c>
      <c r="C288" s="1" t="s">
        <v>3119</v>
      </c>
      <c r="D288" s="1" t="s">
        <v>2833</v>
      </c>
    </row>
    <row r="289" spans="1:4" x14ac:dyDescent="0.25">
      <c r="A289" s="1" t="s">
        <v>3120</v>
      </c>
      <c r="C289" s="1" t="s">
        <v>3120</v>
      </c>
      <c r="D289" s="1" t="s">
        <v>2833</v>
      </c>
    </row>
    <row r="290" spans="1:4" x14ac:dyDescent="0.25">
      <c r="A290" s="1" t="s">
        <v>3121</v>
      </c>
      <c r="C290" s="1" t="s">
        <v>3121</v>
      </c>
      <c r="D290" s="1" t="s">
        <v>2833</v>
      </c>
    </row>
    <row r="291" spans="1:4" x14ac:dyDescent="0.25">
      <c r="A291" s="1" t="s">
        <v>3122</v>
      </c>
      <c r="C291" s="1" t="s">
        <v>3122</v>
      </c>
      <c r="D291" s="1" t="s">
        <v>2833</v>
      </c>
    </row>
    <row r="292" spans="1:4" x14ac:dyDescent="0.25">
      <c r="A292" s="1" t="s">
        <v>3123</v>
      </c>
      <c r="C292" s="1" t="s">
        <v>3123</v>
      </c>
      <c r="D292" s="1" t="s">
        <v>2833</v>
      </c>
    </row>
    <row r="293" spans="1:4" x14ac:dyDescent="0.25">
      <c r="A293" s="1" t="s">
        <v>3124</v>
      </c>
      <c r="C293" s="1" t="s">
        <v>3124</v>
      </c>
      <c r="D293" s="1" t="s">
        <v>2833</v>
      </c>
    </row>
    <row r="294" spans="1:4" x14ac:dyDescent="0.25">
      <c r="A294" s="1" t="s">
        <v>3125</v>
      </c>
      <c r="C294" s="1" t="s">
        <v>3125</v>
      </c>
      <c r="D294" s="1" t="s">
        <v>2833</v>
      </c>
    </row>
    <row r="295" spans="1:4" x14ac:dyDescent="0.25">
      <c r="A295" s="1" t="s">
        <v>3126</v>
      </c>
      <c r="C295" s="1" t="s">
        <v>3126</v>
      </c>
      <c r="D295" s="1" t="s">
        <v>2833</v>
      </c>
    </row>
    <row r="296" spans="1:4" x14ac:dyDescent="0.25">
      <c r="A296" s="1" t="s">
        <v>3127</v>
      </c>
      <c r="C296" s="1" t="s">
        <v>3127</v>
      </c>
      <c r="D296" s="1" t="s">
        <v>2833</v>
      </c>
    </row>
    <row r="297" spans="1:4" x14ac:dyDescent="0.25">
      <c r="A297" s="1" t="s">
        <v>3128</v>
      </c>
      <c r="C297" s="1" t="s">
        <v>3128</v>
      </c>
      <c r="D297" s="1" t="s">
        <v>2833</v>
      </c>
    </row>
    <row r="298" spans="1:4" x14ac:dyDescent="0.25">
      <c r="A298" s="1" t="s">
        <v>3129</v>
      </c>
      <c r="C298" s="1" t="s">
        <v>3129</v>
      </c>
      <c r="D298" s="1" t="s">
        <v>2833</v>
      </c>
    </row>
    <row r="299" spans="1:4" x14ac:dyDescent="0.25">
      <c r="A299" s="1" t="s">
        <v>3130</v>
      </c>
      <c r="C299" s="1" t="s">
        <v>3130</v>
      </c>
      <c r="D299" s="1" t="s">
        <v>2833</v>
      </c>
    </row>
    <row r="300" spans="1:4" x14ac:dyDescent="0.25">
      <c r="A300" s="1" t="s">
        <v>3131</v>
      </c>
      <c r="C300" s="1" t="s">
        <v>3131</v>
      </c>
      <c r="D300" s="1" t="s">
        <v>2833</v>
      </c>
    </row>
    <row r="301" spans="1:4" x14ac:dyDescent="0.25">
      <c r="A301" s="1" t="s">
        <v>3132</v>
      </c>
      <c r="C301" s="1" t="s">
        <v>3132</v>
      </c>
      <c r="D301" s="1" t="s">
        <v>2833</v>
      </c>
    </row>
    <row r="302" spans="1:4" x14ac:dyDescent="0.25">
      <c r="A302" s="1" t="s">
        <v>3133</v>
      </c>
      <c r="C302" s="1" t="s">
        <v>3133</v>
      </c>
      <c r="D302" s="1" t="s">
        <v>2833</v>
      </c>
    </row>
    <row r="303" spans="1:4" x14ac:dyDescent="0.25">
      <c r="A303" s="1" t="s">
        <v>3134</v>
      </c>
      <c r="C303" s="1" t="s">
        <v>3134</v>
      </c>
      <c r="D303" s="1" t="s">
        <v>2833</v>
      </c>
    </row>
    <row r="304" spans="1:4" x14ac:dyDescent="0.25">
      <c r="A304" s="1" t="s">
        <v>3135</v>
      </c>
      <c r="C304" s="1" t="s">
        <v>3135</v>
      </c>
      <c r="D304" s="1" t="s">
        <v>2833</v>
      </c>
    </row>
    <row r="305" spans="1:4" x14ac:dyDescent="0.25">
      <c r="A305" s="1" t="s">
        <v>3136</v>
      </c>
      <c r="C305" s="1" t="s">
        <v>3136</v>
      </c>
      <c r="D305" s="1" t="s">
        <v>2833</v>
      </c>
    </row>
    <row r="306" spans="1:4" x14ac:dyDescent="0.25">
      <c r="A306" s="1" t="s">
        <v>3137</v>
      </c>
      <c r="C306" s="1" t="s">
        <v>3137</v>
      </c>
      <c r="D306" s="1" t="s">
        <v>2833</v>
      </c>
    </row>
    <row r="307" spans="1:4" x14ac:dyDescent="0.25">
      <c r="A307" s="1" t="s">
        <v>3138</v>
      </c>
      <c r="C307" s="1" t="s">
        <v>3138</v>
      </c>
      <c r="D307" s="1" t="s">
        <v>2833</v>
      </c>
    </row>
    <row r="308" spans="1:4" x14ac:dyDescent="0.25">
      <c r="A308" s="1" t="s">
        <v>3139</v>
      </c>
      <c r="C308" s="1" t="s">
        <v>3139</v>
      </c>
      <c r="D308" s="1" t="s">
        <v>2833</v>
      </c>
    </row>
    <row r="309" spans="1:4" x14ac:dyDescent="0.25">
      <c r="A309" s="1" t="s">
        <v>3140</v>
      </c>
      <c r="C309" s="1" t="s">
        <v>3140</v>
      </c>
      <c r="D309" s="1" t="s">
        <v>2833</v>
      </c>
    </row>
    <row r="310" spans="1:4" x14ac:dyDescent="0.25">
      <c r="A310" s="1" t="s">
        <v>3141</v>
      </c>
      <c r="C310" s="1" t="s">
        <v>3141</v>
      </c>
      <c r="D310" s="1" t="s">
        <v>2833</v>
      </c>
    </row>
    <row r="311" spans="1:4" x14ac:dyDescent="0.25">
      <c r="A311" s="1" t="s">
        <v>3142</v>
      </c>
      <c r="C311" s="1" t="s">
        <v>3142</v>
      </c>
      <c r="D311" s="1" t="s">
        <v>2833</v>
      </c>
    </row>
    <row r="312" spans="1:4" x14ac:dyDescent="0.25">
      <c r="A312" s="1" t="s">
        <v>3143</v>
      </c>
      <c r="C312" s="1" t="s">
        <v>3143</v>
      </c>
      <c r="D312" s="1" t="s">
        <v>2833</v>
      </c>
    </row>
    <row r="313" spans="1:4" x14ac:dyDescent="0.25">
      <c r="A313" s="1" t="s">
        <v>3144</v>
      </c>
      <c r="C313" s="1" t="s">
        <v>3144</v>
      </c>
      <c r="D313" s="1" t="s">
        <v>2833</v>
      </c>
    </row>
    <row r="314" spans="1:4" x14ac:dyDescent="0.25">
      <c r="A314" s="1" t="s">
        <v>3145</v>
      </c>
      <c r="C314" s="1" t="s">
        <v>3145</v>
      </c>
      <c r="D314" s="1" t="s">
        <v>2833</v>
      </c>
    </row>
    <row r="315" spans="1:4" x14ac:dyDescent="0.25">
      <c r="A315" s="1" t="s">
        <v>3146</v>
      </c>
      <c r="C315" s="1" t="s">
        <v>3146</v>
      </c>
      <c r="D315" s="1" t="s">
        <v>2833</v>
      </c>
    </row>
    <row r="316" spans="1:4" x14ac:dyDescent="0.25">
      <c r="A316" s="1" t="s">
        <v>3147</v>
      </c>
      <c r="C316" s="1" t="s">
        <v>3147</v>
      </c>
      <c r="D316" s="1" t="s">
        <v>2833</v>
      </c>
    </row>
    <row r="317" spans="1:4" x14ac:dyDescent="0.25">
      <c r="A317" s="1" t="s">
        <v>3148</v>
      </c>
      <c r="C317" s="1" t="s">
        <v>3148</v>
      </c>
      <c r="D317" s="1" t="s">
        <v>2833</v>
      </c>
    </row>
    <row r="318" spans="1:4" x14ac:dyDescent="0.25">
      <c r="A318" s="1" t="s">
        <v>3149</v>
      </c>
      <c r="C318" s="1" t="s">
        <v>3149</v>
      </c>
      <c r="D318" s="1" t="s">
        <v>2833</v>
      </c>
    </row>
    <row r="319" spans="1:4" x14ac:dyDescent="0.25">
      <c r="A319" s="1" t="s">
        <v>3150</v>
      </c>
      <c r="C319" s="1" t="s">
        <v>3150</v>
      </c>
      <c r="D319" s="1" t="s">
        <v>2833</v>
      </c>
    </row>
    <row r="320" spans="1:4" x14ac:dyDescent="0.25">
      <c r="A320" s="1" t="s">
        <v>3151</v>
      </c>
      <c r="C320" s="1" t="s">
        <v>3151</v>
      </c>
      <c r="D320" s="1" t="s">
        <v>2833</v>
      </c>
    </row>
    <row r="321" spans="1:4" x14ac:dyDescent="0.25">
      <c r="A321" s="1" t="s">
        <v>3152</v>
      </c>
      <c r="C321" s="1" t="s">
        <v>3152</v>
      </c>
      <c r="D321" s="1" t="s">
        <v>2833</v>
      </c>
    </row>
    <row r="322" spans="1:4" x14ac:dyDescent="0.25">
      <c r="A322" s="1" t="s">
        <v>3153</v>
      </c>
      <c r="C322" s="1" t="s">
        <v>3153</v>
      </c>
      <c r="D322" s="1" t="s">
        <v>2833</v>
      </c>
    </row>
    <row r="323" spans="1:4" x14ac:dyDescent="0.25">
      <c r="A323" s="1" t="s">
        <v>3154</v>
      </c>
      <c r="C323" s="1" t="s">
        <v>3154</v>
      </c>
      <c r="D323" s="1" t="s">
        <v>2833</v>
      </c>
    </row>
    <row r="324" spans="1:4" x14ac:dyDescent="0.25">
      <c r="A324" s="1" t="s">
        <v>3155</v>
      </c>
      <c r="C324" s="1" t="s">
        <v>3155</v>
      </c>
      <c r="D324" s="1" t="s">
        <v>2833</v>
      </c>
    </row>
    <row r="325" spans="1:4" x14ac:dyDescent="0.25">
      <c r="A325" s="1" t="s">
        <v>3156</v>
      </c>
      <c r="C325" s="1" t="s">
        <v>3156</v>
      </c>
      <c r="D325" s="1" t="s">
        <v>2833</v>
      </c>
    </row>
    <row r="326" spans="1:4" x14ac:dyDescent="0.25">
      <c r="A326" s="1" t="s">
        <v>3157</v>
      </c>
      <c r="C326" s="1" t="s">
        <v>3157</v>
      </c>
      <c r="D326" s="1" t="s">
        <v>2833</v>
      </c>
    </row>
    <row r="327" spans="1:4" x14ac:dyDescent="0.25">
      <c r="A327" s="1" t="s">
        <v>3158</v>
      </c>
      <c r="C327" s="1" t="s">
        <v>3158</v>
      </c>
      <c r="D327" s="1" t="s">
        <v>2833</v>
      </c>
    </row>
    <row r="328" spans="1:4" x14ac:dyDescent="0.25">
      <c r="A328" s="1" t="s">
        <v>3159</v>
      </c>
      <c r="C328" s="1" t="s">
        <v>3159</v>
      </c>
      <c r="D328" s="1" t="s">
        <v>2833</v>
      </c>
    </row>
    <row r="329" spans="1:4" x14ac:dyDescent="0.25">
      <c r="A329" s="1" t="s">
        <v>3160</v>
      </c>
      <c r="C329" s="1" t="s">
        <v>3160</v>
      </c>
      <c r="D329" s="1" t="s">
        <v>2833</v>
      </c>
    </row>
    <row r="330" spans="1:4" x14ac:dyDescent="0.25">
      <c r="A330" s="1" t="s">
        <v>3161</v>
      </c>
      <c r="C330" s="1" t="s">
        <v>3161</v>
      </c>
      <c r="D330" s="1" t="s">
        <v>2833</v>
      </c>
    </row>
    <row r="331" spans="1:4" x14ac:dyDescent="0.25">
      <c r="A331" s="1" t="s">
        <v>3162</v>
      </c>
      <c r="C331" s="1" t="s">
        <v>3162</v>
      </c>
      <c r="D331" s="1" t="s">
        <v>2833</v>
      </c>
    </row>
    <row r="332" spans="1:4" x14ac:dyDescent="0.25">
      <c r="A332" s="1" t="s">
        <v>3163</v>
      </c>
      <c r="C332" s="1" t="s">
        <v>3163</v>
      </c>
      <c r="D332" s="1" t="s">
        <v>2833</v>
      </c>
    </row>
    <row r="333" spans="1:4" x14ac:dyDescent="0.25">
      <c r="A333" s="1" t="s">
        <v>3164</v>
      </c>
      <c r="C333" s="1" t="s">
        <v>3164</v>
      </c>
      <c r="D333" s="1" t="s">
        <v>2833</v>
      </c>
    </row>
    <row r="334" spans="1:4" x14ac:dyDescent="0.25">
      <c r="A334" s="1" t="s">
        <v>3165</v>
      </c>
      <c r="C334" s="1" t="s">
        <v>3165</v>
      </c>
      <c r="D334" s="1" t="s">
        <v>2833</v>
      </c>
    </row>
    <row r="335" spans="1:4" x14ac:dyDescent="0.25">
      <c r="A335" s="1" t="s">
        <v>3166</v>
      </c>
      <c r="C335" s="1" t="s">
        <v>3166</v>
      </c>
      <c r="D335" s="1" t="s">
        <v>2833</v>
      </c>
    </row>
    <row r="336" spans="1:4" x14ac:dyDescent="0.25">
      <c r="A336" s="1" t="s">
        <v>3167</v>
      </c>
      <c r="C336" s="1" t="s">
        <v>3167</v>
      </c>
      <c r="D336" s="1" t="s">
        <v>2833</v>
      </c>
    </row>
    <row r="337" spans="1:4" x14ac:dyDescent="0.25">
      <c r="A337" s="1" t="s">
        <v>3168</v>
      </c>
      <c r="C337" s="1" t="s">
        <v>3168</v>
      </c>
      <c r="D337" s="1" t="s">
        <v>2833</v>
      </c>
    </row>
    <row r="338" spans="1:4" x14ac:dyDescent="0.25">
      <c r="A338" s="1" t="s">
        <v>3169</v>
      </c>
      <c r="C338" s="1" t="s">
        <v>3169</v>
      </c>
      <c r="D338" s="1" t="s">
        <v>2833</v>
      </c>
    </row>
    <row r="339" spans="1:4" x14ac:dyDescent="0.25">
      <c r="A339" s="1" t="s">
        <v>3170</v>
      </c>
      <c r="C339" s="1" t="s">
        <v>3170</v>
      </c>
      <c r="D339" s="1" t="s">
        <v>2833</v>
      </c>
    </row>
    <row r="340" spans="1:4" x14ac:dyDescent="0.25">
      <c r="A340" s="1" t="s">
        <v>3171</v>
      </c>
      <c r="C340" s="1" t="s">
        <v>3171</v>
      </c>
      <c r="D340" s="1" t="s">
        <v>2833</v>
      </c>
    </row>
    <row r="341" spans="1:4" x14ac:dyDescent="0.25">
      <c r="A341" s="1" t="s">
        <v>3172</v>
      </c>
      <c r="C341" s="1" t="s">
        <v>3172</v>
      </c>
      <c r="D341" s="1" t="s">
        <v>2833</v>
      </c>
    </row>
    <row r="342" spans="1:4" x14ac:dyDescent="0.25">
      <c r="A342" s="1" t="s">
        <v>3173</v>
      </c>
      <c r="C342" s="1" t="s">
        <v>3173</v>
      </c>
      <c r="D342" s="1" t="s">
        <v>2833</v>
      </c>
    </row>
    <row r="343" spans="1:4" x14ac:dyDescent="0.25">
      <c r="A343" s="1" t="s">
        <v>3174</v>
      </c>
      <c r="C343" s="1" t="s">
        <v>3174</v>
      </c>
      <c r="D343" s="1" t="s">
        <v>2833</v>
      </c>
    </row>
    <row r="344" spans="1:4" x14ac:dyDescent="0.25">
      <c r="A344" s="1" t="s">
        <v>3175</v>
      </c>
      <c r="C344" s="1" t="s">
        <v>3175</v>
      </c>
      <c r="D344" s="1" t="s">
        <v>2833</v>
      </c>
    </row>
    <row r="345" spans="1:4" x14ac:dyDescent="0.25">
      <c r="A345" s="1" t="s">
        <v>3176</v>
      </c>
      <c r="C345" s="1" t="s">
        <v>3176</v>
      </c>
      <c r="D345" s="1" t="s">
        <v>2833</v>
      </c>
    </row>
    <row r="346" spans="1:4" x14ac:dyDescent="0.25">
      <c r="A346" s="1" t="s">
        <v>3177</v>
      </c>
      <c r="C346" s="1" t="s">
        <v>3177</v>
      </c>
      <c r="D346" s="1" t="s">
        <v>2833</v>
      </c>
    </row>
    <row r="347" spans="1:4" x14ac:dyDescent="0.25">
      <c r="A347" s="1" t="s">
        <v>3178</v>
      </c>
      <c r="C347" s="1" t="s">
        <v>3178</v>
      </c>
      <c r="D347" s="1" t="s">
        <v>2833</v>
      </c>
    </row>
    <row r="348" spans="1:4" x14ac:dyDescent="0.25">
      <c r="A348" s="1" t="s">
        <v>3179</v>
      </c>
      <c r="C348" s="1" t="s">
        <v>3179</v>
      </c>
      <c r="D348" s="1" t="s">
        <v>2833</v>
      </c>
    </row>
    <row r="349" spans="1:4" x14ac:dyDescent="0.25">
      <c r="A349" s="1" t="s">
        <v>3180</v>
      </c>
      <c r="C349" s="1" t="s">
        <v>3180</v>
      </c>
      <c r="D349" s="1" t="s">
        <v>2833</v>
      </c>
    </row>
    <row r="350" spans="1:4" x14ac:dyDescent="0.25">
      <c r="A350" s="1" t="s">
        <v>3181</v>
      </c>
      <c r="C350" s="1" t="s">
        <v>3181</v>
      </c>
      <c r="D350" s="1" t="s">
        <v>2833</v>
      </c>
    </row>
    <row r="351" spans="1:4" x14ac:dyDescent="0.25">
      <c r="A351" s="1" t="s">
        <v>3182</v>
      </c>
      <c r="C351" s="1" t="s">
        <v>3182</v>
      </c>
      <c r="D351" s="1" t="s">
        <v>2833</v>
      </c>
    </row>
    <row r="352" spans="1:4" x14ac:dyDescent="0.25">
      <c r="A352" s="1" t="s">
        <v>3183</v>
      </c>
      <c r="C352" s="1" t="s">
        <v>3183</v>
      </c>
      <c r="D352" s="1" t="s">
        <v>2833</v>
      </c>
    </row>
    <row r="353" spans="1:4" x14ac:dyDescent="0.25">
      <c r="A353" s="1" t="s">
        <v>3184</v>
      </c>
      <c r="C353" s="1" t="s">
        <v>3184</v>
      </c>
      <c r="D353" s="1" t="s">
        <v>2833</v>
      </c>
    </row>
    <row r="354" spans="1:4" x14ac:dyDescent="0.25">
      <c r="A354" s="1" t="s">
        <v>3185</v>
      </c>
      <c r="C354" s="1" t="s">
        <v>3185</v>
      </c>
      <c r="D354" s="1" t="s">
        <v>2833</v>
      </c>
    </row>
    <row r="355" spans="1:4" x14ac:dyDescent="0.25">
      <c r="A355" s="1" t="s">
        <v>3186</v>
      </c>
      <c r="C355" s="1" t="s">
        <v>3186</v>
      </c>
      <c r="D355" s="1" t="s">
        <v>2833</v>
      </c>
    </row>
    <row r="356" spans="1:4" x14ac:dyDescent="0.25">
      <c r="A356" s="1" t="s">
        <v>3187</v>
      </c>
      <c r="C356" s="1" t="s">
        <v>3187</v>
      </c>
      <c r="D356" s="1" t="s">
        <v>2833</v>
      </c>
    </row>
    <row r="357" spans="1:4" x14ac:dyDescent="0.25">
      <c r="A357" s="1" t="s">
        <v>3188</v>
      </c>
      <c r="C357" s="1" t="s">
        <v>3188</v>
      </c>
      <c r="D357" s="1" t="s">
        <v>2833</v>
      </c>
    </row>
    <row r="358" spans="1:4" x14ac:dyDescent="0.25">
      <c r="A358" s="1" t="s">
        <v>3189</v>
      </c>
      <c r="C358" s="1" t="s">
        <v>3189</v>
      </c>
      <c r="D358" s="1" t="s">
        <v>2833</v>
      </c>
    </row>
    <row r="359" spans="1:4" x14ac:dyDescent="0.25">
      <c r="A359" s="1" t="s">
        <v>3190</v>
      </c>
      <c r="C359" s="1" t="s">
        <v>3190</v>
      </c>
      <c r="D359" s="1" t="s">
        <v>2833</v>
      </c>
    </row>
    <row r="360" spans="1:4" x14ac:dyDescent="0.25">
      <c r="A360" s="1" t="s">
        <v>3191</v>
      </c>
      <c r="C360" s="1" t="s">
        <v>3191</v>
      </c>
      <c r="D360" s="1" t="s">
        <v>2833</v>
      </c>
    </row>
    <row r="361" spans="1:4" x14ac:dyDescent="0.25">
      <c r="A361" s="1" t="s">
        <v>3192</v>
      </c>
      <c r="C361" s="1" t="s">
        <v>3192</v>
      </c>
      <c r="D361" s="1" t="s">
        <v>2833</v>
      </c>
    </row>
    <row r="362" spans="1:4" x14ac:dyDescent="0.25">
      <c r="A362" s="1" t="s">
        <v>3193</v>
      </c>
      <c r="C362" s="1" t="s">
        <v>3193</v>
      </c>
      <c r="D362" s="1" t="s">
        <v>2833</v>
      </c>
    </row>
    <row r="363" spans="1:4" x14ac:dyDescent="0.25">
      <c r="A363" s="1" t="s">
        <v>3194</v>
      </c>
      <c r="C363" s="1" t="s">
        <v>3194</v>
      </c>
      <c r="D363" s="1" t="s">
        <v>2833</v>
      </c>
    </row>
    <row r="364" spans="1:4" x14ac:dyDescent="0.25">
      <c r="A364" s="1" t="s">
        <v>3195</v>
      </c>
      <c r="C364" s="1" t="s">
        <v>3195</v>
      </c>
      <c r="D364" s="1" t="s">
        <v>2833</v>
      </c>
    </row>
    <row r="365" spans="1:4" x14ac:dyDescent="0.25">
      <c r="A365" s="1" t="s">
        <v>3196</v>
      </c>
      <c r="C365" s="1" t="s">
        <v>3196</v>
      </c>
      <c r="D365" s="1" t="s">
        <v>2833</v>
      </c>
    </row>
    <row r="366" spans="1:4" x14ac:dyDescent="0.25">
      <c r="A366" s="1" t="s">
        <v>3197</v>
      </c>
      <c r="C366" s="1" t="s">
        <v>3197</v>
      </c>
      <c r="D366" s="1" t="s">
        <v>2833</v>
      </c>
    </row>
    <row r="367" spans="1:4" x14ac:dyDescent="0.25">
      <c r="A367" s="1" t="s">
        <v>3198</v>
      </c>
      <c r="C367" s="1" t="s">
        <v>3198</v>
      </c>
      <c r="D367" s="1" t="s">
        <v>2833</v>
      </c>
    </row>
    <row r="368" spans="1:4" x14ac:dyDescent="0.25">
      <c r="A368" s="1" t="s">
        <v>3199</v>
      </c>
      <c r="C368" s="1" t="s">
        <v>3199</v>
      </c>
      <c r="D368" s="1" t="s">
        <v>2833</v>
      </c>
    </row>
    <row r="369" spans="1:4" x14ac:dyDescent="0.25">
      <c r="A369" s="1" t="s">
        <v>3200</v>
      </c>
      <c r="C369" s="1" t="s">
        <v>3200</v>
      </c>
      <c r="D369" s="1" t="s">
        <v>2833</v>
      </c>
    </row>
    <row r="370" spans="1:4" x14ac:dyDescent="0.25">
      <c r="A370" s="1" t="s">
        <v>3201</v>
      </c>
      <c r="C370" s="1" t="s">
        <v>3201</v>
      </c>
      <c r="D370" s="1" t="s">
        <v>2833</v>
      </c>
    </row>
    <row r="371" spans="1:4" x14ac:dyDescent="0.25">
      <c r="A371" s="1" t="s">
        <v>3202</v>
      </c>
      <c r="C371" s="1" t="s">
        <v>3202</v>
      </c>
      <c r="D371" s="1" t="s">
        <v>2833</v>
      </c>
    </row>
    <row r="372" spans="1:4" x14ac:dyDescent="0.25">
      <c r="A372" s="1" t="s">
        <v>3203</v>
      </c>
      <c r="C372" s="1" t="s">
        <v>3203</v>
      </c>
      <c r="D372" s="1" t="s">
        <v>2833</v>
      </c>
    </row>
    <row r="373" spans="1:4" x14ac:dyDescent="0.25">
      <c r="A373" s="1" t="s">
        <v>3204</v>
      </c>
      <c r="C373" s="1" t="s">
        <v>3204</v>
      </c>
      <c r="D373" s="1" t="s">
        <v>2833</v>
      </c>
    </row>
    <row r="374" spans="1:4" x14ac:dyDescent="0.25">
      <c r="A374" s="1" t="s">
        <v>3205</v>
      </c>
      <c r="C374" s="1" t="s">
        <v>3205</v>
      </c>
      <c r="D374" s="1" t="s">
        <v>2833</v>
      </c>
    </row>
    <row r="375" spans="1:4" x14ac:dyDescent="0.25">
      <c r="A375" s="1" t="s">
        <v>3206</v>
      </c>
      <c r="C375" s="1" t="s">
        <v>3206</v>
      </c>
      <c r="D375" s="1" t="s">
        <v>2833</v>
      </c>
    </row>
    <row r="376" spans="1:4" x14ac:dyDescent="0.25">
      <c r="A376" s="1" t="s">
        <v>3207</v>
      </c>
      <c r="C376" s="1" t="s">
        <v>3207</v>
      </c>
      <c r="D376" s="1" t="s">
        <v>2833</v>
      </c>
    </row>
    <row r="377" spans="1:4" x14ac:dyDescent="0.25">
      <c r="A377" s="1" t="s">
        <v>3208</v>
      </c>
      <c r="C377" s="1" t="s">
        <v>3208</v>
      </c>
      <c r="D377" s="1" t="s">
        <v>2833</v>
      </c>
    </row>
    <row r="378" spans="1:4" x14ac:dyDescent="0.25">
      <c r="A378" s="1" t="s">
        <v>3209</v>
      </c>
      <c r="C378" s="1" t="s">
        <v>3209</v>
      </c>
      <c r="D378" s="1" t="s">
        <v>2833</v>
      </c>
    </row>
    <row r="379" spans="1:4" x14ac:dyDescent="0.25">
      <c r="A379" s="1" t="s">
        <v>3210</v>
      </c>
      <c r="C379" s="1" t="s">
        <v>3210</v>
      </c>
      <c r="D379" s="1" t="s">
        <v>2833</v>
      </c>
    </row>
    <row r="380" spans="1:4" x14ac:dyDescent="0.25">
      <c r="A380" s="1" t="s">
        <v>3211</v>
      </c>
      <c r="C380" s="1" t="s">
        <v>3211</v>
      </c>
      <c r="D380" s="1" t="s">
        <v>2833</v>
      </c>
    </row>
    <row r="381" spans="1:4" x14ac:dyDescent="0.25">
      <c r="A381" s="1" t="s">
        <v>3212</v>
      </c>
      <c r="C381" s="1" t="s">
        <v>3212</v>
      </c>
      <c r="D381" s="1" t="s">
        <v>2833</v>
      </c>
    </row>
    <row r="382" spans="1:4" x14ac:dyDescent="0.25">
      <c r="A382" s="1" t="s">
        <v>3213</v>
      </c>
      <c r="C382" s="1" t="s">
        <v>3213</v>
      </c>
      <c r="D382" s="1" t="s">
        <v>2833</v>
      </c>
    </row>
    <row r="383" spans="1:4" x14ac:dyDescent="0.25">
      <c r="A383" s="1" t="s">
        <v>3214</v>
      </c>
      <c r="C383" s="1" t="s">
        <v>3214</v>
      </c>
      <c r="D383" s="1" t="s">
        <v>2833</v>
      </c>
    </row>
    <row r="384" spans="1:4" x14ac:dyDescent="0.25">
      <c r="A384" s="1" t="s">
        <v>3215</v>
      </c>
      <c r="C384" s="1" t="s">
        <v>3215</v>
      </c>
      <c r="D384" s="1" t="s">
        <v>2833</v>
      </c>
    </row>
    <row r="385" spans="1:4" x14ac:dyDescent="0.25">
      <c r="A385" s="1" t="s">
        <v>3216</v>
      </c>
      <c r="C385" s="1" t="s">
        <v>3216</v>
      </c>
      <c r="D385" s="1" t="s">
        <v>2833</v>
      </c>
    </row>
    <row r="386" spans="1:4" x14ac:dyDescent="0.25">
      <c r="A386" s="1" t="s">
        <v>3217</v>
      </c>
      <c r="C386" s="1" t="s">
        <v>3217</v>
      </c>
      <c r="D386" s="1" t="s">
        <v>2833</v>
      </c>
    </row>
    <row r="387" spans="1:4" x14ac:dyDescent="0.25">
      <c r="A387" s="1" t="s">
        <v>3218</v>
      </c>
      <c r="C387" s="1" t="s">
        <v>3218</v>
      </c>
      <c r="D387" s="1" t="s">
        <v>2833</v>
      </c>
    </row>
    <row r="388" spans="1:4" x14ac:dyDescent="0.25">
      <c r="A388" s="1" t="s">
        <v>3219</v>
      </c>
      <c r="C388" s="1" t="s">
        <v>3219</v>
      </c>
      <c r="D388" s="1" t="s">
        <v>2833</v>
      </c>
    </row>
    <row r="389" spans="1:4" x14ac:dyDescent="0.25">
      <c r="A389" s="1" t="s">
        <v>3220</v>
      </c>
      <c r="C389" s="1" t="s">
        <v>3220</v>
      </c>
      <c r="D389" s="1" t="s">
        <v>2833</v>
      </c>
    </row>
    <row r="390" spans="1:4" x14ac:dyDescent="0.25">
      <c r="A390" s="1" t="s">
        <v>3221</v>
      </c>
      <c r="C390" s="1" t="s">
        <v>3221</v>
      </c>
      <c r="D390" s="1" t="s">
        <v>2833</v>
      </c>
    </row>
    <row r="391" spans="1:4" x14ac:dyDescent="0.25">
      <c r="A391" s="1" t="s">
        <v>3222</v>
      </c>
      <c r="C391" s="1" t="s">
        <v>3222</v>
      </c>
      <c r="D391" s="1" t="s">
        <v>2833</v>
      </c>
    </row>
    <row r="392" spans="1:4" x14ac:dyDescent="0.25">
      <c r="A392" s="1" t="s">
        <v>3223</v>
      </c>
      <c r="C392" s="1" t="s">
        <v>3223</v>
      </c>
      <c r="D392" s="1" t="s">
        <v>2833</v>
      </c>
    </row>
    <row r="393" spans="1:4" x14ac:dyDescent="0.25">
      <c r="A393" s="1" t="s">
        <v>3224</v>
      </c>
      <c r="C393" s="1" t="s">
        <v>3224</v>
      </c>
      <c r="D393" s="1" t="s">
        <v>2833</v>
      </c>
    </row>
    <row r="394" spans="1:4" x14ac:dyDescent="0.25">
      <c r="A394" s="1" t="s">
        <v>3225</v>
      </c>
      <c r="C394" s="1" t="s">
        <v>3225</v>
      </c>
      <c r="D394" s="1" t="s">
        <v>2833</v>
      </c>
    </row>
    <row r="395" spans="1:4" x14ac:dyDescent="0.25">
      <c r="A395" s="1" t="s">
        <v>3226</v>
      </c>
      <c r="C395" s="1" t="s">
        <v>3226</v>
      </c>
      <c r="D395" s="1" t="s">
        <v>2833</v>
      </c>
    </row>
    <row r="396" spans="1:4" x14ac:dyDescent="0.25">
      <c r="A396" s="1" t="s">
        <v>3227</v>
      </c>
      <c r="C396" s="1" t="s">
        <v>3227</v>
      </c>
      <c r="D396" s="1" t="s">
        <v>2833</v>
      </c>
    </row>
    <row r="397" spans="1:4" x14ac:dyDescent="0.25">
      <c r="A397" s="1" t="s">
        <v>3228</v>
      </c>
      <c r="C397" s="1" t="s">
        <v>3228</v>
      </c>
      <c r="D397" s="1" t="s">
        <v>2833</v>
      </c>
    </row>
    <row r="398" spans="1:4" x14ac:dyDescent="0.25">
      <c r="A398" s="1" t="s">
        <v>3229</v>
      </c>
      <c r="C398" s="1" t="s">
        <v>3229</v>
      </c>
      <c r="D398" s="1" t="s">
        <v>2833</v>
      </c>
    </row>
    <row r="399" spans="1:4" x14ac:dyDescent="0.25">
      <c r="A399" s="1" t="s">
        <v>3230</v>
      </c>
      <c r="C399" s="1" t="s">
        <v>3230</v>
      </c>
      <c r="D399" s="1" t="s">
        <v>2833</v>
      </c>
    </row>
    <row r="400" spans="1:4" x14ac:dyDescent="0.25">
      <c r="A400" s="1" t="s">
        <v>3231</v>
      </c>
      <c r="C400" s="1" t="s">
        <v>3231</v>
      </c>
      <c r="D400" s="1" t="s">
        <v>2833</v>
      </c>
    </row>
    <row r="401" spans="1:4" x14ac:dyDescent="0.25">
      <c r="A401" s="1" t="s">
        <v>3232</v>
      </c>
      <c r="C401" s="1" t="s">
        <v>3232</v>
      </c>
      <c r="D401" s="1" t="s">
        <v>2833</v>
      </c>
    </row>
    <row r="402" spans="1:4" x14ac:dyDescent="0.25">
      <c r="A402" s="1" t="s">
        <v>3233</v>
      </c>
      <c r="C402" s="1" t="s">
        <v>3233</v>
      </c>
      <c r="D402" s="1" t="s">
        <v>2833</v>
      </c>
    </row>
    <row r="403" spans="1:4" x14ac:dyDescent="0.25">
      <c r="A403" s="1" t="s">
        <v>3234</v>
      </c>
      <c r="C403" s="1" t="s">
        <v>3234</v>
      </c>
      <c r="D403" s="1" t="s">
        <v>2833</v>
      </c>
    </row>
    <row r="404" spans="1:4" x14ac:dyDescent="0.25">
      <c r="A404" s="1" t="s">
        <v>3235</v>
      </c>
      <c r="C404" s="1" t="s">
        <v>3235</v>
      </c>
      <c r="D404" s="1" t="s">
        <v>2833</v>
      </c>
    </row>
    <row r="405" spans="1:4" x14ac:dyDescent="0.25">
      <c r="A405" s="1" t="s">
        <v>3236</v>
      </c>
      <c r="C405" s="1" t="s">
        <v>3236</v>
      </c>
      <c r="D405" s="1" t="s">
        <v>2833</v>
      </c>
    </row>
    <row r="406" spans="1:4" x14ac:dyDescent="0.25">
      <c r="A406" s="1" t="s">
        <v>3237</v>
      </c>
      <c r="C406" s="1" t="s">
        <v>3237</v>
      </c>
      <c r="D406" s="1" t="s">
        <v>2833</v>
      </c>
    </row>
    <row r="407" spans="1:4" x14ac:dyDescent="0.25">
      <c r="A407" s="1" t="s">
        <v>3238</v>
      </c>
      <c r="C407" s="1" t="s">
        <v>3238</v>
      </c>
      <c r="D407" s="1" t="s">
        <v>2833</v>
      </c>
    </row>
    <row r="408" spans="1:4" x14ac:dyDescent="0.25">
      <c r="A408" s="1" t="s">
        <v>3239</v>
      </c>
      <c r="C408" s="1" t="s">
        <v>3239</v>
      </c>
      <c r="D408" s="1" t="s">
        <v>2833</v>
      </c>
    </row>
    <row r="409" spans="1:4" x14ac:dyDescent="0.25">
      <c r="A409" s="1" t="s">
        <v>3240</v>
      </c>
      <c r="C409" s="1" t="s">
        <v>3240</v>
      </c>
      <c r="D409" s="1" t="s">
        <v>2833</v>
      </c>
    </row>
    <row r="410" spans="1:4" x14ac:dyDescent="0.25">
      <c r="A410" s="1" t="s">
        <v>3241</v>
      </c>
      <c r="C410" s="1" t="s">
        <v>3241</v>
      </c>
      <c r="D410" s="1" t="s">
        <v>2833</v>
      </c>
    </row>
    <row r="411" spans="1:4" x14ac:dyDescent="0.25">
      <c r="A411" s="1" t="s">
        <v>3242</v>
      </c>
      <c r="C411" s="1" t="s">
        <v>3242</v>
      </c>
      <c r="D411" s="1" t="s">
        <v>2833</v>
      </c>
    </row>
    <row r="412" spans="1:4" x14ac:dyDescent="0.25">
      <c r="A412" s="1" t="s">
        <v>3243</v>
      </c>
      <c r="C412" s="1" t="s">
        <v>3243</v>
      </c>
      <c r="D412" s="1" t="s">
        <v>2833</v>
      </c>
    </row>
    <row r="413" spans="1:4" x14ac:dyDescent="0.25">
      <c r="A413" s="1" t="s">
        <v>3244</v>
      </c>
      <c r="C413" s="1" t="s">
        <v>3244</v>
      </c>
      <c r="D413" s="1" t="s">
        <v>2833</v>
      </c>
    </row>
    <row r="414" spans="1:4" x14ac:dyDescent="0.25">
      <c r="A414" s="1" t="s">
        <v>3245</v>
      </c>
      <c r="C414" s="1" t="s">
        <v>3245</v>
      </c>
      <c r="D414" s="1" t="s">
        <v>2833</v>
      </c>
    </row>
    <row r="415" spans="1:4" x14ac:dyDescent="0.25">
      <c r="A415" s="1" t="s">
        <v>3246</v>
      </c>
      <c r="C415" s="1" t="s">
        <v>3246</v>
      </c>
      <c r="D415" s="1" t="s">
        <v>2833</v>
      </c>
    </row>
    <row r="416" spans="1:4" x14ac:dyDescent="0.25">
      <c r="A416" s="1" t="s">
        <v>3247</v>
      </c>
      <c r="C416" s="1" t="s">
        <v>3247</v>
      </c>
      <c r="D416" s="1" t="s">
        <v>2833</v>
      </c>
    </row>
    <row r="417" spans="1:4" x14ac:dyDescent="0.25">
      <c r="A417" s="1" t="s">
        <v>3248</v>
      </c>
      <c r="C417" s="1" t="s">
        <v>3248</v>
      </c>
      <c r="D417" s="1" t="s">
        <v>2833</v>
      </c>
    </row>
    <row r="418" spans="1:4" x14ac:dyDescent="0.25">
      <c r="A418" s="1" t="s">
        <v>3249</v>
      </c>
      <c r="C418" s="1" t="s">
        <v>3249</v>
      </c>
      <c r="D418" s="1" t="s">
        <v>2833</v>
      </c>
    </row>
    <row r="419" spans="1:4" x14ac:dyDescent="0.25">
      <c r="A419" s="1" t="s">
        <v>3250</v>
      </c>
      <c r="C419" s="1" t="s">
        <v>3250</v>
      </c>
      <c r="D419" s="1" t="s">
        <v>2833</v>
      </c>
    </row>
    <row r="420" spans="1:4" x14ac:dyDescent="0.25">
      <c r="A420" s="1" t="s">
        <v>3251</v>
      </c>
      <c r="C420" s="1" t="s">
        <v>3251</v>
      </c>
      <c r="D420" s="1" t="s">
        <v>2833</v>
      </c>
    </row>
    <row r="421" spans="1:4" x14ac:dyDescent="0.25">
      <c r="A421" s="1" t="s">
        <v>3252</v>
      </c>
      <c r="C421" s="1" t="s">
        <v>3252</v>
      </c>
      <c r="D421" s="1" t="s">
        <v>2833</v>
      </c>
    </row>
    <row r="422" spans="1:4" x14ac:dyDescent="0.25">
      <c r="A422" s="1" t="s">
        <v>3253</v>
      </c>
      <c r="C422" s="1" t="s">
        <v>3253</v>
      </c>
      <c r="D422" s="1" t="s">
        <v>2833</v>
      </c>
    </row>
    <row r="423" spans="1:4" x14ac:dyDescent="0.25">
      <c r="A423" s="1" t="s">
        <v>3254</v>
      </c>
      <c r="C423" s="1" t="s">
        <v>3254</v>
      </c>
      <c r="D423" s="1" t="s">
        <v>2833</v>
      </c>
    </row>
    <row r="424" spans="1:4" x14ac:dyDescent="0.25">
      <c r="A424" s="1" t="s">
        <v>3255</v>
      </c>
      <c r="C424" s="1" t="s">
        <v>3255</v>
      </c>
      <c r="D424" s="1" t="s">
        <v>2833</v>
      </c>
    </row>
    <row r="425" spans="1:4" x14ac:dyDescent="0.25">
      <c r="A425" s="1" t="s">
        <v>3256</v>
      </c>
      <c r="C425" s="1" t="s">
        <v>3256</v>
      </c>
      <c r="D425" s="1" t="s">
        <v>2833</v>
      </c>
    </row>
    <row r="426" spans="1:4" x14ac:dyDescent="0.25">
      <c r="A426" s="1" t="s">
        <v>3257</v>
      </c>
      <c r="C426" s="1" t="s">
        <v>3257</v>
      </c>
      <c r="D426" s="1" t="s">
        <v>2833</v>
      </c>
    </row>
    <row r="427" spans="1:4" x14ac:dyDescent="0.25">
      <c r="A427" s="1" t="s">
        <v>3258</v>
      </c>
      <c r="C427" s="1" t="s">
        <v>3258</v>
      </c>
      <c r="D427" s="1" t="s">
        <v>2833</v>
      </c>
    </row>
    <row r="428" spans="1:4" x14ac:dyDescent="0.25">
      <c r="A428" s="1" t="s">
        <v>3259</v>
      </c>
      <c r="C428" s="1" t="s">
        <v>3259</v>
      </c>
      <c r="D428" s="1" t="s">
        <v>2833</v>
      </c>
    </row>
    <row r="429" spans="1:4" x14ac:dyDescent="0.25">
      <c r="A429" s="1" t="s">
        <v>3260</v>
      </c>
      <c r="C429" s="1" t="s">
        <v>3260</v>
      </c>
      <c r="D429" s="1" t="s">
        <v>2833</v>
      </c>
    </row>
    <row r="430" spans="1:4" x14ac:dyDescent="0.25">
      <c r="A430" s="1" t="s">
        <v>3261</v>
      </c>
      <c r="C430" s="1" t="s">
        <v>3261</v>
      </c>
      <c r="D430" s="1" t="s">
        <v>2833</v>
      </c>
    </row>
    <row r="431" spans="1:4" x14ac:dyDescent="0.25">
      <c r="A431" s="1" t="s">
        <v>3262</v>
      </c>
      <c r="C431" s="1" t="s">
        <v>3262</v>
      </c>
      <c r="D431" s="1" t="s">
        <v>2833</v>
      </c>
    </row>
    <row r="432" spans="1:4" x14ac:dyDescent="0.25">
      <c r="A432" s="1" t="s">
        <v>3263</v>
      </c>
      <c r="C432" s="1" t="s">
        <v>3263</v>
      </c>
      <c r="D432" s="1" t="s">
        <v>2833</v>
      </c>
    </row>
    <row r="433" spans="1:4" x14ac:dyDescent="0.25">
      <c r="A433" s="1" t="s">
        <v>3264</v>
      </c>
      <c r="C433" s="1" t="s">
        <v>3264</v>
      </c>
      <c r="D433" s="1" t="s">
        <v>2833</v>
      </c>
    </row>
    <row r="434" spans="1:4" x14ac:dyDescent="0.25">
      <c r="A434" s="1" t="s">
        <v>3265</v>
      </c>
      <c r="C434" s="1" t="s">
        <v>3265</v>
      </c>
      <c r="D434" s="1" t="s">
        <v>2833</v>
      </c>
    </row>
    <row r="435" spans="1:4" x14ac:dyDescent="0.25">
      <c r="A435" s="1" t="s">
        <v>3266</v>
      </c>
      <c r="C435" s="1" t="s">
        <v>3266</v>
      </c>
      <c r="D435" s="1" t="s">
        <v>2833</v>
      </c>
    </row>
    <row r="436" spans="1:4" x14ac:dyDescent="0.25">
      <c r="A436" s="1" t="s">
        <v>3267</v>
      </c>
      <c r="C436" s="1" t="s">
        <v>3267</v>
      </c>
      <c r="D436" s="1" t="s">
        <v>2833</v>
      </c>
    </row>
    <row r="437" spans="1:4" x14ac:dyDescent="0.25">
      <c r="A437" s="1" t="s">
        <v>3268</v>
      </c>
      <c r="C437" s="1" t="s">
        <v>3268</v>
      </c>
      <c r="D437" s="1" t="s">
        <v>2833</v>
      </c>
    </row>
    <row r="438" spans="1:4" x14ac:dyDescent="0.25">
      <c r="A438" s="1" t="s">
        <v>3269</v>
      </c>
      <c r="C438" s="1" t="s">
        <v>3269</v>
      </c>
      <c r="D438" s="1" t="s">
        <v>2833</v>
      </c>
    </row>
    <row r="439" spans="1:4" x14ac:dyDescent="0.25">
      <c r="A439" s="1" t="s">
        <v>3270</v>
      </c>
      <c r="C439" s="1" t="s">
        <v>3270</v>
      </c>
      <c r="D439" s="1" t="s">
        <v>2833</v>
      </c>
    </row>
    <row r="440" spans="1:4" x14ac:dyDescent="0.25">
      <c r="A440" s="1" t="s">
        <v>3271</v>
      </c>
      <c r="C440" s="1" t="s">
        <v>3271</v>
      </c>
      <c r="D440" s="1" t="s">
        <v>2833</v>
      </c>
    </row>
    <row r="441" spans="1:4" x14ac:dyDescent="0.25">
      <c r="A441" s="1" t="s">
        <v>3272</v>
      </c>
      <c r="C441" s="1" t="s">
        <v>3272</v>
      </c>
      <c r="D441" s="1" t="s">
        <v>2833</v>
      </c>
    </row>
    <row r="442" spans="1:4" x14ac:dyDescent="0.25">
      <c r="A442" s="1" t="s">
        <v>3273</v>
      </c>
      <c r="C442" s="1" t="s">
        <v>3273</v>
      </c>
      <c r="D442" s="1" t="s">
        <v>2833</v>
      </c>
    </row>
    <row r="443" spans="1:4" x14ac:dyDescent="0.25">
      <c r="A443" s="1" t="s">
        <v>3274</v>
      </c>
      <c r="C443" s="1" t="s">
        <v>3274</v>
      </c>
      <c r="D443" s="1" t="s">
        <v>2833</v>
      </c>
    </row>
    <row r="444" spans="1:4" x14ac:dyDescent="0.25">
      <c r="A444" s="1" t="s">
        <v>3275</v>
      </c>
      <c r="C444" s="1" t="s">
        <v>3275</v>
      </c>
      <c r="D444" s="1" t="s">
        <v>2833</v>
      </c>
    </row>
    <row r="445" spans="1:4" x14ac:dyDescent="0.25">
      <c r="A445" s="1" t="s">
        <v>3276</v>
      </c>
      <c r="C445" s="1" t="s">
        <v>3276</v>
      </c>
      <c r="D445" s="1" t="s">
        <v>2833</v>
      </c>
    </row>
    <row r="446" spans="1:4" x14ac:dyDescent="0.25">
      <c r="A446" s="1" t="s">
        <v>3277</v>
      </c>
      <c r="C446" s="1" t="s">
        <v>3277</v>
      </c>
      <c r="D446" s="1" t="s">
        <v>2833</v>
      </c>
    </row>
    <row r="447" spans="1:4" x14ac:dyDescent="0.25">
      <c r="A447" s="1" t="s">
        <v>3278</v>
      </c>
      <c r="C447" s="1" t="s">
        <v>3278</v>
      </c>
      <c r="D447" s="1" t="s">
        <v>2833</v>
      </c>
    </row>
    <row r="448" spans="1:4" x14ac:dyDescent="0.25">
      <c r="A448" s="1" t="s">
        <v>3279</v>
      </c>
      <c r="C448" s="1" t="s">
        <v>3279</v>
      </c>
      <c r="D448" s="1" t="s">
        <v>2833</v>
      </c>
    </row>
    <row r="449" spans="1:4" x14ac:dyDescent="0.25">
      <c r="A449" s="1" t="s">
        <v>3280</v>
      </c>
      <c r="C449" s="1" t="s">
        <v>3280</v>
      </c>
      <c r="D449" s="1" t="s">
        <v>2833</v>
      </c>
    </row>
    <row r="450" spans="1:4" x14ac:dyDescent="0.25">
      <c r="A450" s="1" t="s">
        <v>3281</v>
      </c>
      <c r="C450" s="1" t="s">
        <v>3281</v>
      </c>
      <c r="D450" s="1" t="s">
        <v>2833</v>
      </c>
    </row>
    <row r="451" spans="1:4" x14ac:dyDescent="0.25">
      <c r="A451" s="1" t="s">
        <v>3282</v>
      </c>
      <c r="C451" s="1" t="s">
        <v>3282</v>
      </c>
      <c r="D451" s="1" t="s">
        <v>2833</v>
      </c>
    </row>
    <row r="452" spans="1:4" x14ac:dyDescent="0.25">
      <c r="A452" s="1" t="s">
        <v>3283</v>
      </c>
      <c r="C452" s="1" t="s">
        <v>3283</v>
      </c>
      <c r="D452" s="1" t="s">
        <v>2833</v>
      </c>
    </row>
    <row r="453" spans="1:4" x14ac:dyDescent="0.25">
      <c r="A453" s="1" t="s">
        <v>3284</v>
      </c>
      <c r="C453" s="1" t="s">
        <v>3284</v>
      </c>
      <c r="D453" s="1" t="s">
        <v>2833</v>
      </c>
    </row>
    <row r="454" spans="1:4" x14ac:dyDescent="0.25">
      <c r="A454" s="1" t="s">
        <v>3285</v>
      </c>
      <c r="C454" s="1" t="s">
        <v>3285</v>
      </c>
      <c r="D454" s="1" t="s">
        <v>2833</v>
      </c>
    </row>
    <row r="455" spans="1:4" x14ac:dyDescent="0.25">
      <c r="A455" s="1" t="s">
        <v>3286</v>
      </c>
      <c r="C455" s="1" t="s">
        <v>3286</v>
      </c>
      <c r="D455" s="1" t="s">
        <v>2833</v>
      </c>
    </row>
    <row r="456" spans="1:4" x14ac:dyDescent="0.25">
      <c r="A456" s="1" t="s">
        <v>3287</v>
      </c>
      <c r="C456" s="1" t="s">
        <v>3287</v>
      </c>
      <c r="D456" s="1" t="s">
        <v>2833</v>
      </c>
    </row>
    <row r="457" spans="1:4" x14ac:dyDescent="0.25">
      <c r="A457" s="1" t="s">
        <v>3288</v>
      </c>
      <c r="C457" s="1" t="s">
        <v>3288</v>
      </c>
      <c r="D457" s="1" t="s">
        <v>2833</v>
      </c>
    </row>
    <row r="458" spans="1:4" x14ac:dyDescent="0.25">
      <c r="A458" s="1" t="s">
        <v>3289</v>
      </c>
      <c r="C458" s="1" t="s">
        <v>3289</v>
      </c>
      <c r="D458" s="1" t="s">
        <v>2833</v>
      </c>
    </row>
    <row r="459" spans="1:4" x14ac:dyDescent="0.25">
      <c r="A459" s="1" t="s">
        <v>3290</v>
      </c>
      <c r="C459" s="1" t="s">
        <v>3290</v>
      </c>
      <c r="D459" s="1" t="s">
        <v>2833</v>
      </c>
    </row>
    <row r="460" spans="1:4" x14ac:dyDescent="0.25">
      <c r="A460" s="1" t="s">
        <v>3291</v>
      </c>
      <c r="C460" s="1" t="s">
        <v>3291</v>
      </c>
      <c r="D460" s="1" t="s">
        <v>2833</v>
      </c>
    </row>
    <row r="461" spans="1:4" x14ac:dyDescent="0.25">
      <c r="A461" s="1" t="s">
        <v>3292</v>
      </c>
      <c r="C461" s="1" t="s">
        <v>3292</v>
      </c>
      <c r="D461" s="1" t="s">
        <v>2833</v>
      </c>
    </row>
    <row r="462" spans="1:4" x14ac:dyDescent="0.25">
      <c r="A462" s="1" t="s">
        <v>3293</v>
      </c>
      <c r="C462" s="1" t="s">
        <v>3293</v>
      </c>
      <c r="D462" s="1" t="s">
        <v>2833</v>
      </c>
    </row>
    <row r="463" spans="1:4" x14ac:dyDescent="0.25">
      <c r="A463" s="1" t="s">
        <v>3294</v>
      </c>
      <c r="C463" s="1" t="s">
        <v>3294</v>
      </c>
      <c r="D463" s="1" t="s">
        <v>2833</v>
      </c>
    </row>
    <row r="464" spans="1:4" x14ac:dyDescent="0.25">
      <c r="A464" s="1" t="s">
        <v>3295</v>
      </c>
      <c r="C464" s="1" t="s">
        <v>3295</v>
      </c>
      <c r="D464" s="1" t="s">
        <v>2833</v>
      </c>
    </row>
    <row r="465" spans="1:4" x14ac:dyDescent="0.25">
      <c r="A465" s="1" t="s">
        <v>3296</v>
      </c>
      <c r="C465" s="1" t="s">
        <v>3296</v>
      </c>
      <c r="D465" s="1" t="s">
        <v>2833</v>
      </c>
    </row>
    <row r="466" spans="1:4" x14ac:dyDescent="0.25">
      <c r="A466" s="1" t="s">
        <v>3297</v>
      </c>
      <c r="C466" s="1" t="s">
        <v>3297</v>
      </c>
      <c r="D466" s="1" t="s">
        <v>2833</v>
      </c>
    </row>
    <row r="467" spans="1:4" x14ac:dyDescent="0.25">
      <c r="A467" s="1" t="s">
        <v>3298</v>
      </c>
      <c r="C467" s="1" t="s">
        <v>3298</v>
      </c>
      <c r="D467" s="1" t="s">
        <v>2833</v>
      </c>
    </row>
    <row r="468" spans="1:4" x14ac:dyDescent="0.25">
      <c r="A468" s="1" t="s">
        <v>3299</v>
      </c>
      <c r="C468" s="1" t="s">
        <v>3299</v>
      </c>
      <c r="D468" s="1" t="s">
        <v>2833</v>
      </c>
    </row>
    <row r="469" spans="1:4" x14ac:dyDescent="0.25">
      <c r="A469" s="1" t="s">
        <v>3300</v>
      </c>
      <c r="C469" s="1" t="s">
        <v>3300</v>
      </c>
      <c r="D469" s="1" t="s">
        <v>2833</v>
      </c>
    </row>
    <row r="470" spans="1:4" x14ac:dyDescent="0.25">
      <c r="A470" s="1" t="s">
        <v>3301</v>
      </c>
      <c r="C470" s="1" t="s">
        <v>3301</v>
      </c>
      <c r="D470" s="1" t="s">
        <v>2833</v>
      </c>
    </row>
    <row r="471" spans="1:4" x14ac:dyDescent="0.25">
      <c r="A471" s="1" t="s">
        <v>3302</v>
      </c>
      <c r="C471" s="1" t="s">
        <v>3302</v>
      </c>
      <c r="D471" s="1" t="s">
        <v>2833</v>
      </c>
    </row>
    <row r="472" spans="1:4" x14ac:dyDescent="0.25">
      <c r="A472" s="1" t="s">
        <v>3303</v>
      </c>
      <c r="C472" s="1" t="s">
        <v>3303</v>
      </c>
      <c r="D472" s="1" t="s">
        <v>2833</v>
      </c>
    </row>
    <row r="473" spans="1:4" x14ac:dyDescent="0.25">
      <c r="A473" s="1" t="s">
        <v>3304</v>
      </c>
      <c r="C473" s="1" t="s">
        <v>3304</v>
      </c>
      <c r="D473" s="1" t="s">
        <v>2833</v>
      </c>
    </row>
    <row r="474" spans="1:4" x14ac:dyDescent="0.25">
      <c r="A474" s="1" t="s">
        <v>3305</v>
      </c>
      <c r="C474" s="1" t="s">
        <v>3305</v>
      </c>
      <c r="D474" s="1" t="s">
        <v>2833</v>
      </c>
    </row>
    <row r="475" spans="1:4" x14ac:dyDescent="0.25">
      <c r="A475" s="1" t="s">
        <v>3306</v>
      </c>
      <c r="C475" s="1" t="s">
        <v>3306</v>
      </c>
      <c r="D475" s="1" t="s">
        <v>2833</v>
      </c>
    </row>
    <row r="476" spans="1:4" x14ac:dyDescent="0.25">
      <c r="A476" s="1" t="s">
        <v>3307</v>
      </c>
      <c r="C476" s="1" t="s">
        <v>3307</v>
      </c>
      <c r="D476" s="1" t="s">
        <v>2833</v>
      </c>
    </row>
    <row r="477" spans="1:4" x14ac:dyDescent="0.25">
      <c r="A477" s="1" t="s">
        <v>3308</v>
      </c>
      <c r="C477" s="1" t="s">
        <v>3308</v>
      </c>
      <c r="D477" s="1" t="s">
        <v>2833</v>
      </c>
    </row>
    <row r="478" spans="1:4" x14ac:dyDescent="0.25">
      <c r="A478" s="1" t="s">
        <v>3309</v>
      </c>
      <c r="C478" s="1" t="s">
        <v>3309</v>
      </c>
      <c r="D478" s="1" t="s">
        <v>2833</v>
      </c>
    </row>
    <row r="479" spans="1:4" x14ac:dyDescent="0.25">
      <c r="A479" s="1" t="s">
        <v>3310</v>
      </c>
      <c r="C479" s="1" t="s">
        <v>3310</v>
      </c>
      <c r="D479" s="1" t="s">
        <v>2833</v>
      </c>
    </row>
    <row r="480" spans="1:4" x14ac:dyDescent="0.25">
      <c r="A480" s="1" t="s">
        <v>3311</v>
      </c>
      <c r="C480" s="1" t="s">
        <v>3311</v>
      </c>
      <c r="D480" s="1" t="s">
        <v>2833</v>
      </c>
    </row>
    <row r="481" spans="1:4" x14ac:dyDescent="0.25">
      <c r="A481" s="1" t="s">
        <v>3312</v>
      </c>
      <c r="C481" s="1" t="s">
        <v>3312</v>
      </c>
      <c r="D481" s="1" t="s">
        <v>2833</v>
      </c>
    </row>
    <row r="482" spans="1:4" x14ac:dyDescent="0.25">
      <c r="A482" s="1" t="s">
        <v>3313</v>
      </c>
      <c r="C482" s="1" t="s">
        <v>3313</v>
      </c>
      <c r="D482" s="1" t="s">
        <v>2833</v>
      </c>
    </row>
    <row r="483" spans="1:4" x14ac:dyDescent="0.25">
      <c r="A483" s="1" t="s">
        <v>3314</v>
      </c>
      <c r="C483" s="1" t="s">
        <v>3314</v>
      </c>
      <c r="D483" s="1" t="s">
        <v>2833</v>
      </c>
    </row>
    <row r="484" spans="1:4" x14ac:dyDescent="0.25">
      <c r="A484" s="1" t="s">
        <v>3315</v>
      </c>
      <c r="C484" s="1" t="s">
        <v>3315</v>
      </c>
      <c r="D484" s="1" t="s">
        <v>2833</v>
      </c>
    </row>
    <row r="485" spans="1:4" x14ac:dyDescent="0.25">
      <c r="A485" s="1" t="s">
        <v>3316</v>
      </c>
      <c r="C485" s="1" t="s">
        <v>3316</v>
      </c>
      <c r="D485" s="1" t="s">
        <v>2833</v>
      </c>
    </row>
    <row r="486" spans="1:4" x14ac:dyDescent="0.25">
      <c r="A486" s="1" t="s">
        <v>3317</v>
      </c>
      <c r="C486" s="1" t="s">
        <v>3317</v>
      </c>
      <c r="D486" s="1" t="s">
        <v>2833</v>
      </c>
    </row>
    <row r="487" spans="1:4" x14ac:dyDescent="0.25">
      <c r="A487" s="1" t="s">
        <v>3318</v>
      </c>
      <c r="C487" s="1" t="s">
        <v>3318</v>
      </c>
      <c r="D487" s="1" t="s">
        <v>2833</v>
      </c>
    </row>
    <row r="488" spans="1:4" x14ac:dyDescent="0.25">
      <c r="A488" s="1" t="s">
        <v>3319</v>
      </c>
      <c r="C488" s="1" t="s">
        <v>3319</v>
      </c>
      <c r="D488" s="1" t="s">
        <v>2833</v>
      </c>
    </row>
    <row r="489" spans="1:4" x14ac:dyDescent="0.25">
      <c r="A489" s="1" t="s">
        <v>3320</v>
      </c>
      <c r="C489" s="1" t="s">
        <v>3320</v>
      </c>
      <c r="D489" s="1" t="s">
        <v>2833</v>
      </c>
    </row>
    <row r="490" spans="1:4" x14ac:dyDescent="0.25">
      <c r="A490" s="1" t="s">
        <v>3321</v>
      </c>
      <c r="C490" s="1" t="s">
        <v>3321</v>
      </c>
      <c r="D490" s="1" t="s">
        <v>2833</v>
      </c>
    </row>
    <row r="491" spans="1:4" x14ac:dyDescent="0.25">
      <c r="A491" s="1" t="s">
        <v>3322</v>
      </c>
      <c r="C491" s="1" t="s">
        <v>3322</v>
      </c>
      <c r="D491" s="1" t="s">
        <v>2833</v>
      </c>
    </row>
    <row r="492" spans="1:4" x14ac:dyDescent="0.25">
      <c r="A492" s="1" t="s">
        <v>3323</v>
      </c>
      <c r="C492" s="1" t="s">
        <v>3323</v>
      </c>
      <c r="D492" s="1" t="s">
        <v>2833</v>
      </c>
    </row>
    <row r="493" spans="1:4" x14ac:dyDescent="0.25">
      <c r="A493" s="1" t="s">
        <v>3324</v>
      </c>
      <c r="C493" s="1" t="s">
        <v>3324</v>
      </c>
      <c r="D493" s="1" t="s">
        <v>2833</v>
      </c>
    </row>
    <row r="494" spans="1:4" x14ac:dyDescent="0.25">
      <c r="A494" s="1" t="s">
        <v>3325</v>
      </c>
      <c r="C494" s="1" t="s">
        <v>3325</v>
      </c>
      <c r="D494" s="1" t="s">
        <v>2833</v>
      </c>
    </row>
    <row r="495" spans="1:4" x14ac:dyDescent="0.25">
      <c r="A495" s="1" t="s">
        <v>3326</v>
      </c>
      <c r="C495" s="1" t="s">
        <v>3326</v>
      </c>
      <c r="D495" s="1" t="s">
        <v>2833</v>
      </c>
    </row>
    <row r="496" spans="1:4" x14ac:dyDescent="0.25">
      <c r="A496" s="1" t="s">
        <v>3327</v>
      </c>
      <c r="C496" s="1" t="s">
        <v>3327</v>
      </c>
      <c r="D496" s="1" t="s">
        <v>2833</v>
      </c>
    </row>
    <row r="497" spans="1:4" x14ac:dyDescent="0.25">
      <c r="A497" s="1" t="s">
        <v>3328</v>
      </c>
      <c r="C497" s="1" t="s">
        <v>3328</v>
      </c>
      <c r="D497" s="1" t="s">
        <v>2833</v>
      </c>
    </row>
    <row r="498" spans="1:4" x14ac:dyDescent="0.25">
      <c r="A498" s="1" t="s">
        <v>3329</v>
      </c>
      <c r="C498" s="1" t="s">
        <v>3329</v>
      </c>
      <c r="D498" s="1" t="s">
        <v>2833</v>
      </c>
    </row>
    <row r="499" spans="1:4" x14ac:dyDescent="0.25">
      <c r="A499" s="1" t="s">
        <v>3330</v>
      </c>
      <c r="C499" s="1" t="s">
        <v>3330</v>
      </c>
      <c r="D499" s="1" t="s">
        <v>2833</v>
      </c>
    </row>
    <row r="500" spans="1:4" x14ac:dyDescent="0.25">
      <c r="A500" s="1" t="s">
        <v>3331</v>
      </c>
      <c r="C500" s="1" t="s">
        <v>3331</v>
      </c>
      <c r="D500" s="1" t="s">
        <v>2833</v>
      </c>
    </row>
    <row r="501" spans="1:4" x14ac:dyDescent="0.25">
      <c r="A501" s="1" t="s">
        <v>3332</v>
      </c>
      <c r="C501" s="1" t="s">
        <v>3332</v>
      </c>
      <c r="D501" s="1" t="s">
        <v>2833</v>
      </c>
    </row>
    <row r="502" spans="1:4" x14ac:dyDescent="0.25">
      <c r="A502" s="1" t="s">
        <v>3333</v>
      </c>
      <c r="C502" s="1" t="s">
        <v>3333</v>
      </c>
      <c r="D502" s="1" t="s">
        <v>2833</v>
      </c>
    </row>
    <row r="503" spans="1:4" x14ac:dyDescent="0.25">
      <c r="A503" s="1" t="s">
        <v>3334</v>
      </c>
      <c r="C503" s="1" t="s">
        <v>3334</v>
      </c>
      <c r="D503" s="1" t="s">
        <v>2833</v>
      </c>
    </row>
    <row r="504" spans="1:4" x14ac:dyDescent="0.25">
      <c r="A504" s="1" t="s">
        <v>3335</v>
      </c>
      <c r="C504" s="1" t="s">
        <v>3335</v>
      </c>
      <c r="D504" s="1" t="s">
        <v>2833</v>
      </c>
    </row>
    <row r="505" spans="1:4" x14ac:dyDescent="0.25">
      <c r="A505" s="1" t="s">
        <v>3336</v>
      </c>
      <c r="C505" s="1" t="s">
        <v>3336</v>
      </c>
      <c r="D505" s="1" t="s">
        <v>2833</v>
      </c>
    </row>
    <row r="506" spans="1:4" x14ac:dyDescent="0.25">
      <c r="A506" s="1" t="s">
        <v>3337</v>
      </c>
      <c r="C506" s="1" t="s">
        <v>3337</v>
      </c>
      <c r="D506" s="1" t="s">
        <v>2833</v>
      </c>
    </row>
    <row r="507" spans="1:4" x14ac:dyDescent="0.25">
      <c r="A507" s="1" t="s">
        <v>3338</v>
      </c>
      <c r="C507" s="1" t="s">
        <v>3338</v>
      </c>
      <c r="D507" s="1" t="s">
        <v>2833</v>
      </c>
    </row>
    <row r="508" spans="1:4" x14ac:dyDescent="0.25">
      <c r="A508" s="1" t="s">
        <v>3339</v>
      </c>
      <c r="C508" s="1" t="s">
        <v>3339</v>
      </c>
      <c r="D508" s="1" t="s">
        <v>2833</v>
      </c>
    </row>
    <row r="509" spans="1:4" x14ac:dyDescent="0.25">
      <c r="A509" s="1" t="s">
        <v>3340</v>
      </c>
      <c r="C509" s="1" t="s">
        <v>3340</v>
      </c>
      <c r="D509" s="1" t="s">
        <v>2833</v>
      </c>
    </row>
    <row r="510" spans="1:4" x14ac:dyDescent="0.25">
      <c r="A510" s="1" t="s">
        <v>3341</v>
      </c>
      <c r="C510" s="1" t="s">
        <v>3341</v>
      </c>
      <c r="D510" s="1" t="s">
        <v>2833</v>
      </c>
    </row>
    <row r="511" spans="1:4" x14ac:dyDescent="0.25">
      <c r="A511" s="1" t="s">
        <v>3342</v>
      </c>
      <c r="C511" s="1" t="s">
        <v>3342</v>
      </c>
      <c r="D511" s="1" t="s">
        <v>2833</v>
      </c>
    </row>
    <row r="512" spans="1:4" x14ac:dyDescent="0.25">
      <c r="A512" s="1" t="s">
        <v>3343</v>
      </c>
      <c r="C512" s="1" t="s">
        <v>3343</v>
      </c>
      <c r="D512" s="1" t="s">
        <v>2833</v>
      </c>
    </row>
    <row r="513" spans="1:4" x14ac:dyDescent="0.25">
      <c r="A513" s="1" t="s">
        <v>3344</v>
      </c>
      <c r="C513" s="1" t="s">
        <v>3344</v>
      </c>
      <c r="D513" s="1" t="s">
        <v>2833</v>
      </c>
    </row>
    <row r="514" spans="1:4" x14ac:dyDescent="0.25">
      <c r="A514" s="1" t="s">
        <v>3345</v>
      </c>
      <c r="C514" s="1" t="s">
        <v>3345</v>
      </c>
      <c r="D514" s="1" t="s">
        <v>2833</v>
      </c>
    </row>
    <row r="515" spans="1:4" x14ac:dyDescent="0.25">
      <c r="A515" s="1" t="s">
        <v>3346</v>
      </c>
      <c r="C515" s="1" t="s">
        <v>3346</v>
      </c>
      <c r="D515" s="1" t="s">
        <v>2833</v>
      </c>
    </row>
    <row r="516" spans="1:4" x14ac:dyDescent="0.25">
      <c r="A516" s="1" t="s">
        <v>3347</v>
      </c>
      <c r="C516" s="1" t="s">
        <v>3347</v>
      </c>
      <c r="D516" s="1" t="s">
        <v>2833</v>
      </c>
    </row>
    <row r="517" spans="1:4" x14ac:dyDescent="0.25">
      <c r="A517" s="1" t="s">
        <v>3348</v>
      </c>
      <c r="C517" s="1" t="s">
        <v>3348</v>
      </c>
      <c r="D517" s="1" t="s">
        <v>2833</v>
      </c>
    </row>
    <row r="518" spans="1:4" x14ac:dyDescent="0.25">
      <c r="A518" s="1" t="s">
        <v>3349</v>
      </c>
      <c r="C518" s="1" t="s">
        <v>3349</v>
      </c>
      <c r="D518" s="1" t="s">
        <v>2833</v>
      </c>
    </row>
    <row r="519" spans="1:4" x14ac:dyDescent="0.25">
      <c r="A519" s="1" t="s">
        <v>3350</v>
      </c>
      <c r="C519" s="1" t="s">
        <v>3350</v>
      </c>
      <c r="D519" s="1" t="s">
        <v>2833</v>
      </c>
    </row>
    <row r="520" spans="1:4" x14ac:dyDescent="0.25">
      <c r="A520" s="1" t="s">
        <v>3351</v>
      </c>
      <c r="C520" s="1" t="s">
        <v>3351</v>
      </c>
      <c r="D520" s="1" t="s">
        <v>2833</v>
      </c>
    </row>
    <row r="521" spans="1:4" x14ac:dyDescent="0.25">
      <c r="A521" s="1" t="s">
        <v>3352</v>
      </c>
      <c r="C521" s="1" t="s">
        <v>3352</v>
      </c>
      <c r="D521" s="1" t="s">
        <v>2833</v>
      </c>
    </row>
    <row r="522" spans="1:4" x14ac:dyDescent="0.25">
      <c r="A522" s="1" t="s">
        <v>3353</v>
      </c>
      <c r="C522" s="1" t="s">
        <v>3353</v>
      </c>
      <c r="D522" s="1" t="s">
        <v>2833</v>
      </c>
    </row>
    <row r="523" spans="1:4" x14ac:dyDescent="0.25">
      <c r="A523" s="1" t="s">
        <v>3354</v>
      </c>
      <c r="C523" s="1" t="s">
        <v>3354</v>
      </c>
      <c r="D523" s="1" t="s">
        <v>2833</v>
      </c>
    </row>
    <row r="524" spans="1:4" x14ac:dyDescent="0.25">
      <c r="A524" s="1" t="s">
        <v>3355</v>
      </c>
      <c r="C524" s="1" t="s">
        <v>3355</v>
      </c>
      <c r="D524" s="1" t="s">
        <v>2833</v>
      </c>
    </row>
    <row r="525" spans="1:4" x14ac:dyDescent="0.25">
      <c r="A525" s="1" t="s">
        <v>3356</v>
      </c>
      <c r="C525" s="1" t="s">
        <v>3356</v>
      </c>
      <c r="D525" s="1" t="s">
        <v>2833</v>
      </c>
    </row>
    <row r="526" spans="1:4" x14ac:dyDescent="0.25">
      <c r="A526" s="1" t="s">
        <v>3357</v>
      </c>
      <c r="C526" s="1" t="s">
        <v>3357</v>
      </c>
      <c r="D526" s="1" t="s">
        <v>2833</v>
      </c>
    </row>
    <row r="527" spans="1:4" x14ac:dyDescent="0.25">
      <c r="A527" s="1" t="s">
        <v>3358</v>
      </c>
      <c r="C527" s="1" t="s">
        <v>3358</v>
      </c>
      <c r="D527" s="1" t="s">
        <v>2833</v>
      </c>
    </row>
    <row r="528" spans="1:4" x14ac:dyDescent="0.25">
      <c r="A528" s="1" t="s">
        <v>3359</v>
      </c>
      <c r="C528" s="1" t="s">
        <v>3359</v>
      </c>
      <c r="D528" s="1" t="s">
        <v>2833</v>
      </c>
    </row>
    <row r="529" spans="1:4" x14ac:dyDescent="0.25">
      <c r="A529" s="1" t="s">
        <v>3360</v>
      </c>
      <c r="C529" s="1" t="s">
        <v>3360</v>
      </c>
      <c r="D529" s="1" t="s">
        <v>2833</v>
      </c>
    </row>
    <row r="530" spans="1:4" x14ac:dyDescent="0.25">
      <c r="A530" s="1" t="s">
        <v>3361</v>
      </c>
      <c r="C530" s="1" t="s">
        <v>3361</v>
      </c>
      <c r="D530" s="1" t="s">
        <v>2833</v>
      </c>
    </row>
    <row r="531" spans="1:4" x14ac:dyDescent="0.25">
      <c r="A531" s="1" t="s">
        <v>3362</v>
      </c>
      <c r="C531" s="1" t="s">
        <v>3362</v>
      </c>
      <c r="D531" s="1" t="s">
        <v>2833</v>
      </c>
    </row>
    <row r="532" spans="1:4" x14ac:dyDescent="0.25">
      <c r="A532" s="1" t="s">
        <v>3363</v>
      </c>
      <c r="C532" s="1" t="s">
        <v>3363</v>
      </c>
      <c r="D532" s="1" t="s">
        <v>2833</v>
      </c>
    </row>
    <row r="533" spans="1:4" x14ac:dyDescent="0.25">
      <c r="A533" s="1" t="s">
        <v>3364</v>
      </c>
      <c r="C533" s="1" t="s">
        <v>3364</v>
      </c>
      <c r="D533" s="1" t="s">
        <v>2833</v>
      </c>
    </row>
    <row r="534" spans="1:4" x14ac:dyDescent="0.25">
      <c r="A534" s="1" t="s">
        <v>3365</v>
      </c>
      <c r="C534" s="1" t="s">
        <v>3365</v>
      </c>
      <c r="D534" s="1" t="s">
        <v>2833</v>
      </c>
    </row>
    <row r="535" spans="1:4" x14ac:dyDescent="0.25">
      <c r="A535" s="1" t="s">
        <v>3366</v>
      </c>
      <c r="C535" s="1" t="s">
        <v>3366</v>
      </c>
      <c r="D535" s="1" t="s">
        <v>2833</v>
      </c>
    </row>
    <row r="536" spans="1:4" x14ac:dyDescent="0.25">
      <c r="A536" s="1" t="s">
        <v>3367</v>
      </c>
      <c r="C536" s="1" t="s">
        <v>3367</v>
      </c>
      <c r="D536" s="1" t="s">
        <v>2833</v>
      </c>
    </row>
    <row r="537" spans="1:4" x14ac:dyDescent="0.25">
      <c r="A537" s="1" t="s">
        <v>3368</v>
      </c>
      <c r="C537" s="1" t="s">
        <v>3368</v>
      </c>
      <c r="D537" s="1" t="s">
        <v>2833</v>
      </c>
    </row>
    <row r="538" spans="1:4" x14ac:dyDescent="0.25">
      <c r="A538" s="1" t="s">
        <v>3369</v>
      </c>
      <c r="C538" s="1" t="s">
        <v>3369</v>
      </c>
      <c r="D538" s="1" t="s">
        <v>2833</v>
      </c>
    </row>
    <row r="539" spans="1:4" x14ac:dyDescent="0.25">
      <c r="A539" s="1" t="s">
        <v>3370</v>
      </c>
      <c r="C539" s="1" t="s">
        <v>3370</v>
      </c>
      <c r="D539" s="1" t="s">
        <v>2833</v>
      </c>
    </row>
    <row r="540" spans="1:4" x14ac:dyDescent="0.25">
      <c r="A540" s="1" t="s">
        <v>3371</v>
      </c>
      <c r="C540" s="1" t="s">
        <v>3371</v>
      </c>
      <c r="D540" s="1" t="s">
        <v>2833</v>
      </c>
    </row>
    <row r="541" spans="1:4" x14ac:dyDescent="0.25">
      <c r="A541" s="1" t="s">
        <v>3372</v>
      </c>
      <c r="C541" s="1" t="s">
        <v>3372</v>
      </c>
      <c r="D541" s="1" t="s">
        <v>2833</v>
      </c>
    </row>
    <row r="542" spans="1:4" x14ac:dyDescent="0.25">
      <c r="A542" s="1" t="s">
        <v>3373</v>
      </c>
      <c r="C542" s="1" t="s">
        <v>3373</v>
      </c>
      <c r="D542" s="1" t="s">
        <v>2833</v>
      </c>
    </row>
    <row r="543" spans="1:4" x14ac:dyDescent="0.25">
      <c r="A543" s="1" t="s">
        <v>3374</v>
      </c>
      <c r="C543" s="1" t="s">
        <v>3374</v>
      </c>
      <c r="D543" s="1" t="s">
        <v>2833</v>
      </c>
    </row>
    <row r="544" spans="1:4" x14ac:dyDescent="0.25">
      <c r="A544" s="1" t="s">
        <v>3375</v>
      </c>
      <c r="C544" s="1" t="s">
        <v>3375</v>
      </c>
      <c r="D544" s="1" t="s">
        <v>2833</v>
      </c>
    </row>
    <row r="545" spans="1:4" x14ac:dyDescent="0.25">
      <c r="A545" s="1" t="s">
        <v>3376</v>
      </c>
      <c r="C545" s="1" t="s">
        <v>3376</v>
      </c>
      <c r="D545" s="1" t="s">
        <v>2833</v>
      </c>
    </row>
    <row r="546" spans="1:4" x14ac:dyDescent="0.25">
      <c r="A546" s="1" t="s">
        <v>3377</v>
      </c>
      <c r="C546" s="1" t="s">
        <v>3377</v>
      </c>
      <c r="D546" s="1" t="s">
        <v>2833</v>
      </c>
    </row>
    <row r="547" spans="1:4" x14ac:dyDescent="0.25">
      <c r="A547" s="1" t="s">
        <v>3378</v>
      </c>
      <c r="C547" s="1" t="s">
        <v>3378</v>
      </c>
      <c r="D547" s="1" t="s">
        <v>2833</v>
      </c>
    </row>
    <row r="548" spans="1:4" x14ac:dyDescent="0.25">
      <c r="A548" s="1" t="s">
        <v>3379</v>
      </c>
      <c r="C548" s="1" t="s">
        <v>3379</v>
      </c>
      <c r="D548" s="1" t="s">
        <v>2833</v>
      </c>
    </row>
    <row r="549" spans="1:4" x14ac:dyDescent="0.25">
      <c r="A549" s="1" t="s">
        <v>3380</v>
      </c>
      <c r="C549" s="1" t="s">
        <v>3380</v>
      </c>
      <c r="D549" s="1" t="s">
        <v>2833</v>
      </c>
    </row>
    <row r="550" spans="1:4" x14ac:dyDescent="0.25">
      <c r="A550" s="1" t="s">
        <v>3381</v>
      </c>
      <c r="C550" s="1" t="s">
        <v>3381</v>
      </c>
      <c r="D550" s="1" t="s">
        <v>2833</v>
      </c>
    </row>
    <row r="551" spans="1:4" x14ac:dyDescent="0.25">
      <c r="A551" s="1" t="s">
        <v>3382</v>
      </c>
      <c r="C551" s="1" t="s">
        <v>3382</v>
      </c>
      <c r="D551" s="1" t="s">
        <v>2833</v>
      </c>
    </row>
    <row r="552" spans="1:4" x14ac:dyDescent="0.25">
      <c r="A552" s="1" t="s">
        <v>3383</v>
      </c>
      <c r="C552" s="1" t="s">
        <v>3383</v>
      </c>
      <c r="D552" s="1" t="s">
        <v>2833</v>
      </c>
    </row>
    <row r="553" spans="1:4" x14ac:dyDescent="0.25">
      <c r="A553" s="1" t="s">
        <v>3384</v>
      </c>
      <c r="C553" s="1" t="s">
        <v>3384</v>
      </c>
      <c r="D553" s="1" t="s">
        <v>2833</v>
      </c>
    </row>
    <row r="554" spans="1:4" x14ac:dyDescent="0.25">
      <c r="A554" s="1" t="s">
        <v>3385</v>
      </c>
      <c r="C554" s="1" t="s">
        <v>3385</v>
      </c>
      <c r="D554" s="1" t="s">
        <v>2833</v>
      </c>
    </row>
    <row r="555" spans="1:4" x14ac:dyDescent="0.25">
      <c r="A555" s="1" t="s">
        <v>3386</v>
      </c>
      <c r="C555" s="1" t="s">
        <v>3386</v>
      </c>
      <c r="D555" s="1" t="s">
        <v>2833</v>
      </c>
    </row>
    <row r="556" spans="1:4" x14ac:dyDescent="0.25">
      <c r="A556" s="1" t="s">
        <v>3387</v>
      </c>
      <c r="C556" s="1" t="s">
        <v>3387</v>
      </c>
      <c r="D556" s="1" t="s">
        <v>2833</v>
      </c>
    </row>
    <row r="557" spans="1:4" x14ac:dyDescent="0.25">
      <c r="A557" s="1" t="s">
        <v>3388</v>
      </c>
      <c r="C557" s="1" t="s">
        <v>3388</v>
      </c>
      <c r="D557" s="1" t="s">
        <v>2833</v>
      </c>
    </row>
    <row r="558" spans="1:4" x14ac:dyDescent="0.25">
      <c r="A558" s="1" t="s">
        <v>3389</v>
      </c>
      <c r="C558" s="1" t="s">
        <v>3389</v>
      </c>
      <c r="D558" s="1" t="s">
        <v>2833</v>
      </c>
    </row>
    <row r="559" spans="1:4" x14ac:dyDescent="0.25">
      <c r="A559" s="1" t="s">
        <v>3390</v>
      </c>
      <c r="C559" s="1" t="s">
        <v>3390</v>
      </c>
      <c r="D559" s="1" t="s">
        <v>2833</v>
      </c>
    </row>
    <row r="560" spans="1:4" x14ac:dyDescent="0.25">
      <c r="A560" s="1" t="s">
        <v>3391</v>
      </c>
      <c r="C560" s="1" t="s">
        <v>3391</v>
      </c>
      <c r="D560" s="1" t="s">
        <v>2833</v>
      </c>
    </row>
    <row r="561" spans="1:4" x14ac:dyDescent="0.25">
      <c r="A561" s="1" t="s">
        <v>3392</v>
      </c>
      <c r="C561" s="1" t="s">
        <v>3392</v>
      </c>
      <c r="D561" s="1" t="s">
        <v>2833</v>
      </c>
    </row>
    <row r="562" spans="1:4" x14ac:dyDescent="0.25">
      <c r="A562" s="1" t="s">
        <v>3393</v>
      </c>
      <c r="C562" s="1" t="s">
        <v>3393</v>
      </c>
      <c r="D562" s="1" t="s">
        <v>2833</v>
      </c>
    </row>
    <row r="563" spans="1:4" x14ac:dyDescent="0.25">
      <c r="A563" s="1" t="s">
        <v>3394</v>
      </c>
      <c r="C563" s="1" t="s">
        <v>3394</v>
      </c>
      <c r="D563" s="1" t="s">
        <v>2833</v>
      </c>
    </row>
    <row r="564" spans="1:4" x14ac:dyDescent="0.25">
      <c r="A564" s="1" t="s">
        <v>3395</v>
      </c>
      <c r="C564" s="1" t="s">
        <v>3395</v>
      </c>
      <c r="D564" s="1" t="s">
        <v>2833</v>
      </c>
    </row>
    <row r="565" spans="1:4" x14ac:dyDescent="0.25">
      <c r="A565" s="1" t="s">
        <v>3396</v>
      </c>
      <c r="C565" s="1" t="s">
        <v>3396</v>
      </c>
      <c r="D565" s="1" t="s">
        <v>2833</v>
      </c>
    </row>
    <row r="566" spans="1:4" x14ac:dyDescent="0.25">
      <c r="A566" s="1" t="s">
        <v>3397</v>
      </c>
      <c r="C566" s="1" t="s">
        <v>3397</v>
      </c>
      <c r="D566" s="1" t="s">
        <v>2833</v>
      </c>
    </row>
    <row r="567" spans="1:4" x14ac:dyDescent="0.25">
      <c r="A567" s="1" t="s">
        <v>3398</v>
      </c>
      <c r="C567" s="1" t="s">
        <v>3398</v>
      </c>
      <c r="D567" s="1" t="s">
        <v>2833</v>
      </c>
    </row>
    <row r="568" spans="1:4" x14ac:dyDescent="0.25">
      <c r="A568" s="1" t="s">
        <v>3399</v>
      </c>
      <c r="C568" s="1" t="s">
        <v>3399</v>
      </c>
      <c r="D568" s="1" t="s">
        <v>2833</v>
      </c>
    </row>
    <row r="569" spans="1:4" x14ac:dyDescent="0.25">
      <c r="A569" s="1" t="s">
        <v>3400</v>
      </c>
      <c r="C569" s="1" t="s">
        <v>3400</v>
      </c>
      <c r="D569" s="1" t="s">
        <v>2833</v>
      </c>
    </row>
    <row r="570" spans="1:4" x14ac:dyDescent="0.25">
      <c r="A570" s="1" t="s">
        <v>3401</v>
      </c>
      <c r="C570" s="1" t="s">
        <v>3401</v>
      </c>
      <c r="D570" s="1" t="s">
        <v>2833</v>
      </c>
    </row>
    <row r="571" spans="1:4" x14ac:dyDescent="0.25">
      <c r="A571" s="1" t="s">
        <v>3402</v>
      </c>
      <c r="C571" s="1" t="s">
        <v>3402</v>
      </c>
      <c r="D571" s="1" t="s">
        <v>2833</v>
      </c>
    </row>
    <row r="572" spans="1:4" x14ac:dyDescent="0.25">
      <c r="A572" s="1" t="s">
        <v>3403</v>
      </c>
      <c r="C572" s="1" t="s">
        <v>3403</v>
      </c>
      <c r="D572" s="1" t="s">
        <v>2833</v>
      </c>
    </row>
    <row r="573" spans="1:4" x14ac:dyDescent="0.25">
      <c r="A573" s="1" t="s">
        <v>3404</v>
      </c>
      <c r="C573" s="1" t="s">
        <v>3404</v>
      </c>
      <c r="D573" s="1" t="s">
        <v>2833</v>
      </c>
    </row>
    <row r="574" spans="1:4" x14ac:dyDescent="0.25">
      <c r="A574" s="1" t="s">
        <v>3405</v>
      </c>
      <c r="C574" s="1" t="s">
        <v>3405</v>
      </c>
      <c r="D574" s="1" t="s">
        <v>2833</v>
      </c>
    </row>
    <row r="575" spans="1:4" x14ac:dyDescent="0.25">
      <c r="A575" s="1" t="s">
        <v>3406</v>
      </c>
      <c r="C575" s="1" t="s">
        <v>3406</v>
      </c>
      <c r="D575" s="1" t="s">
        <v>2833</v>
      </c>
    </row>
    <row r="576" spans="1:4" x14ac:dyDescent="0.25">
      <c r="A576" s="1" t="s">
        <v>3407</v>
      </c>
      <c r="C576" s="1" t="s">
        <v>3407</v>
      </c>
      <c r="D576" s="1" t="s">
        <v>2833</v>
      </c>
    </row>
    <row r="577" spans="1:4" x14ac:dyDescent="0.25">
      <c r="A577" s="1" t="s">
        <v>3408</v>
      </c>
      <c r="C577" s="1" t="s">
        <v>3408</v>
      </c>
      <c r="D577" s="1" t="s">
        <v>2833</v>
      </c>
    </row>
    <row r="578" spans="1:4" x14ac:dyDescent="0.25">
      <c r="A578" s="1" t="s">
        <v>3409</v>
      </c>
      <c r="C578" s="1" t="s">
        <v>3409</v>
      </c>
      <c r="D578" s="1" t="s">
        <v>2833</v>
      </c>
    </row>
    <row r="579" spans="1:4" x14ac:dyDescent="0.25">
      <c r="A579" s="1" t="s">
        <v>3410</v>
      </c>
      <c r="C579" s="1" t="s">
        <v>3410</v>
      </c>
      <c r="D579" s="1" t="s">
        <v>2833</v>
      </c>
    </row>
    <row r="580" spans="1:4" x14ac:dyDescent="0.25">
      <c r="A580" s="1" t="s">
        <v>3411</v>
      </c>
      <c r="C580" s="1" t="s">
        <v>3411</v>
      </c>
      <c r="D580" s="1" t="s">
        <v>2833</v>
      </c>
    </row>
    <row r="581" spans="1:4" x14ac:dyDescent="0.25">
      <c r="A581" s="1" t="s">
        <v>3412</v>
      </c>
      <c r="C581" s="1" t="s">
        <v>3412</v>
      </c>
      <c r="D581" s="1" t="s">
        <v>2833</v>
      </c>
    </row>
    <row r="582" spans="1:4" x14ac:dyDescent="0.25">
      <c r="A582" s="1" t="s">
        <v>3413</v>
      </c>
      <c r="C582" s="1" t="s">
        <v>3413</v>
      </c>
      <c r="D582" s="1" t="s">
        <v>2833</v>
      </c>
    </row>
    <row r="583" spans="1:4" x14ac:dyDescent="0.25">
      <c r="A583" s="1" t="s">
        <v>3414</v>
      </c>
      <c r="C583" s="1" t="s">
        <v>3414</v>
      </c>
      <c r="D583" s="1" t="s">
        <v>2833</v>
      </c>
    </row>
    <row r="584" spans="1:4" x14ac:dyDescent="0.25">
      <c r="A584" s="1" t="s">
        <v>3415</v>
      </c>
      <c r="C584" s="1" t="s">
        <v>3415</v>
      </c>
      <c r="D584" s="1" t="s">
        <v>2833</v>
      </c>
    </row>
    <row r="585" spans="1:4" x14ac:dyDescent="0.25">
      <c r="A585" s="1" t="s">
        <v>3416</v>
      </c>
      <c r="C585" s="1" t="s">
        <v>3416</v>
      </c>
      <c r="D585" s="1" t="s">
        <v>2833</v>
      </c>
    </row>
    <row r="586" spans="1:4" x14ac:dyDescent="0.25">
      <c r="A586" s="1" t="s">
        <v>3417</v>
      </c>
      <c r="C586" s="1" t="s">
        <v>3417</v>
      </c>
      <c r="D586" s="1" t="s">
        <v>2833</v>
      </c>
    </row>
    <row r="587" spans="1:4" x14ac:dyDescent="0.25">
      <c r="A587" s="1" t="s">
        <v>3418</v>
      </c>
      <c r="C587" s="1" t="s">
        <v>3418</v>
      </c>
      <c r="D587" s="1" t="s">
        <v>2833</v>
      </c>
    </row>
    <row r="588" spans="1:4" x14ac:dyDescent="0.25">
      <c r="A588" s="1" t="s">
        <v>3419</v>
      </c>
      <c r="C588" s="1" t="s">
        <v>3419</v>
      </c>
      <c r="D588" s="1" t="s">
        <v>2833</v>
      </c>
    </row>
    <row r="589" spans="1:4" x14ac:dyDescent="0.25">
      <c r="A589" s="1" t="s">
        <v>3420</v>
      </c>
      <c r="C589" s="1" t="s">
        <v>3420</v>
      </c>
      <c r="D589" s="1" t="s">
        <v>2833</v>
      </c>
    </row>
    <row r="590" spans="1:4" x14ac:dyDescent="0.25">
      <c r="A590" s="1" t="s">
        <v>3421</v>
      </c>
      <c r="C590" s="1" t="s">
        <v>3421</v>
      </c>
      <c r="D590" s="1" t="s">
        <v>2833</v>
      </c>
    </row>
    <row r="591" spans="1:4" x14ac:dyDescent="0.25">
      <c r="A591" s="1" t="s">
        <v>3422</v>
      </c>
      <c r="C591" s="1" t="s">
        <v>3422</v>
      </c>
      <c r="D591" s="1" t="s">
        <v>2833</v>
      </c>
    </row>
    <row r="592" spans="1:4" x14ac:dyDescent="0.25">
      <c r="A592" s="1" t="s">
        <v>3423</v>
      </c>
      <c r="C592" s="1" t="s">
        <v>3423</v>
      </c>
      <c r="D592" s="1" t="s">
        <v>2833</v>
      </c>
    </row>
    <row r="593" spans="1:4" x14ac:dyDescent="0.25">
      <c r="A593" s="1" t="s">
        <v>3424</v>
      </c>
      <c r="C593" s="1" t="s">
        <v>3424</v>
      </c>
      <c r="D593" s="1" t="s">
        <v>2833</v>
      </c>
    </row>
    <row r="594" spans="1:4" x14ac:dyDescent="0.25">
      <c r="A594" s="1" t="s">
        <v>3425</v>
      </c>
      <c r="C594" s="1" t="s">
        <v>3425</v>
      </c>
      <c r="D594" s="1" t="s">
        <v>2833</v>
      </c>
    </row>
    <row r="595" spans="1:4" x14ac:dyDescent="0.25">
      <c r="A595" s="1" t="s">
        <v>3426</v>
      </c>
      <c r="C595" s="1" t="s">
        <v>3426</v>
      </c>
      <c r="D595" s="1" t="s">
        <v>2833</v>
      </c>
    </row>
    <row r="596" spans="1:4" x14ac:dyDescent="0.25">
      <c r="A596" s="1" t="s">
        <v>3427</v>
      </c>
      <c r="C596" s="1" t="s">
        <v>3427</v>
      </c>
      <c r="D596" s="1" t="s">
        <v>2833</v>
      </c>
    </row>
    <row r="597" spans="1:4" x14ac:dyDescent="0.25">
      <c r="A597" s="1" t="s">
        <v>3428</v>
      </c>
      <c r="C597" s="1" t="s">
        <v>3428</v>
      </c>
      <c r="D597" s="1" t="s">
        <v>2833</v>
      </c>
    </row>
    <row r="598" spans="1:4" x14ac:dyDescent="0.25">
      <c r="A598" s="1" t="s">
        <v>3429</v>
      </c>
      <c r="C598" s="1" t="s">
        <v>3429</v>
      </c>
      <c r="D598" s="1" t="s">
        <v>2833</v>
      </c>
    </row>
    <row r="599" spans="1:4" x14ac:dyDescent="0.25">
      <c r="A599" s="1" t="s">
        <v>3430</v>
      </c>
      <c r="C599" s="1" t="s">
        <v>3430</v>
      </c>
      <c r="D599" s="1" t="s">
        <v>2833</v>
      </c>
    </row>
    <row r="600" spans="1:4" x14ac:dyDescent="0.25">
      <c r="A600" s="1" t="s">
        <v>3431</v>
      </c>
      <c r="C600" s="1" t="s">
        <v>3431</v>
      </c>
      <c r="D600" s="1" t="s">
        <v>2833</v>
      </c>
    </row>
    <row r="601" spans="1:4" x14ac:dyDescent="0.25">
      <c r="A601" s="1" t="s">
        <v>3432</v>
      </c>
      <c r="C601" s="1" t="s">
        <v>3432</v>
      </c>
      <c r="D601" s="1" t="s">
        <v>2833</v>
      </c>
    </row>
    <row r="602" spans="1:4" x14ac:dyDescent="0.25">
      <c r="A602" s="1" t="s">
        <v>3433</v>
      </c>
      <c r="C602" s="1" t="s">
        <v>3433</v>
      </c>
      <c r="D602" s="1" t="s">
        <v>2833</v>
      </c>
    </row>
    <row r="603" spans="1:4" x14ac:dyDescent="0.25">
      <c r="A603" s="1" t="s">
        <v>3434</v>
      </c>
      <c r="C603" s="1" t="s">
        <v>3434</v>
      </c>
      <c r="D603" s="1" t="s">
        <v>2833</v>
      </c>
    </row>
    <row r="604" spans="1:4" x14ac:dyDescent="0.25">
      <c r="A604" s="1" t="s">
        <v>3435</v>
      </c>
      <c r="C604" s="1" t="s">
        <v>3435</v>
      </c>
      <c r="D604" s="1" t="s">
        <v>2833</v>
      </c>
    </row>
    <row r="605" spans="1:4" x14ac:dyDescent="0.25">
      <c r="A605" s="1" t="s">
        <v>3436</v>
      </c>
      <c r="C605" s="1" t="s">
        <v>3436</v>
      </c>
      <c r="D605" s="1" t="s">
        <v>2833</v>
      </c>
    </row>
    <row r="606" spans="1:4" x14ac:dyDescent="0.25">
      <c r="A606" s="1" t="s">
        <v>3437</v>
      </c>
      <c r="C606" s="1" t="s">
        <v>3437</v>
      </c>
      <c r="D606" s="1" t="s">
        <v>2833</v>
      </c>
    </row>
    <row r="607" spans="1:4" x14ac:dyDescent="0.25">
      <c r="A607" s="1" t="s">
        <v>3438</v>
      </c>
      <c r="C607" s="1" t="s">
        <v>3438</v>
      </c>
      <c r="D607" s="1" t="s">
        <v>2833</v>
      </c>
    </row>
    <row r="608" spans="1:4" x14ac:dyDescent="0.25">
      <c r="A608" s="1" t="s">
        <v>3439</v>
      </c>
      <c r="C608" s="1" t="s">
        <v>3439</v>
      </c>
      <c r="D608" s="1" t="s">
        <v>2833</v>
      </c>
    </row>
    <row r="609" spans="1:4" x14ac:dyDescent="0.25">
      <c r="A609" s="1" t="s">
        <v>3440</v>
      </c>
      <c r="C609" s="1" t="s">
        <v>3440</v>
      </c>
      <c r="D609" s="1" t="s">
        <v>2833</v>
      </c>
    </row>
    <row r="610" spans="1:4" x14ac:dyDescent="0.25">
      <c r="A610" s="1" t="s">
        <v>3441</v>
      </c>
      <c r="C610" s="1" t="s">
        <v>3441</v>
      </c>
      <c r="D610" s="1" t="s">
        <v>2833</v>
      </c>
    </row>
    <row r="611" spans="1:4" x14ac:dyDescent="0.25">
      <c r="A611" s="1" t="s">
        <v>3442</v>
      </c>
      <c r="C611" s="1" t="s">
        <v>3442</v>
      </c>
      <c r="D611" s="1" t="s">
        <v>2833</v>
      </c>
    </row>
    <row r="612" spans="1:4" x14ac:dyDescent="0.25">
      <c r="A612" s="1" t="s">
        <v>3443</v>
      </c>
      <c r="C612" s="1" t="s">
        <v>3443</v>
      </c>
      <c r="D612" s="1" t="s">
        <v>2833</v>
      </c>
    </row>
    <row r="613" spans="1:4" x14ac:dyDescent="0.25">
      <c r="A613" s="1" t="s">
        <v>3444</v>
      </c>
      <c r="C613" s="1" t="s">
        <v>3444</v>
      </c>
      <c r="D613" s="1" t="s">
        <v>2833</v>
      </c>
    </row>
    <row r="614" spans="1:4" x14ac:dyDescent="0.25">
      <c r="A614" s="1" t="s">
        <v>3445</v>
      </c>
      <c r="C614" s="1" t="s">
        <v>3445</v>
      </c>
      <c r="D614" s="1" t="s">
        <v>2833</v>
      </c>
    </row>
    <row r="615" spans="1:4" x14ac:dyDescent="0.25">
      <c r="A615" s="1" t="s">
        <v>3446</v>
      </c>
      <c r="C615" s="1" t="s">
        <v>3446</v>
      </c>
      <c r="D615" s="1" t="s">
        <v>2833</v>
      </c>
    </row>
    <row r="616" spans="1:4" x14ac:dyDescent="0.25">
      <c r="A616" s="1" t="s">
        <v>3447</v>
      </c>
      <c r="C616" s="1" t="s">
        <v>3447</v>
      </c>
      <c r="D616" s="1" t="s">
        <v>2833</v>
      </c>
    </row>
    <row r="617" spans="1:4" x14ac:dyDescent="0.25">
      <c r="A617" s="1" t="s">
        <v>3448</v>
      </c>
      <c r="C617" s="1" t="s">
        <v>3448</v>
      </c>
      <c r="D617" s="1" t="s">
        <v>2833</v>
      </c>
    </row>
    <row r="618" spans="1:4" x14ac:dyDescent="0.25">
      <c r="A618" s="1" t="s">
        <v>3449</v>
      </c>
      <c r="C618" s="1" t="s">
        <v>3449</v>
      </c>
      <c r="D618" s="1" t="s">
        <v>2833</v>
      </c>
    </row>
    <row r="619" spans="1:4" x14ac:dyDescent="0.25">
      <c r="A619" s="1" t="s">
        <v>3450</v>
      </c>
      <c r="C619" s="1" t="s">
        <v>3450</v>
      </c>
      <c r="D619" s="1" t="s">
        <v>2833</v>
      </c>
    </row>
    <row r="620" spans="1:4" x14ac:dyDescent="0.25">
      <c r="A620" s="1" t="s">
        <v>3451</v>
      </c>
      <c r="C620" s="1" t="s">
        <v>3451</v>
      </c>
      <c r="D620" s="1" t="s">
        <v>2833</v>
      </c>
    </row>
    <row r="621" spans="1:4" x14ac:dyDescent="0.25">
      <c r="A621" s="1" t="s">
        <v>3452</v>
      </c>
      <c r="C621" s="1" t="s">
        <v>3452</v>
      </c>
      <c r="D621" s="1" t="s">
        <v>2833</v>
      </c>
    </row>
    <row r="622" spans="1:4" x14ac:dyDescent="0.25">
      <c r="A622" s="1" t="s">
        <v>3453</v>
      </c>
      <c r="C622" s="1" t="s">
        <v>3453</v>
      </c>
      <c r="D622" s="1" t="s">
        <v>2833</v>
      </c>
    </row>
    <row r="623" spans="1:4" x14ac:dyDescent="0.25">
      <c r="A623" s="1" t="s">
        <v>3454</v>
      </c>
      <c r="C623" s="1" t="s">
        <v>3454</v>
      </c>
      <c r="D623" s="1" t="s">
        <v>2833</v>
      </c>
    </row>
    <row r="624" spans="1:4" x14ac:dyDescent="0.25">
      <c r="A624" s="1" t="s">
        <v>3455</v>
      </c>
      <c r="C624" s="1" t="s">
        <v>3455</v>
      </c>
      <c r="D624" s="1" t="s">
        <v>2833</v>
      </c>
    </row>
    <row r="625" spans="1:4" x14ac:dyDescent="0.25">
      <c r="A625" s="1" t="s">
        <v>3456</v>
      </c>
      <c r="C625" s="1" t="s">
        <v>3456</v>
      </c>
      <c r="D625" s="1" t="s">
        <v>2833</v>
      </c>
    </row>
    <row r="626" spans="1:4" x14ac:dyDescent="0.25">
      <c r="A626" s="1" t="s">
        <v>3457</v>
      </c>
      <c r="C626" s="1" t="s">
        <v>3457</v>
      </c>
      <c r="D626" s="1" t="s">
        <v>2833</v>
      </c>
    </row>
    <row r="627" spans="1:4" x14ac:dyDescent="0.25">
      <c r="A627" s="1" t="s">
        <v>3458</v>
      </c>
      <c r="C627" s="1" t="s">
        <v>3458</v>
      </c>
      <c r="D627" s="1" t="s">
        <v>2833</v>
      </c>
    </row>
    <row r="628" spans="1:4" x14ac:dyDescent="0.25">
      <c r="A628" s="1" t="s">
        <v>3459</v>
      </c>
      <c r="C628" s="1" t="s">
        <v>3459</v>
      </c>
      <c r="D628" s="1" t="s">
        <v>2833</v>
      </c>
    </row>
    <row r="629" spans="1:4" x14ac:dyDescent="0.25">
      <c r="A629" s="1" t="s">
        <v>3460</v>
      </c>
      <c r="C629" s="1" t="s">
        <v>3460</v>
      </c>
      <c r="D629" s="1" t="s">
        <v>2833</v>
      </c>
    </row>
    <row r="630" spans="1:4" x14ac:dyDescent="0.25">
      <c r="A630" s="1" t="s">
        <v>3461</v>
      </c>
      <c r="C630" s="1" t="s">
        <v>3461</v>
      </c>
      <c r="D630" s="1" t="s">
        <v>2833</v>
      </c>
    </row>
    <row r="631" spans="1:4" x14ac:dyDescent="0.25">
      <c r="A631" s="1" t="s">
        <v>3462</v>
      </c>
      <c r="C631" s="1" t="s">
        <v>3462</v>
      </c>
      <c r="D631" s="1" t="s">
        <v>2833</v>
      </c>
    </row>
    <row r="632" spans="1:4" x14ac:dyDescent="0.25">
      <c r="A632" s="1" t="s">
        <v>3463</v>
      </c>
      <c r="C632" s="1" t="s">
        <v>3463</v>
      </c>
      <c r="D632" s="1" t="s">
        <v>2833</v>
      </c>
    </row>
    <row r="633" spans="1:4" x14ac:dyDescent="0.25">
      <c r="A633" s="1" t="s">
        <v>3464</v>
      </c>
      <c r="C633" s="1" t="s">
        <v>3464</v>
      </c>
      <c r="D633" s="1" t="s">
        <v>2833</v>
      </c>
    </row>
    <row r="634" spans="1:4" x14ac:dyDescent="0.25">
      <c r="A634" s="1" t="s">
        <v>3465</v>
      </c>
      <c r="C634" s="1" t="s">
        <v>3465</v>
      </c>
      <c r="D634" s="1" t="s">
        <v>2833</v>
      </c>
    </row>
    <row r="635" spans="1:4" x14ac:dyDescent="0.25">
      <c r="A635" s="1" t="s">
        <v>3466</v>
      </c>
      <c r="C635" s="1" t="s">
        <v>3466</v>
      </c>
      <c r="D635" s="1" t="s">
        <v>2833</v>
      </c>
    </row>
    <row r="636" spans="1:4" x14ac:dyDescent="0.25">
      <c r="A636" s="1" t="s">
        <v>3467</v>
      </c>
      <c r="C636" s="1" t="s">
        <v>3467</v>
      </c>
      <c r="D636" s="1" t="s">
        <v>2833</v>
      </c>
    </row>
    <row r="637" spans="1:4" x14ac:dyDescent="0.25">
      <c r="A637" s="1" t="s">
        <v>3468</v>
      </c>
      <c r="C637" s="1" t="s">
        <v>3468</v>
      </c>
      <c r="D637" s="1" t="s">
        <v>2833</v>
      </c>
    </row>
    <row r="638" spans="1:4" x14ac:dyDescent="0.25">
      <c r="A638" s="1" t="s">
        <v>3469</v>
      </c>
      <c r="C638" s="1" t="s">
        <v>3469</v>
      </c>
      <c r="D638" s="1" t="s">
        <v>2833</v>
      </c>
    </row>
    <row r="639" spans="1:4" x14ac:dyDescent="0.25">
      <c r="A639" s="1" t="s">
        <v>3470</v>
      </c>
      <c r="C639" s="1" t="s">
        <v>3470</v>
      </c>
      <c r="D639" s="1" t="s">
        <v>2833</v>
      </c>
    </row>
    <row r="640" spans="1:4" x14ac:dyDescent="0.25">
      <c r="A640" s="1" t="s">
        <v>3471</v>
      </c>
      <c r="C640" s="1" t="s">
        <v>3471</v>
      </c>
      <c r="D640" s="1" t="s">
        <v>2833</v>
      </c>
    </row>
    <row r="641" spans="1:4" x14ac:dyDescent="0.25">
      <c r="A641" s="1" t="s">
        <v>3472</v>
      </c>
      <c r="C641" s="1" t="s">
        <v>3472</v>
      </c>
      <c r="D641" s="1" t="s">
        <v>2833</v>
      </c>
    </row>
    <row r="642" spans="1:4" x14ac:dyDescent="0.25">
      <c r="A642" s="1" t="s">
        <v>3473</v>
      </c>
      <c r="C642" s="1" t="s">
        <v>3473</v>
      </c>
      <c r="D642" s="1" t="s">
        <v>2833</v>
      </c>
    </row>
    <row r="643" spans="1:4" x14ac:dyDescent="0.25">
      <c r="A643" s="1" t="s">
        <v>3474</v>
      </c>
      <c r="C643" s="1" t="s">
        <v>3474</v>
      </c>
      <c r="D643" s="1" t="s">
        <v>2833</v>
      </c>
    </row>
    <row r="644" spans="1:4" x14ac:dyDescent="0.25">
      <c r="A644" s="1" t="s">
        <v>3475</v>
      </c>
      <c r="C644" s="1" t="s">
        <v>3475</v>
      </c>
      <c r="D644" s="1" t="s">
        <v>2833</v>
      </c>
    </row>
    <row r="645" spans="1:4" x14ac:dyDescent="0.25">
      <c r="A645" s="1" t="s">
        <v>3476</v>
      </c>
      <c r="C645" s="1" t="s">
        <v>3476</v>
      </c>
      <c r="D645" s="1" t="s">
        <v>2833</v>
      </c>
    </row>
    <row r="646" spans="1:4" x14ac:dyDescent="0.25">
      <c r="A646" s="1" t="s">
        <v>3477</v>
      </c>
      <c r="C646" s="1" t="s">
        <v>3477</v>
      </c>
      <c r="D646" s="1" t="s">
        <v>2833</v>
      </c>
    </row>
    <row r="647" spans="1:4" x14ac:dyDescent="0.25">
      <c r="A647" s="1" t="s">
        <v>3478</v>
      </c>
      <c r="C647" s="1" t="s">
        <v>3478</v>
      </c>
      <c r="D647" s="1" t="s">
        <v>2833</v>
      </c>
    </row>
    <row r="648" spans="1:4" x14ac:dyDescent="0.25">
      <c r="A648" s="1" t="s">
        <v>3479</v>
      </c>
      <c r="C648" s="1" t="s">
        <v>3479</v>
      </c>
      <c r="D648" s="1" t="s">
        <v>2833</v>
      </c>
    </row>
    <row r="649" spans="1:4" x14ac:dyDescent="0.25">
      <c r="A649" s="1" t="s">
        <v>3480</v>
      </c>
      <c r="C649" s="1" t="s">
        <v>3480</v>
      </c>
      <c r="D649" s="1" t="s">
        <v>2833</v>
      </c>
    </row>
    <row r="650" spans="1:4" x14ac:dyDescent="0.25">
      <c r="A650" s="1" t="s">
        <v>3481</v>
      </c>
      <c r="C650" s="1" t="s">
        <v>3481</v>
      </c>
      <c r="D650" s="1" t="s">
        <v>2833</v>
      </c>
    </row>
    <row r="651" spans="1:4" x14ac:dyDescent="0.25">
      <c r="A651" s="1" t="s">
        <v>3482</v>
      </c>
      <c r="C651" s="1" t="s">
        <v>3482</v>
      </c>
      <c r="D651" s="1" t="s">
        <v>2833</v>
      </c>
    </row>
    <row r="652" spans="1:4" x14ac:dyDescent="0.25">
      <c r="A652" s="1" t="s">
        <v>3483</v>
      </c>
      <c r="C652" s="1" t="s">
        <v>3483</v>
      </c>
      <c r="D652" s="1" t="s">
        <v>2833</v>
      </c>
    </row>
    <row r="653" spans="1:4" x14ac:dyDescent="0.25">
      <c r="A653" s="1" t="s">
        <v>3484</v>
      </c>
      <c r="C653" s="1" t="s">
        <v>3484</v>
      </c>
      <c r="D653" s="1" t="s">
        <v>2833</v>
      </c>
    </row>
    <row r="654" spans="1:4" x14ac:dyDescent="0.25">
      <c r="A654" s="1" t="s">
        <v>3485</v>
      </c>
      <c r="C654" s="1" t="s">
        <v>3485</v>
      </c>
      <c r="D654" s="1" t="s">
        <v>2833</v>
      </c>
    </row>
    <row r="655" spans="1:4" x14ac:dyDescent="0.25">
      <c r="A655" s="1" t="s">
        <v>3486</v>
      </c>
      <c r="C655" s="1" t="s">
        <v>3486</v>
      </c>
      <c r="D655" s="1" t="s">
        <v>2833</v>
      </c>
    </row>
    <row r="656" spans="1:4" x14ac:dyDescent="0.25">
      <c r="A656" s="1" t="s">
        <v>3487</v>
      </c>
      <c r="C656" s="1" t="s">
        <v>3487</v>
      </c>
      <c r="D656" s="1" t="s">
        <v>2833</v>
      </c>
    </row>
    <row r="657" spans="1:4" x14ac:dyDescent="0.25">
      <c r="A657" s="1" t="s">
        <v>3488</v>
      </c>
      <c r="C657" s="1" t="s">
        <v>3488</v>
      </c>
      <c r="D657" s="1" t="s">
        <v>2833</v>
      </c>
    </row>
    <row r="658" spans="1:4" x14ac:dyDescent="0.25">
      <c r="A658" s="1" t="s">
        <v>3489</v>
      </c>
      <c r="C658" s="1" t="s">
        <v>3489</v>
      </c>
      <c r="D658" s="1" t="s">
        <v>2833</v>
      </c>
    </row>
    <row r="659" spans="1:4" x14ac:dyDescent="0.25">
      <c r="A659" s="1" t="s">
        <v>3490</v>
      </c>
      <c r="C659" s="1" t="s">
        <v>3490</v>
      </c>
      <c r="D659" s="1" t="s">
        <v>2833</v>
      </c>
    </row>
    <row r="660" spans="1:4" x14ac:dyDescent="0.25">
      <c r="A660" s="1" t="s">
        <v>3491</v>
      </c>
      <c r="C660" s="1" t="s">
        <v>3491</v>
      </c>
      <c r="D660" s="1" t="s">
        <v>2833</v>
      </c>
    </row>
    <row r="661" spans="1:4" x14ac:dyDescent="0.25">
      <c r="A661" s="1" t="s">
        <v>3492</v>
      </c>
      <c r="C661" s="1" t="s">
        <v>3492</v>
      </c>
      <c r="D661" s="1" t="s">
        <v>2833</v>
      </c>
    </row>
    <row r="662" spans="1:4" x14ac:dyDescent="0.25">
      <c r="A662" s="1" t="s">
        <v>3493</v>
      </c>
      <c r="C662" s="1" t="s">
        <v>3493</v>
      </c>
      <c r="D662" s="1" t="s">
        <v>2833</v>
      </c>
    </row>
    <row r="663" spans="1:4" x14ac:dyDescent="0.25">
      <c r="A663" s="1" t="s">
        <v>3494</v>
      </c>
      <c r="C663" s="1" t="s">
        <v>3494</v>
      </c>
      <c r="D663" s="1" t="s">
        <v>2833</v>
      </c>
    </row>
    <row r="664" spans="1:4" x14ac:dyDescent="0.25">
      <c r="A664" s="1" t="s">
        <v>3495</v>
      </c>
      <c r="C664" s="1" t="s">
        <v>3495</v>
      </c>
      <c r="D664" s="1" t="s">
        <v>2833</v>
      </c>
    </row>
    <row r="665" spans="1:4" x14ac:dyDescent="0.25">
      <c r="A665" s="1" t="s">
        <v>3496</v>
      </c>
      <c r="C665" s="1" t="s">
        <v>3496</v>
      </c>
      <c r="D665" s="1" t="s">
        <v>2833</v>
      </c>
    </row>
    <row r="666" spans="1:4" x14ac:dyDescent="0.25">
      <c r="A666" s="1" t="s">
        <v>3497</v>
      </c>
      <c r="C666" s="1" t="s">
        <v>3497</v>
      </c>
      <c r="D666" s="1" t="s">
        <v>2833</v>
      </c>
    </row>
    <row r="667" spans="1:4" x14ac:dyDescent="0.25">
      <c r="A667" s="1" t="s">
        <v>3498</v>
      </c>
      <c r="C667" s="1" t="s">
        <v>3498</v>
      </c>
      <c r="D667" s="1" t="s">
        <v>2833</v>
      </c>
    </row>
    <row r="668" spans="1:4" x14ac:dyDescent="0.25">
      <c r="A668" s="1" t="s">
        <v>3499</v>
      </c>
      <c r="C668" s="1" t="s">
        <v>3499</v>
      </c>
      <c r="D668" s="1" t="s">
        <v>2833</v>
      </c>
    </row>
    <row r="669" spans="1:4" x14ac:dyDescent="0.25">
      <c r="A669" s="1" t="s">
        <v>3500</v>
      </c>
      <c r="C669" s="1" t="s">
        <v>3500</v>
      </c>
      <c r="D669" s="1" t="s">
        <v>2833</v>
      </c>
    </row>
    <row r="670" spans="1:4" x14ac:dyDescent="0.25">
      <c r="A670" s="1" t="s">
        <v>3501</v>
      </c>
      <c r="C670" s="1" t="s">
        <v>3501</v>
      </c>
      <c r="D670" s="1" t="s">
        <v>2833</v>
      </c>
    </row>
    <row r="671" spans="1:4" x14ac:dyDescent="0.25">
      <c r="A671" s="1" t="s">
        <v>3502</v>
      </c>
      <c r="C671" s="1" t="s">
        <v>3502</v>
      </c>
      <c r="D671" s="1" t="s">
        <v>2833</v>
      </c>
    </row>
    <row r="672" spans="1:4" x14ac:dyDescent="0.25">
      <c r="A672" s="1" t="s">
        <v>3503</v>
      </c>
      <c r="C672" s="1" t="s">
        <v>3503</v>
      </c>
      <c r="D672" s="1" t="s">
        <v>2833</v>
      </c>
    </row>
    <row r="673" spans="1:4" x14ac:dyDescent="0.25">
      <c r="A673" s="1" t="s">
        <v>3504</v>
      </c>
      <c r="C673" s="1" t="s">
        <v>3504</v>
      </c>
      <c r="D673" s="1" t="s">
        <v>2833</v>
      </c>
    </row>
    <row r="674" spans="1:4" x14ac:dyDescent="0.25">
      <c r="A674" s="1" t="s">
        <v>3505</v>
      </c>
      <c r="C674" s="1" t="s">
        <v>3505</v>
      </c>
      <c r="D674" s="1" t="s">
        <v>2833</v>
      </c>
    </row>
    <row r="675" spans="1:4" x14ac:dyDescent="0.25">
      <c r="A675" s="1" t="s">
        <v>3506</v>
      </c>
      <c r="C675" s="1" t="s">
        <v>3506</v>
      </c>
      <c r="D675" s="1" t="s">
        <v>2833</v>
      </c>
    </row>
    <row r="676" spans="1:4" x14ac:dyDescent="0.25">
      <c r="A676" s="1" t="s">
        <v>3507</v>
      </c>
      <c r="C676" s="1" t="s">
        <v>3507</v>
      </c>
      <c r="D676" s="1" t="s">
        <v>2833</v>
      </c>
    </row>
    <row r="677" spans="1:4" x14ac:dyDescent="0.25">
      <c r="A677" s="1" t="s">
        <v>3508</v>
      </c>
      <c r="C677" s="1" t="s">
        <v>3508</v>
      </c>
      <c r="D677" s="1" t="s">
        <v>2833</v>
      </c>
    </row>
    <row r="678" spans="1:4" x14ac:dyDescent="0.25">
      <c r="A678" s="1" t="s">
        <v>3509</v>
      </c>
      <c r="C678" s="1" t="s">
        <v>3509</v>
      </c>
      <c r="D678" s="1" t="s">
        <v>2833</v>
      </c>
    </row>
    <row r="679" spans="1:4" x14ac:dyDescent="0.25">
      <c r="A679" s="1" t="s">
        <v>3510</v>
      </c>
      <c r="C679" s="1" t="s">
        <v>3510</v>
      </c>
      <c r="D679" s="1" t="s">
        <v>2833</v>
      </c>
    </row>
    <row r="680" spans="1:4" x14ac:dyDescent="0.25">
      <c r="A680" s="1" t="s">
        <v>3511</v>
      </c>
      <c r="C680" s="1" t="s">
        <v>3511</v>
      </c>
      <c r="D680" s="1" t="s">
        <v>2833</v>
      </c>
    </row>
    <row r="681" spans="1:4" x14ac:dyDescent="0.25">
      <c r="A681" s="1" t="s">
        <v>3512</v>
      </c>
      <c r="C681" s="1" t="s">
        <v>3512</v>
      </c>
      <c r="D681" s="1" t="s">
        <v>2833</v>
      </c>
    </row>
    <row r="682" spans="1:4" x14ac:dyDescent="0.25">
      <c r="A682" s="1" t="s">
        <v>3513</v>
      </c>
      <c r="C682" s="1" t="s">
        <v>3513</v>
      </c>
      <c r="D682" s="1" t="s">
        <v>2833</v>
      </c>
    </row>
    <row r="683" spans="1:4" x14ac:dyDescent="0.25">
      <c r="A683" s="1" t="s">
        <v>3514</v>
      </c>
      <c r="C683" s="1" t="s">
        <v>3514</v>
      </c>
      <c r="D683" s="1" t="s">
        <v>2833</v>
      </c>
    </row>
    <row r="684" spans="1:4" x14ac:dyDescent="0.25">
      <c r="A684" s="1" t="s">
        <v>3515</v>
      </c>
      <c r="C684" s="1" t="s">
        <v>3515</v>
      </c>
      <c r="D684" s="1" t="s">
        <v>2833</v>
      </c>
    </row>
    <row r="685" spans="1:4" x14ac:dyDescent="0.25">
      <c r="A685" s="1" t="s">
        <v>3516</v>
      </c>
      <c r="C685" s="1" t="s">
        <v>3516</v>
      </c>
      <c r="D685" s="1" t="s">
        <v>2833</v>
      </c>
    </row>
    <row r="686" spans="1:4" x14ac:dyDescent="0.25">
      <c r="A686" s="1" t="s">
        <v>3517</v>
      </c>
      <c r="C686" s="1" t="s">
        <v>3517</v>
      </c>
      <c r="D686" s="1" t="s">
        <v>2833</v>
      </c>
    </row>
    <row r="687" spans="1:4" x14ac:dyDescent="0.25">
      <c r="A687" s="1" t="s">
        <v>3518</v>
      </c>
      <c r="C687" s="1" t="s">
        <v>3518</v>
      </c>
      <c r="D687" s="1" t="s">
        <v>2833</v>
      </c>
    </row>
    <row r="688" spans="1:4" x14ac:dyDescent="0.25">
      <c r="A688" s="1" t="s">
        <v>3519</v>
      </c>
      <c r="C688" s="1" t="s">
        <v>3519</v>
      </c>
      <c r="D688" s="1" t="s">
        <v>2833</v>
      </c>
    </row>
    <row r="689" spans="1:4" x14ac:dyDescent="0.25">
      <c r="A689" s="1" t="s">
        <v>3520</v>
      </c>
      <c r="C689" s="1" t="s">
        <v>3520</v>
      </c>
      <c r="D689" s="1" t="s">
        <v>2833</v>
      </c>
    </row>
    <row r="690" spans="1:4" x14ac:dyDescent="0.25">
      <c r="A690" s="1" t="s">
        <v>3521</v>
      </c>
      <c r="C690" s="1" t="s">
        <v>3521</v>
      </c>
      <c r="D690" s="1" t="s">
        <v>2833</v>
      </c>
    </row>
    <row r="691" spans="1:4" x14ac:dyDescent="0.25">
      <c r="A691" s="1" t="s">
        <v>3522</v>
      </c>
      <c r="C691" s="1" t="s">
        <v>3522</v>
      </c>
      <c r="D691" s="1" t="s">
        <v>2833</v>
      </c>
    </row>
    <row r="692" spans="1:4" x14ac:dyDescent="0.25">
      <c r="A692" s="1" t="s">
        <v>3523</v>
      </c>
      <c r="C692" s="1" t="s">
        <v>3523</v>
      </c>
      <c r="D692" s="1" t="s">
        <v>2833</v>
      </c>
    </row>
    <row r="693" spans="1:4" x14ac:dyDescent="0.25">
      <c r="A693" s="1" t="s">
        <v>3524</v>
      </c>
      <c r="C693" s="1" t="s">
        <v>3524</v>
      </c>
      <c r="D693" s="1" t="s">
        <v>2833</v>
      </c>
    </row>
    <row r="694" spans="1:4" x14ac:dyDescent="0.25">
      <c r="A694" s="1" t="s">
        <v>3525</v>
      </c>
      <c r="C694" s="1" t="s">
        <v>3525</v>
      </c>
      <c r="D694" s="1" t="s">
        <v>2833</v>
      </c>
    </row>
    <row r="695" spans="1:4" x14ac:dyDescent="0.25">
      <c r="A695" s="1" t="s">
        <v>3526</v>
      </c>
      <c r="C695" s="1" t="s">
        <v>3526</v>
      </c>
      <c r="D695" s="1" t="s">
        <v>2833</v>
      </c>
    </row>
    <row r="696" spans="1:4" x14ac:dyDescent="0.25">
      <c r="A696" s="1" t="s">
        <v>3527</v>
      </c>
      <c r="C696" s="1" t="s">
        <v>3527</v>
      </c>
      <c r="D696" s="1" t="s">
        <v>2833</v>
      </c>
    </row>
    <row r="697" spans="1:4" x14ac:dyDescent="0.25">
      <c r="A697" s="1" t="s">
        <v>3528</v>
      </c>
      <c r="C697" s="1" t="s">
        <v>3528</v>
      </c>
      <c r="D697" s="1" t="s">
        <v>2833</v>
      </c>
    </row>
    <row r="698" spans="1:4" x14ac:dyDescent="0.25">
      <c r="A698" s="1" t="s">
        <v>3529</v>
      </c>
      <c r="C698" s="1" t="s">
        <v>3529</v>
      </c>
      <c r="D698" s="1" t="s">
        <v>2833</v>
      </c>
    </row>
    <row r="699" spans="1:4" x14ac:dyDescent="0.25">
      <c r="A699" s="1" t="s">
        <v>3530</v>
      </c>
      <c r="C699" s="1" t="s">
        <v>3530</v>
      </c>
      <c r="D699" s="1" t="s">
        <v>2833</v>
      </c>
    </row>
    <row r="700" spans="1:4" x14ac:dyDescent="0.25">
      <c r="A700" s="1" t="s">
        <v>3531</v>
      </c>
      <c r="C700" s="1" t="s">
        <v>3531</v>
      </c>
      <c r="D700" s="1" t="s">
        <v>2833</v>
      </c>
    </row>
    <row r="701" spans="1:4" x14ac:dyDescent="0.25">
      <c r="A701" s="1" t="s">
        <v>3532</v>
      </c>
      <c r="C701" s="1" t="s">
        <v>3532</v>
      </c>
      <c r="D701" s="1" t="s">
        <v>2833</v>
      </c>
    </row>
    <row r="702" spans="1:4" x14ac:dyDescent="0.25">
      <c r="A702" s="1" t="s">
        <v>3533</v>
      </c>
      <c r="C702" s="1" t="s">
        <v>3533</v>
      </c>
      <c r="D702" s="1" t="s">
        <v>2833</v>
      </c>
    </row>
    <row r="703" spans="1:4" x14ac:dyDescent="0.25">
      <c r="A703" s="1" t="s">
        <v>3534</v>
      </c>
      <c r="C703" s="1" t="s">
        <v>3534</v>
      </c>
      <c r="D703" s="1" t="s">
        <v>2833</v>
      </c>
    </row>
    <row r="704" spans="1:4" x14ac:dyDescent="0.25">
      <c r="A704" s="1" t="s">
        <v>3535</v>
      </c>
      <c r="C704" s="1" t="s">
        <v>3535</v>
      </c>
      <c r="D704" s="1" t="s">
        <v>2833</v>
      </c>
    </row>
    <row r="705" spans="1:4" x14ac:dyDescent="0.25">
      <c r="A705" s="1" t="s">
        <v>3536</v>
      </c>
      <c r="C705" s="1" t="s">
        <v>3536</v>
      </c>
      <c r="D705" s="1" t="s">
        <v>2833</v>
      </c>
    </row>
    <row r="706" spans="1:4" x14ac:dyDescent="0.25">
      <c r="A706" s="1" t="s">
        <v>3537</v>
      </c>
      <c r="C706" s="1" t="s">
        <v>3537</v>
      </c>
      <c r="D706" s="1" t="s">
        <v>2833</v>
      </c>
    </row>
    <row r="707" spans="1:4" x14ac:dyDescent="0.25">
      <c r="A707" s="1" t="s">
        <v>3538</v>
      </c>
      <c r="C707" s="1" t="s">
        <v>3538</v>
      </c>
      <c r="D707" s="1" t="s">
        <v>2833</v>
      </c>
    </row>
    <row r="708" spans="1:4" x14ac:dyDescent="0.25">
      <c r="A708" s="1" t="s">
        <v>3539</v>
      </c>
      <c r="C708" s="1" t="s">
        <v>3539</v>
      </c>
      <c r="D708" s="1" t="s">
        <v>2833</v>
      </c>
    </row>
    <row r="709" spans="1:4" x14ac:dyDescent="0.25">
      <c r="A709" s="1" t="s">
        <v>3540</v>
      </c>
      <c r="C709" s="1" t="s">
        <v>3540</v>
      </c>
      <c r="D709" s="1" t="s">
        <v>2833</v>
      </c>
    </row>
    <row r="710" spans="1:4" x14ac:dyDescent="0.25">
      <c r="A710" s="1" t="s">
        <v>3541</v>
      </c>
      <c r="C710" s="1" t="s">
        <v>3541</v>
      </c>
      <c r="D710" s="1" t="s">
        <v>2833</v>
      </c>
    </row>
    <row r="711" spans="1:4" x14ac:dyDescent="0.25">
      <c r="A711" s="1" t="s">
        <v>3542</v>
      </c>
      <c r="C711" s="1" t="s">
        <v>3542</v>
      </c>
      <c r="D711" s="1" t="s">
        <v>2833</v>
      </c>
    </row>
    <row r="712" spans="1:4" x14ac:dyDescent="0.25">
      <c r="A712" s="1" t="s">
        <v>3543</v>
      </c>
      <c r="C712" s="1" t="s">
        <v>3543</v>
      </c>
      <c r="D712" s="1" t="s">
        <v>2833</v>
      </c>
    </row>
    <row r="713" spans="1:4" x14ac:dyDescent="0.25">
      <c r="A713" s="1" t="s">
        <v>3544</v>
      </c>
      <c r="C713" s="1" t="s">
        <v>3544</v>
      </c>
      <c r="D713" s="1" t="s">
        <v>2833</v>
      </c>
    </row>
    <row r="714" spans="1:4" x14ac:dyDescent="0.25">
      <c r="A714" s="1" t="s">
        <v>3545</v>
      </c>
      <c r="C714" s="1" t="s">
        <v>3545</v>
      </c>
      <c r="D714" s="1" t="s">
        <v>2833</v>
      </c>
    </row>
    <row r="715" spans="1:4" x14ac:dyDescent="0.25">
      <c r="A715" s="1" t="s">
        <v>3546</v>
      </c>
      <c r="C715" s="1" t="s">
        <v>3546</v>
      </c>
      <c r="D715" s="1" t="s">
        <v>2833</v>
      </c>
    </row>
    <row r="716" spans="1:4" x14ac:dyDescent="0.25">
      <c r="A716" s="1" t="s">
        <v>3547</v>
      </c>
      <c r="C716" s="1" t="s">
        <v>3547</v>
      </c>
      <c r="D716" s="1" t="s">
        <v>2833</v>
      </c>
    </row>
    <row r="717" spans="1:4" x14ac:dyDescent="0.25">
      <c r="A717" s="1" t="s">
        <v>3548</v>
      </c>
      <c r="C717" s="1" t="s">
        <v>3548</v>
      </c>
      <c r="D717" s="1" t="s">
        <v>2833</v>
      </c>
    </row>
    <row r="718" spans="1:4" x14ac:dyDescent="0.25">
      <c r="A718" s="1" t="s">
        <v>3549</v>
      </c>
      <c r="C718" s="1" t="s">
        <v>3549</v>
      </c>
      <c r="D718" s="1" t="s">
        <v>2833</v>
      </c>
    </row>
    <row r="719" spans="1:4" x14ac:dyDescent="0.25">
      <c r="A719" s="1" t="s">
        <v>3550</v>
      </c>
      <c r="C719" s="1" t="s">
        <v>3550</v>
      </c>
      <c r="D719" s="1" t="s">
        <v>2833</v>
      </c>
    </row>
    <row r="720" spans="1:4" x14ac:dyDescent="0.25">
      <c r="A720" s="1" t="s">
        <v>3551</v>
      </c>
      <c r="C720" s="1" t="s">
        <v>3551</v>
      </c>
      <c r="D720" s="1" t="s">
        <v>2833</v>
      </c>
    </row>
    <row r="721" spans="1:4" x14ac:dyDescent="0.25">
      <c r="A721" s="1" t="s">
        <v>3552</v>
      </c>
      <c r="C721" s="1" t="s">
        <v>3552</v>
      </c>
      <c r="D721" s="1" t="s">
        <v>2833</v>
      </c>
    </row>
    <row r="722" spans="1:4" x14ac:dyDescent="0.25">
      <c r="A722" s="1" t="s">
        <v>3553</v>
      </c>
      <c r="C722" s="1" t="s">
        <v>3553</v>
      </c>
      <c r="D722" s="1" t="s">
        <v>2833</v>
      </c>
    </row>
    <row r="723" spans="1:4" x14ac:dyDescent="0.25">
      <c r="A723" s="1" t="s">
        <v>3554</v>
      </c>
      <c r="C723" s="1" t="s">
        <v>3554</v>
      </c>
      <c r="D723" s="1" t="s">
        <v>2833</v>
      </c>
    </row>
    <row r="724" spans="1:4" x14ac:dyDescent="0.25">
      <c r="A724" s="1" t="s">
        <v>3555</v>
      </c>
      <c r="C724" s="1" t="s">
        <v>3555</v>
      </c>
      <c r="D724" s="1" t="s">
        <v>2833</v>
      </c>
    </row>
    <row r="725" spans="1:4" x14ac:dyDescent="0.25">
      <c r="A725" s="1" t="s">
        <v>3556</v>
      </c>
      <c r="C725" s="1" t="s">
        <v>3556</v>
      </c>
      <c r="D725" s="1" t="s">
        <v>2833</v>
      </c>
    </row>
    <row r="726" spans="1:4" x14ac:dyDescent="0.25">
      <c r="A726" s="1" t="s">
        <v>3557</v>
      </c>
      <c r="C726" s="1" t="s">
        <v>3557</v>
      </c>
      <c r="D726" s="1" t="s">
        <v>2833</v>
      </c>
    </row>
    <row r="727" spans="1:4" x14ac:dyDescent="0.25">
      <c r="A727" s="1" t="s">
        <v>3558</v>
      </c>
      <c r="C727" s="1" t="s">
        <v>3558</v>
      </c>
      <c r="D727" s="1" t="s">
        <v>2833</v>
      </c>
    </row>
    <row r="728" spans="1:4" x14ac:dyDescent="0.25">
      <c r="A728" s="1" t="s">
        <v>3559</v>
      </c>
      <c r="C728" s="1" t="s">
        <v>3559</v>
      </c>
      <c r="D728" s="1" t="s">
        <v>2833</v>
      </c>
    </row>
    <row r="729" spans="1:4" x14ac:dyDescent="0.25">
      <c r="A729" s="1" t="s">
        <v>3560</v>
      </c>
      <c r="C729" s="1" t="s">
        <v>3560</v>
      </c>
      <c r="D729" s="1" t="s">
        <v>2833</v>
      </c>
    </row>
    <row r="730" spans="1:4" x14ac:dyDescent="0.25">
      <c r="A730" s="1" t="s">
        <v>3561</v>
      </c>
      <c r="C730" s="1" t="s">
        <v>3561</v>
      </c>
      <c r="D730" s="1" t="s">
        <v>2833</v>
      </c>
    </row>
    <row r="731" spans="1:4" x14ac:dyDescent="0.25">
      <c r="A731" s="1" t="s">
        <v>3562</v>
      </c>
      <c r="C731" s="1" t="s">
        <v>3562</v>
      </c>
      <c r="D731" s="1" t="s">
        <v>2833</v>
      </c>
    </row>
    <row r="732" spans="1:4" x14ac:dyDescent="0.25">
      <c r="A732" s="1" t="s">
        <v>3563</v>
      </c>
      <c r="C732" s="1" t="s">
        <v>3563</v>
      </c>
      <c r="D732" s="1" t="s">
        <v>2833</v>
      </c>
    </row>
    <row r="733" spans="1:4" x14ac:dyDescent="0.25">
      <c r="A733" s="1" t="s">
        <v>3564</v>
      </c>
      <c r="C733" s="1" t="s">
        <v>3564</v>
      </c>
      <c r="D733" s="1" t="s">
        <v>2833</v>
      </c>
    </row>
    <row r="734" spans="1:4" x14ac:dyDescent="0.25">
      <c r="A734" s="1" t="s">
        <v>3565</v>
      </c>
      <c r="C734" s="1" t="s">
        <v>3565</v>
      </c>
      <c r="D734" s="1" t="s">
        <v>2833</v>
      </c>
    </row>
    <row r="735" spans="1:4" x14ac:dyDescent="0.25">
      <c r="A735" s="1" t="s">
        <v>3566</v>
      </c>
      <c r="C735" s="1" t="s">
        <v>3566</v>
      </c>
      <c r="D735" s="1" t="s">
        <v>2833</v>
      </c>
    </row>
    <row r="736" spans="1:4" x14ac:dyDescent="0.25">
      <c r="A736" s="1" t="s">
        <v>3567</v>
      </c>
      <c r="C736" s="1" t="s">
        <v>3567</v>
      </c>
      <c r="D736" s="1" t="s">
        <v>2833</v>
      </c>
    </row>
    <row r="737" spans="1:4" x14ac:dyDescent="0.25">
      <c r="A737" s="1" t="s">
        <v>3568</v>
      </c>
      <c r="C737" s="1" t="s">
        <v>3568</v>
      </c>
      <c r="D737" s="1" t="s">
        <v>2833</v>
      </c>
    </row>
    <row r="738" spans="1:4" x14ac:dyDescent="0.25">
      <c r="A738" s="1" t="s">
        <v>3569</v>
      </c>
      <c r="C738" s="1" t="s">
        <v>3569</v>
      </c>
      <c r="D738" s="1" t="s">
        <v>2833</v>
      </c>
    </row>
    <row r="739" spans="1:4" x14ac:dyDescent="0.25">
      <c r="A739" s="1" t="s">
        <v>3570</v>
      </c>
      <c r="C739" s="1" t="s">
        <v>3570</v>
      </c>
      <c r="D739" s="1" t="s">
        <v>2833</v>
      </c>
    </row>
    <row r="740" spans="1:4" x14ac:dyDescent="0.25">
      <c r="A740" s="1" t="s">
        <v>3571</v>
      </c>
      <c r="C740" s="1" t="s">
        <v>3571</v>
      </c>
      <c r="D740" s="1" t="s">
        <v>2833</v>
      </c>
    </row>
    <row r="741" spans="1:4" x14ac:dyDescent="0.25">
      <c r="A741" s="1" t="s">
        <v>3572</v>
      </c>
      <c r="C741" s="1" t="s">
        <v>3572</v>
      </c>
      <c r="D741" s="1" t="s">
        <v>2833</v>
      </c>
    </row>
    <row r="742" spans="1:4" x14ac:dyDescent="0.25">
      <c r="A742" s="1" t="s">
        <v>3573</v>
      </c>
      <c r="C742" s="1" t="s">
        <v>3573</v>
      </c>
      <c r="D742" s="1" t="s">
        <v>2833</v>
      </c>
    </row>
    <row r="743" spans="1:4" x14ac:dyDescent="0.25">
      <c r="A743" s="1" t="s">
        <v>3574</v>
      </c>
      <c r="C743" s="1" t="s">
        <v>3574</v>
      </c>
      <c r="D743" s="1" t="s">
        <v>2833</v>
      </c>
    </row>
    <row r="744" spans="1:4" x14ac:dyDescent="0.25">
      <c r="A744" s="1" t="s">
        <v>3575</v>
      </c>
      <c r="C744" s="1" t="s">
        <v>3575</v>
      </c>
      <c r="D744" s="1" t="s">
        <v>2833</v>
      </c>
    </row>
    <row r="745" spans="1:4" x14ac:dyDescent="0.25">
      <c r="A745" s="1" t="s">
        <v>3576</v>
      </c>
      <c r="C745" s="1" t="s">
        <v>3576</v>
      </c>
      <c r="D745" s="1" t="s">
        <v>2833</v>
      </c>
    </row>
    <row r="746" spans="1:4" x14ac:dyDescent="0.25">
      <c r="A746" s="1" t="s">
        <v>3577</v>
      </c>
      <c r="C746" s="1" t="s">
        <v>3577</v>
      </c>
      <c r="D746" s="1" t="s">
        <v>2833</v>
      </c>
    </row>
    <row r="747" spans="1:4" x14ac:dyDescent="0.25">
      <c r="A747" s="1" t="s">
        <v>3578</v>
      </c>
      <c r="C747" s="1" t="s">
        <v>3578</v>
      </c>
      <c r="D747" s="1" t="s">
        <v>2833</v>
      </c>
    </row>
    <row r="748" spans="1:4" x14ac:dyDescent="0.25">
      <c r="A748" s="1" t="s">
        <v>3579</v>
      </c>
      <c r="C748" s="1" t="s">
        <v>3579</v>
      </c>
      <c r="D748" s="1" t="s">
        <v>2833</v>
      </c>
    </row>
    <row r="749" spans="1:4" x14ac:dyDescent="0.25">
      <c r="A749" s="1" t="s">
        <v>3580</v>
      </c>
      <c r="C749" s="1" t="s">
        <v>3580</v>
      </c>
      <c r="D749" s="1" t="s">
        <v>2833</v>
      </c>
    </row>
    <row r="750" spans="1:4" x14ac:dyDescent="0.25">
      <c r="A750" s="1" t="s">
        <v>3581</v>
      </c>
      <c r="C750" s="1" t="s">
        <v>3581</v>
      </c>
      <c r="D750" s="1" t="s">
        <v>2833</v>
      </c>
    </row>
    <row r="751" spans="1:4" x14ac:dyDescent="0.25">
      <c r="A751" s="1" t="s">
        <v>3582</v>
      </c>
      <c r="C751" s="1" t="s">
        <v>3582</v>
      </c>
      <c r="D751" s="1" t="s">
        <v>2833</v>
      </c>
    </row>
    <row r="752" spans="1:4" x14ac:dyDescent="0.25">
      <c r="A752" s="1" t="s">
        <v>3583</v>
      </c>
      <c r="C752" s="1" t="s">
        <v>3583</v>
      </c>
      <c r="D752" s="1" t="s">
        <v>2833</v>
      </c>
    </row>
    <row r="753" spans="1:4" x14ac:dyDescent="0.25">
      <c r="A753" s="1" t="s">
        <v>3584</v>
      </c>
      <c r="C753" s="1" t="s">
        <v>3584</v>
      </c>
      <c r="D753" s="1" t="s">
        <v>2833</v>
      </c>
    </row>
    <row r="754" spans="1:4" x14ac:dyDescent="0.25">
      <c r="A754" s="1" t="s">
        <v>3585</v>
      </c>
      <c r="C754" s="1" t="s">
        <v>3585</v>
      </c>
      <c r="D754" s="1" t="s">
        <v>2833</v>
      </c>
    </row>
    <row r="755" spans="1:4" x14ac:dyDescent="0.25">
      <c r="A755" s="1" t="s">
        <v>3586</v>
      </c>
      <c r="C755" s="1" t="s">
        <v>3586</v>
      </c>
      <c r="D755" s="1" t="s">
        <v>2833</v>
      </c>
    </row>
    <row r="756" spans="1:4" x14ac:dyDescent="0.25">
      <c r="A756" s="1" t="s">
        <v>3587</v>
      </c>
      <c r="C756" s="1" t="s">
        <v>3587</v>
      </c>
      <c r="D756" s="1" t="s">
        <v>2833</v>
      </c>
    </row>
    <row r="757" spans="1:4" x14ac:dyDescent="0.25">
      <c r="A757" s="1" t="s">
        <v>3588</v>
      </c>
      <c r="C757" s="1" t="s">
        <v>3588</v>
      </c>
      <c r="D757" s="1" t="s">
        <v>2833</v>
      </c>
    </row>
    <row r="758" spans="1:4" x14ac:dyDescent="0.25">
      <c r="A758" s="1" t="s">
        <v>3589</v>
      </c>
      <c r="C758" s="1" t="s">
        <v>3589</v>
      </c>
      <c r="D758" s="1" t="s">
        <v>2833</v>
      </c>
    </row>
    <row r="759" spans="1:4" x14ac:dyDescent="0.25">
      <c r="A759" s="1" t="s">
        <v>3590</v>
      </c>
      <c r="C759" s="1" t="s">
        <v>3590</v>
      </c>
      <c r="D759" s="1" t="s">
        <v>2833</v>
      </c>
    </row>
    <row r="760" spans="1:4" x14ac:dyDescent="0.25">
      <c r="A760" s="1" t="s">
        <v>3591</v>
      </c>
      <c r="C760" s="1" t="s">
        <v>3591</v>
      </c>
      <c r="D760" s="1" t="s">
        <v>2833</v>
      </c>
    </row>
    <row r="761" spans="1:4" x14ac:dyDescent="0.25">
      <c r="A761" s="1" t="s">
        <v>3592</v>
      </c>
      <c r="C761" s="1" t="s">
        <v>3592</v>
      </c>
      <c r="D761" s="1" t="s">
        <v>2833</v>
      </c>
    </row>
    <row r="762" spans="1:4" x14ac:dyDescent="0.25">
      <c r="A762" s="1" t="s">
        <v>3593</v>
      </c>
      <c r="C762" s="1" t="s">
        <v>3593</v>
      </c>
      <c r="D762" s="1" t="s">
        <v>2833</v>
      </c>
    </row>
    <row r="763" spans="1:4" x14ac:dyDescent="0.25">
      <c r="A763" s="1" t="s">
        <v>3594</v>
      </c>
      <c r="C763" s="1" t="s">
        <v>3594</v>
      </c>
      <c r="D763" s="1" t="s">
        <v>2833</v>
      </c>
    </row>
    <row r="764" spans="1:4" x14ac:dyDescent="0.25">
      <c r="A764" s="1" t="s">
        <v>3595</v>
      </c>
      <c r="C764" s="1" t="s">
        <v>3595</v>
      </c>
      <c r="D764" s="1" t="s">
        <v>2833</v>
      </c>
    </row>
    <row r="765" spans="1:4" x14ac:dyDescent="0.25">
      <c r="A765" s="1" t="s">
        <v>3596</v>
      </c>
      <c r="C765" s="1" t="s">
        <v>3596</v>
      </c>
      <c r="D765" s="1" t="s">
        <v>2833</v>
      </c>
    </row>
    <row r="766" spans="1:4" x14ac:dyDescent="0.25">
      <c r="A766" s="1" t="s">
        <v>3597</v>
      </c>
      <c r="C766" s="1" t="s">
        <v>3597</v>
      </c>
      <c r="D766" s="1" t="s">
        <v>2833</v>
      </c>
    </row>
    <row r="767" spans="1:4" x14ac:dyDescent="0.25">
      <c r="A767" s="1" t="s">
        <v>3598</v>
      </c>
      <c r="C767" s="1" t="s">
        <v>3598</v>
      </c>
      <c r="D767" s="1" t="s">
        <v>2833</v>
      </c>
    </row>
    <row r="768" spans="1:4" x14ac:dyDescent="0.25">
      <c r="A768" s="1" t="s">
        <v>3599</v>
      </c>
      <c r="C768" s="1" t="s">
        <v>3599</v>
      </c>
      <c r="D768" s="1" t="s">
        <v>2833</v>
      </c>
    </row>
    <row r="769" spans="1:4" x14ac:dyDescent="0.25">
      <c r="A769" s="1" t="s">
        <v>3600</v>
      </c>
      <c r="C769" s="1" t="s">
        <v>3600</v>
      </c>
      <c r="D769" s="1" t="s">
        <v>2833</v>
      </c>
    </row>
    <row r="770" spans="1:4" x14ac:dyDescent="0.25">
      <c r="A770" s="1" t="s">
        <v>3601</v>
      </c>
      <c r="C770" s="1" t="s">
        <v>3601</v>
      </c>
      <c r="D770" s="1" t="s">
        <v>2833</v>
      </c>
    </row>
    <row r="771" spans="1:4" x14ac:dyDescent="0.25">
      <c r="A771" s="1" t="s">
        <v>3602</v>
      </c>
      <c r="C771" s="1" t="s">
        <v>3602</v>
      </c>
      <c r="D771" s="1" t="s">
        <v>2833</v>
      </c>
    </row>
    <row r="772" spans="1:4" x14ac:dyDescent="0.25">
      <c r="A772" s="1" t="s">
        <v>3603</v>
      </c>
      <c r="C772" s="1" t="s">
        <v>3603</v>
      </c>
      <c r="D772" s="1" t="s">
        <v>2833</v>
      </c>
    </row>
    <row r="773" spans="1:4" x14ac:dyDescent="0.25">
      <c r="A773" s="1" t="s">
        <v>3604</v>
      </c>
      <c r="C773" s="1" t="s">
        <v>3604</v>
      </c>
      <c r="D773" s="1" t="s">
        <v>2833</v>
      </c>
    </row>
    <row r="774" spans="1:4" x14ac:dyDescent="0.25">
      <c r="A774" s="1" t="s">
        <v>3605</v>
      </c>
      <c r="C774" s="1" t="s">
        <v>3605</v>
      </c>
      <c r="D774" s="1" t="s">
        <v>2833</v>
      </c>
    </row>
    <row r="775" spans="1:4" x14ac:dyDescent="0.25">
      <c r="A775" s="1" t="s">
        <v>3606</v>
      </c>
      <c r="C775" s="1" t="s">
        <v>3606</v>
      </c>
      <c r="D775" s="1" t="s">
        <v>2833</v>
      </c>
    </row>
    <row r="776" spans="1:4" x14ac:dyDescent="0.25">
      <c r="A776" s="1" t="s">
        <v>3607</v>
      </c>
      <c r="C776" s="1" t="s">
        <v>3607</v>
      </c>
      <c r="D776" s="1" t="s">
        <v>2833</v>
      </c>
    </row>
    <row r="777" spans="1:4" x14ac:dyDescent="0.25">
      <c r="A777" s="1" t="s">
        <v>3608</v>
      </c>
      <c r="C777" s="1" t="s">
        <v>3608</v>
      </c>
      <c r="D777" s="1" t="s">
        <v>2833</v>
      </c>
    </row>
    <row r="778" spans="1:4" x14ac:dyDescent="0.25">
      <c r="A778" s="1" t="s">
        <v>3609</v>
      </c>
      <c r="C778" s="1" t="s">
        <v>3609</v>
      </c>
      <c r="D778" s="1" t="s">
        <v>2833</v>
      </c>
    </row>
    <row r="779" spans="1:4" x14ac:dyDescent="0.25">
      <c r="A779" s="1" t="s">
        <v>3610</v>
      </c>
      <c r="C779" s="1" t="s">
        <v>3610</v>
      </c>
      <c r="D779" s="1" t="s">
        <v>2833</v>
      </c>
    </row>
    <row r="780" spans="1:4" x14ac:dyDescent="0.25">
      <c r="A780" s="1" t="s">
        <v>3611</v>
      </c>
      <c r="C780" s="1" t="s">
        <v>3611</v>
      </c>
      <c r="D780" s="1" t="s">
        <v>2833</v>
      </c>
    </row>
    <row r="781" spans="1:4" x14ac:dyDescent="0.25">
      <c r="A781" s="1" t="s">
        <v>3612</v>
      </c>
      <c r="C781" s="1" t="s">
        <v>3612</v>
      </c>
      <c r="D781" s="1" t="s">
        <v>2833</v>
      </c>
    </row>
    <row r="782" spans="1:4" x14ac:dyDescent="0.25">
      <c r="A782" s="1" t="s">
        <v>3613</v>
      </c>
      <c r="C782" s="1" t="s">
        <v>3613</v>
      </c>
      <c r="D782" s="1" t="s">
        <v>2833</v>
      </c>
    </row>
    <row r="783" spans="1:4" x14ac:dyDescent="0.25">
      <c r="A783" s="1" t="s">
        <v>3614</v>
      </c>
      <c r="C783" s="1" t="s">
        <v>3614</v>
      </c>
      <c r="D783" s="1" t="s">
        <v>2833</v>
      </c>
    </row>
    <row r="784" spans="1:4" x14ac:dyDescent="0.25">
      <c r="A784" s="1" t="s">
        <v>3615</v>
      </c>
      <c r="C784" s="1" t="s">
        <v>3615</v>
      </c>
      <c r="D784" s="1" t="s">
        <v>2833</v>
      </c>
    </row>
    <row r="785" spans="1:4" x14ac:dyDescent="0.25">
      <c r="A785" s="1" t="s">
        <v>3616</v>
      </c>
      <c r="C785" s="1" t="s">
        <v>3616</v>
      </c>
      <c r="D785" s="1" t="s">
        <v>2833</v>
      </c>
    </row>
    <row r="786" spans="1:4" x14ac:dyDescent="0.25">
      <c r="A786" s="1" t="s">
        <v>3617</v>
      </c>
      <c r="C786" s="1" t="s">
        <v>3617</v>
      </c>
      <c r="D786" s="1" t="s">
        <v>2833</v>
      </c>
    </row>
    <row r="787" spans="1:4" x14ac:dyDescent="0.25">
      <c r="A787" s="1" t="s">
        <v>3618</v>
      </c>
      <c r="C787" s="1" t="s">
        <v>3618</v>
      </c>
      <c r="D787" s="1" t="s">
        <v>2833</v>
      </c>
    </row>
    <row r="788" spans="1:4" x14ac:dyDescent="0.25">
      <c r="A788" s="1" t="s">
        <v>3619</v>
      </c>
      <c r="C788" s="1" t="s">
        <v>3619</v>
      </c>
      <c r="D788" s="1" t="s">
        <v>2833</v>
      </c>
    </row>
    <row r="789" spans="1:4" x14ac:dyDescent="0.25">
      <c r="A789" s="1" t="s">
        <v>3620</v>
      </c>
      <c r="C789" s="1" t="s">
        <v>3620</v>
      </c>
      <c r="D789" s="1" t="s">
        <v>2833</v>
      </c>
    </row>
    <row r="790" spans="1:4" x14ac:dyDescent="0.25">
      <c r="A790" s="1" t="s">
        <v>3621</v>
      </c>
      <c r="C790" s="1" t="s">
        <v>3621</v>
      </c>
      <c r="D790" s="1" t="s">
        <v>2833</v>
      </c>
    </row>
    <row r="791" spans="1:4" x14ac:dyDescent="0.25">
      <c r="A791" s="1" t="s">
        <v>3622</v>
      </c>
      <c r="C791" s="1" t="s">
        <v>3622</v>
      </c>
      <c r="D791" s="1" t="s">
        <v>2833</v>
      </c>
    </row>
    <row r="792" spans="1:4" x14ac:dyDescent="0.25">
      <c r="A792" s="1" t="s">
        <v>3623</v>
      </c>
      <c r="C792" s="1" t="s">
        <v>3623</v>
      </c>
      <c r="D792" s="1" t="s">
        <v>2833</v>
      </c>
    </row>
    <row r="793" spans="1:4" x14ac:dyDescent="0.25">
      <c r="A793" s="1" t="s">
        <v>3624</v>
      </c>
      <c r="C793" s="1" t="s">
        <v>3624</v>
      </c>
      <c r="D793" s="1" t="s">
        <v>2833</v>
      </c>
    </row>
    <row r="794" spans="1:4" x14ac:dyDescent="0.25">
      <c r="A794" s="1" t="s">
        <v>3625</v>
      </c>
      <c r="C794" s="1" t="s">
        <v>3625</v>
      </c>
      <c r="D794" s="1" t="s">
        <v>2833</v>
      </c>
    </row>
    <row r="795" spans="1:4" x14ac:dyDescent="0.25">
      <c r="A795" s="1" t="s">
        <v>3626</v>
      </c>
      <c r="C795" s="1" t="s">
        <v>3626</v>
      </c>
      <c r="D795" s="1" t="s">
        <v>2833</v>
      </c>
    </row>
    <row r="796" spans="1:4" x14ac:dyDescent="0.25">
      <c r="A796" s="1" t="s">
        <v>3627</v>
      </c>
      <c r="C796" s="1" t="s">
        <v>3627</v>
      </c>
      <c r="D796" s="1" t="s">
        <v>2833</v>
      </c>
    </row>
    <row r="797" spans="1:4" x14ac:dyDescent="0.25">
      <c r="A797" s="1" t="s">
        <v>3628</v>
      </c>
      <c r="C797" s="1" t="s">
        <v>3628</v>
      </c>
      <c r="D797" s="1" t="s">
        <v>2833</v>
      </c>
    </row>
    <row r="798" spans="1:4" x14ac:dyDescent="0.25">
      <c r="A798" s="1" t="s">
        <v>3629</v>
      </c>
      <c r="C798" s="1" t="s">
        <v>3629</v>
      </c>
      <c r="D798" s="1" t="s">
        <v>2833</v>
      </c>
    </row>
    <row r="799" spans="1:4" x14ac:dyDescent="0.25">
      <c r="A799" s="1" t="s">
        <v>3630</v>
      </c>
      <c r="C799" s="1" t="s">
        <v>3630</v>
      </c>
      <c r="D799" s="1" t="s">
        <v>2833</v>
      </c>
    </row>
    <row r="800" spans="1:4" x14ac:dyDescent="0.25">
      <c r="A800" s="1" t="s">
        <v>3631</v>
      </c>
      <c r="C800" s="1" t="s">
        <v>3631</v>
      </c>
      <c r="D800" s="1" t="s">
        <v>2833</v>
      </c>
    </row>
    <row r="801" spans="1:4" x14ac:dyDescent="0.25">
      <c r="A801" s="1" t="s">
        <v>3632</v>
      </c>
      <c r="C801" s="1" t="s">
        <v>3632</v>
      </c>
      <c r="D801" s="1" t="s">
        <v>2833</v>
      </c>
    </row>
    <row r="802" spans="1:4" x14ac:dyDescent="0.25">
      <c r="A802" s="1" t="s">
        <v>3633</v>
      </c>
      <c r="C802" s="1" t="s">
        <v>3633</v>
      </c>
      <c r="D802" s="1" t="s">
        <v>2833</v>
      </c>
    </row>
    <row r="803" spans="1:4" x14ac:dyDescent="0.25">
      <c r="A803" s="1" t="s">
        <v>3634</v>
      </c>
      <c r="C803" s="1" t="s">
        <v>3634</v>
      </c>
      <c r="D803" s="1" t="s">
        <v>2833</v>
      </c>
    </row>
    <row r="804" spans="1:4" x14ac:dyDescent="0.25">
      <c r="A804" s="1" t="s">
        <v>3635</v>
      </c>
      <c r="C804" s="1" t="s">
        <v>3635</v>
      </c>
      <c r="D804" s="1" t="s">
        <v>2833</v>
      </c>
    </row>
    <row r="805" spans="1:4" x14ac:dyDescent="0.25">
      <c r="A805" s="1" t="s">
        <v>3636</v>
      </c>
      <c r="C805" s="1" t="s">
        <v>3636</v>
      </c>
      <c r="D805" s="1" t="s">
        <v>2833</v>
      </c>
    </row>
    <row r="806" spans="1:4" x14ac:dyDescent="0.25">
      <c r="A806" s="1" t="s">
        <v>3637</v>
      </c>
      <c r="C806" s="1" t="s">
        <v>3637</v>
      </c>
      <c r="D806" s="1" t="s">
        <v>2833</v>
      </c>
    </row>
    <row r="807" spans="1:4" x14ac:dyDescent="0.25">
      <c r="A807" s="1" t="s">
        <v>3638</v>
      </c>
      <c r="C807" s="1" t="s">
        <v>3638</v>
      </c>
      <c r="D807" s="1" t="s">
        <v>2833</v>
      </c>
    </row>
    <row r="808" spans="1:4" x14ac:dyDescent="0.25">
      <c r="A808" s="1" t="s">
        <v>3639</v>
      </c>
      <c r="C808" s="1" t="s">
        <v>3639</v>
      </c>
      <c r="D808" s="1" t="s">
        <v>2833</v>
      </c>
    </row>
    <row r="809" spans="1:4" x14ac:dyDescent="0.25">
      <c r="A809" s="1" t="s">
        <v>3640</v>
      </c>
      <c r="C809" s="1" t="s">
        <v>3640</v>
      </c>
      <c r="D809" s="1" t="s">
        <v>2833</v>
      </c>
    </row>
    <row r="810" spans="1:4" x14ac:dyDescent="0.25">
      <c r="A810" s="1" t="s">
        <v>3641</v>
      </c>
      <c r="C810" s="1" t="s">
        <v>3641</v>
      </c>
      <c r="D810" s="1" t="s">
        <v>2833</v>
      </c>
    </row>
    <row r="811" spans="1:4" x14ac:dyDescent="0.25">
      <c r="A811" s="1" t="s">
        <v>3642</v>
      </c>
      <c r="C811" s="1" t="s">
        <v>3642</v>
      </c>
      <c r="D811" s="1" t="s">
        <v>2833</v>
      </c>
    </row>
    <row r="812" spans="1:4" x14ac:dyDescent="0.25">
      <c r="A812" s="1" t="s">
        <v>3643</v>
      </c>
      <c r="C812" s="1" t="s">
        <v>3643</v>
      </c>
      <c r="D812" s="1" t="s">
        <v>2833</v>
      </c>
    </row>
    <row r="813" spans="1:4" x14ac:dyDescent="0.25">
      <c r="A813" s="1" t="s">
        <v>3644</v>
      </c>
      <c r="C813" s="1" t="s">
        <v>3644</v>
      </c>
      <c r="D813" s="1" t="s">
        <v>2833</v>
      </c>
    </row>
    <row r="814" spans="1:4" x14ac:dyDescent="0.25">
      <c r="A814" s="1" t="s">
        <v>3645</v>
      </c>
      <c r="C814" s="1" t="s">
        <v>3645</v>
      </c>
      <c r="D814" s="1" t="s">
        <v>2833</v>
      </c>
    </row>
    <row r="815" spans="1:4" x14ac:dyDescent="0.25">
      <c r="A815" s="1" t="s">
        <v>3646</v>
      </c>
      <c r="C815" s="1" t="s">
        <v>3646</v>
      </c>
      <c r="D815" s="1" t="s">
        <v>2833</v>
      </c>
    </row>
    <row r="816" spans="1:4" x14ac:dyDescent="0.25">
      <c r="A816" s="1" t="s">
        <v>3647</v>
      </c>
      <c r="C816" s="1" t="s">
        <v>3647</v>
      </c>
      <c r="D816" s="1" t="s">
        <v>2833</v>
      </c>
    </row>
    <row r="817" spans="1:4" x14ac:dyDescent="0.25">
      <c r="A817" s="1" t="s">
        <v>3648</v>
      </c>
      <c r="C817" s="1" t="s">
        <v>3648</v>
      </c>
      <c r="D817" s="1" t="s">
        <v>2833</v>
      </c>
    </row>
    <row r="818" spans="1:4" x14ac:dyDescent="0.25">
      <c r="A818" s="1" t="s">
        <v>3649</v>
      </c>
      <c r="C818" s="1" t="s">
        <v>3649</v>
      </c>
      <c r="D818" s="1" t="s">
        <v>2833</v>
      </c>
    </row>
    <row r="819" spans="1:4" x14ac:dyDescent="0.25">
      <c r="A819" s="1" t="s">
        <v>3650</v>
      </c>
      <c r="C819" s="1" t="s">
        <v>3650</v>
      </c>
      <c r="D819" s="1" t="s">
        <v>2833</v>
      </c>
    </row>
    <row r="820" spans="1:4" x14ac:dyDescent="0.25">
      <c r="A820" s="1" t="s">
        <v>3651</v>
      </c>
      <c r="C820" s="1" t="s">
        <v>3651</v>
      </c>
      <c r="D820" s="1" t="s">
        <v>2833</v>
      </c>
    </row>
    <row r="821" spans="1:4" x14ac:dyDescent="0.25">
      <c r="A821" s="1" t="s">
        <v>3652</v>
      </c>
      <c r="C821" s="1" t="s">
        <v>3652</v>
      </c>
      <c r="D821" s="1" t="s">
        <v>2833</v>
      </c>
    </row>
    <row r="822" spans="1:4" x14ac:dyDescent="0.25">
      <c r="A822" s="1" t="s">
        <v>3653</v>
      </c>
      <c r="C822" s="1" t="s">
        <v>3653</v>
      </c>
      <c r="D822" s="1" t="s">
        <v>2833</v>
      </c>
    </row>
    <row r="823" spans="1:4" x14ac:dyDescent="0.25">
      <c r="A823" s="1" t="s">
        <v>3654</v>
      </c>
      <c r="C823" s="1" t="s">
        <v>3654</v>
      </c>
      <c r="D823" s="1" t="s">
        <v>2833</v>
      </c>
    </row>
    <row r="824" spans="1:4" x14ac:dyDescent="0.25">
      <c r="A824" s="1" t="s">
        <v>3655</v>
      </c>
      <c r="C824" s="1" t="s">
        <v>3655</v>
      </c>
      <c r="D824" s="1" t="s">
        <v>2833</v>
      </c>
    </row>
    <row r="825" spans="1:4" x14ac:dyDescent="0.25">
      <c r="A825" s="1" t="s">
        <v>3656</v>
      </c>
      <c r="C825" s="1" t="s">
        <v>3656</v>
      </c>
      <c r="D825" s="1" t="s">
        <v>2833</v>
      </c>
    </row>
    <row r="826" spans="1:4" x14ac:dyDescent="0.25">
      <c r="A826" s="1" t="s">
        <v>3657</v>
      </c>
      <c r="C826" s="1" t="s">
        <v>3657</v>
      </c>
      <c r="D826" s="1" t="s">
        <v>2833</v>
      </c>
    </row>
    <row r="827" spans="1:4" x14ac:dyDescent="0.25">
      <c r="A827" s="1" t="s">
        <v>3658</v>
      </c>
      <c r="C827" s="1" t="s">
        <v>3658</v>
      </c>
      <c r="D827" s="1" t="s">
        <v>2833</v>
      </c>
    </row>
    <row r="828" spans="1:4" x14ac:dyDescent="0.25">
      <c r="A828" s="1" t="s">
        <v>3659</v>
      </c>
      <c r="C828" s="1" t="s">
        <v>3659</v>
      </c>
      <c r="D828" s="1" t="s">
        <v>2833</v>
      </c>
    </row>
    <row r="829" spans="1:4" x14ac:dyDescent="0.25">
      <c r="A829" s="1" t="s">
        <v>3660</v>
      </c>
      <c r="C829" s="1" t="s">
        <v>3660</v>
      </c>
      <c r="D829" s="1" t="s">
        <v>2833</v>
      </c>
    </row>
    <row r="830" spans="1:4" x14ac:dyDescent="0.25">
      <c r="A830" s="1" t="s">
        <v>3661</v>
      </c>
      <c r="C830" s="1" t="s">
        <v>3661</v>
      </c>
      <c r="D830" s="1" t="s">
        <v>2833</v>
      </c>
    </row>
    <row r="831" spans="1:4" x14ac:dyDescent="0.25">
      <c r="A831" s="1" t="s">
        <v>3662</v>
      </c>
      <c r="C831" s="1" t="s">
        <v>3662</v>
      </c>
      <c r="D831" s="1" t="s">
        <v>2833</v>
      </c>
    </row>
    <row r="832" spans="1:4" x14ac:dyDescent="0.25">
      <c r="A832" s="1" t="s">
        <v>3663</v>
      </c>
      <c r="C832" s="1" t="s">
        <v>3663</v>
      </c>
      <c r="D832" s="1" t="s">
        <v>2833</v>
      </c>
    </row>
    <row r="833" spans="1:4" x14ac:dyDescent="0.25">
      <c r="A833" s="1" t="s">
        <v>3664</v>
      </c>
      <c r="C833" s="1" t="s">
        <v>3664</v>
      </c>
      <c r="D833" s="1" t="s">
        <v>2833</v>
      </c>
    </row>
    <row r="834" spans="1:4" x14ac:dyDescent="0.25">
      <c r="A834" s="1" t="s">
        <v>3665</v>
      </c>
      <c r="C834" s="1" t="s">
        <v>3665</v>
      </c>
      <c r="D834" s="1" t="s">
        <v>2833</v>
      </c>
    </row>
    <row r="835" spans="1:4" x14ac:dyDescent="0.25">
      <c r="A835" s="1" t="s">
        <v>3666</v>
      </c>
      <c r="C835" s="1" t="s">
        <v>3666</v>
      </c>
      <c r="D835" s="1" t="s">
        <v>2833</v>
      </c>
    </row>
    <row r="836" spans="1:4" x14ac:dyDescent="0.25">
      <c r="A836" s="1" t="s">
        <v>3667</v>
      </c>
      <c r="C836" s="1" t="s">
        <v>3667</v>
      </c>
      <c r="D836" s="1" t="s">
        <v>2833</v>
      </c>
    </row>
    <row r="837" spans="1:4" x14ac:dyDescent="0.25">
      <c r="A837" s="1" t="s">
        <v>3668</v>
      </c>
      <c r="C837" s="1" t="s">
        <v>3668</v>
      </c>
      <c r="D837" s="1" t="s">
        <v>2833</v>
      </c>
    </row>
    <row r="838" spans="1:4" x14ac:dyDescent="0.25">
      <c r="A838" s="1" t="s">
        <v>3669</v>
      </c>
      <c r="C838" s="1" t="s">
        <v>3669</v>
      </c>
      <c r="D838" s="1" t="s">
        <v>2833</v>
      </c>
    </row>
    <row r="839" spans="1:4" x14ac:dyDescent="0.25">
      <c r="A839" s="1" t="s">
        <v>3670</v>
      </c>
      <c r="C839" s="1" t="s">
        <v>3670</v>
      </c>
      <c r="D839" s="1" t="s">
        <v>2833</v>
      </c>
    </row>
    <row r="840" spans="1:4" x14ac:dyDescent="0.25">
      <c r="A840" s="1" t="s">
        <v>3671</v>
      </c>
      <c r="C840" s="1" t="s">
        <v>3671</v>
      </c>
      <c r="D840" s="1" t="s">
        <v>2833</v>
      </c>
    </row>
    <row r="841" spans="1:4" x14ac:dyDescent="0.25">
      <c r="A841" s="1" t="s">
        <v>3672</v>
      </c>
      <c r="C841" s="1" t="s">
        <v>3672</v>
      </c>
      <c r="D841" s="1" t="s">
        <v>2833</v>
      </c>
    </row>
    <row r="842" spans="1:4" x14ac:dyDescent="0.25">
      <c r="A842" s="1" t="s">
        <v>3673</v>
      </c>
      <c r="C842" s="1" t="s">
        <v>3673</v>
      </c>
      <c r="D842" s="1" t="s">
        <v>2833</v>
      </c>
    </row>
    <row r="843" spans="1:4" x14ac:dyDescent="0.25">
      <c r="A843" s="1" t="s">
        <v>3674</v>
      </c>
      <c r="C843" s="1" t="s">
        <v>3674</v>
      </c>
      <c r="D843" s="1" t="s">
        <v>2833</v>
      </c>
    </row>
    <row r="844" spans="1:4" x14ac:dyDescent="0.25">
      <c r="A844" s="1" t="s">
        <v>3675</v>
      </c>
      <c r="C844" s="1" t="s">
        <v>3675</v>
      </c>
      <c r="D844" s="1" t="s">
        <v>2833</v>
      </c>
    </row>
    <row r="845" spans="1:4" x14ac:dyDescent="0.25">
      <c r="A845" s="1" t="s">
        <v>3676</v>
      </c>
      <c r="C845" s="1" t="s">
        <v>3676</v>
      </c>
      <c r="D845" s="1" t="s">
        <v>2833</v>
      </c>
    </row>
    <row r="846" spans="1:4" x14ac:dyDescent="0.25">
      <c r="A846" s="1" t="s">
        <v>3677</v>
      </c>
      <c r="C846" s="1" t="s">
        <v>3677</v>
      </c>
      <c r="D846" s="1" t="s">
        <v>2833</v>
      </c>
    </row>
    <row r="847" spans="1:4" x14ac:dyDescent="0.25">
      <c r="A847" s="1" t="s">
        <v>3678</v>
      </c>
      <c r="C847" s="1" t="s">
        <v>3678</v>
      </c>
      <c r="D847" s="1" t="s">
        <v>2833</v>
      </c>
    </row>
    <row r="848" spans="1:4" x14ac:dyDescent="0.25">
      <c r="A848" s="1" t="s">
        <v>3679</v>
      </c>
      <c r="C848" s="1" t="s">
        <v>3679</v>
      </c>
      <c r="D848" s="1" t="s">
        <v>2833</v>
      </c>
    </row>
    <row r="849" spans="1:4" x14ac:dyDescent="0.25">
      <c r="A849" s="1" t="s">
        <v>3680</v>
      </c>
      <c r="C849" s="1" t="s">
        <v>3680</v>
      </c>
      <c r="D849" s="1" t="s">
        <v>2833</v>
      </c>
    </row>
    <row r="850" spans="1:4" x14ac:dyDescent="0.25">
      <c r="A850" s="1" t="s">
        <v>3681</v>
      </c>
      <c r="C850" s="1" t="s">
        <v>3681</v>
      </c>
      <c r="D850" s="1" t="s">
        <v>2833</v>
      </c>
    </row>
    <row r="851" spans="1:4" x14ac:dyDescent="0.25">
      <c r="A851" s="1" t="s">
        <v>3682</v>
      </c>
      <c r="C851" s="1" t="s">
        <v>3682</v>
      </c>
      <c r="D851" s="1" t="s">
        <v>2833</v>
      </c>
    </row>
    <row r="852" spans="1:4" x14ac:dyDescent="0.25">
      <c r="A852" s="1" t="s">
        <v>3683</v>
      </c>
      <c r="C852" s="1" t="s">
        <v>3683</v>
      </c>
      <c r="D852" s="1" t="s">
        <v>2833</v>
      </c>
    </row>
    <row r="853" spans="1:4" x14ac:dyDescent="0.25">
      <c r="A853" s="1" t="s">
        <v>3684</v>
      </c>
      <c r="C853" s="1" t="s">
        <v>3684</v>
      </c>
      <c r="D853" s="1" t="s">
        <v>2833</v>
      </c>
    </row>
    <row r="854" spans="1:4" x14ac:dyDescent="0.25">
      <c r="A854" s="1" t="s">
        <v>3685</v>
      </c>
      <c r="C854" s="1" t="s">
        <v>3685</v>
      </c>
      <c r="D854" s="1" t="s">
        <v>2833</v>
      </c>
    </row>
    <row r="855" spans="1:4" x14ac:dyDescent="0.25">
      <c r="A855" s="1" t="s">
        <v>3686</v>
      </c>
      <c r="C855" s="1" t="s">
        <v>3686</v>
      </c>
      <c r="D855" s="1" t="s">
        <v>2833</v>
      </c>
    </row>
    <row r="856" spans="1:4" x14ac:dyDescent="0.25">
      <c r="A856" s="1" t="s">
        <v>3687</v>
      </c>
      <c r="C856" s="1" t="s">
        <v>3687</v>
      </c>
      <c r="D856" s="1" t="s">
        <v>2833</v>
      </c>
    </row>
    <row r="857" spans="1:4" x14ac:dyDescent="0.25">
      <c r="A857" s="1" t="s">
        <v>3688</v>
      </c>
      <c r="C857" s="1" t="s">
        <v>3688</v>
      </c>
      <c r="D857" s="1" t="s">
        <v>2833</v>
      </c>
    </row>
    <row r="858" spans="1:4" x14ac:dyDescent="0.25">
      <c r="A858" s="1" t="s">
        <v>3689</v>
      </c>
      <c r="C858" s="1" t="s">
        <v>3689</v>
      </c>
      <c r="D858" s="1" t="s">
        <v>2833</v>
      </c>
    </row>
    <row r="859" spans="1:4" x14ac:dyDescent="0.25">
      <c r="A859" s="1" t="s">
        <v>3690</v>
      </c>
      <c r="C859" s="1" t="s">
        <v>3690</v>
      </c>
      <c r="D859" s="1" t="s">
        <v>2833</v>
      </c>
    </row>
    <row r="860" spans="1:4" x14ac:dyDescent="0.25">
      <c r="A860" s="1" t="s">
        <v>3691</v>
      </c>
      <c r="C860" s="1" t="s">
        <v>3691</v>
      </c>
      <c r="D860" s="1" t="s">
        <v>2833</v>
      </c>
    </row>
    <row r="861" spans="1:4" x14ac:dyDescent="0.25">
      <c r="A861" s="1" t="s">
        <v>3692</v>
      </c>
      <c r="C861" s="1" t="s">
        <v>3692</v>
      </c>
      <c r="D861" s="1" t="s">
        <v>2833</v>
      </c>
    </row>
    <row r="862" spans="1:4" x14ac:dyDescent="0.25">
      <c r="A862" s="1" t="s">
        <v>3693</v>
      </c>
      <c r="C862" s="1" t="s">
        <v>3693</v>
      </c>
      <c r="D862" s="1" t="s">
        <v>2833</v>
      </c>
    </row>
    <row r="863" spans="1:4" x14ac:dyDescent="0.25">
      <c r="A863" s="1" t="s">
        <v>3694</v>
      </c>
      <c r="C863" s="1" t="s">
        <v>3694</v>
      </c>
      <c r="D863" s="1" t="s">
        <v>2833</v>
      </c>
    </row>
    <row r="864" spans="1:4" x14ac:dyDescent="0.25">
      <c r="A864" s="1" t="s">
        <v>3695</v>
      </c>
      <c r="C864" s="1" t="s">
        <v>3695</v>
      </c>
      <c r="D864" s="1" t="s">
        <v>2833</v>
      </c>
    </row>
    <row r="865" spans="1:4" x14ac:dyDescent="0.25">
      <c r="A865" s="1" t="s">
        <v>3696</v>
      </c>
      <c r="C865" s="1" t="s">
        <v>3696</v>
      </c>
      <c r="D865" s="1" t="s">
        <v>2833</v>
      </c>
    </row>
    <row r="866" spans="1:4" x14ac:dyDescent="0.25">
      <c r="A866" s="1" t="s">
        <v>3697</v>
      </c>
      <c r="C866" s="1" t="s">
        <v>3697</v>
      </c>
      <c r="D866" s="1" t="s">
        <v>2833</v>
      </c>
    </row>
    <row r="867" spans="1:4" x14ac:dyDescent="0.25">
      <c r="A867" s="1" t="s">
        <v>3698</v>
      </c>
      <c r="C867" s="1" t="s">
        <v>3698</v>
      </c>
      <c r="D867" s="1" t="s">
        <v>2833</v>
      </c>
    </row>
    <row r="868" spans="1:4" x14ac:dyDescent="0.25">
      <c r="A868" s="1" t="s">
        <v>3699</v>
      </c>
      <c r="C868" s="1" t="s">
        <v>3699</v>
      </c>
      <c r="D868" s="1" t="s">
        <v>2833</v>
      </c>
    </row>
    <row r="869" spans="1:4" x14ac:dyDescent="0.25">
      <c r="A869" s="1" t="s">
        <v>3700</v>
      </c>
      <c r="C869" s="1" t="s">
        <v>3700</v>
      </c>
      <c r="D869" s="1" t="s">
        <v>2833</v>
      </c>
    </row>
    <row r="870" spans="1:4" x14ac:dyDescent="0.25">
      <c r="A870" s="1" t="s">
        <v>3701</v>
      </c>
      <c r="C870" s="1" t="s">
        <v>3701</v>
      </c>
      <c r="D870" s="1" t="s">
        <v>2833</v>
      </c>
    </row>
    <row r="871" spans="1:4" x14ac:dyDescent="0.25">
      <c r="A871" s="1" t="s">
        <v>3702</v>
      </c>
      <c r="C871" s="1" t="s">
        <v>3702</v>
      </c>
      <c r="D871" s="1" t="s">
        <v>2833</v>
      </c>
    </row>
    <row r="872" spans="1:4" x14ac:dyDescent="0.25">
      <c r="A872" s="1" t="s">
        <v>3703</v>
      </c>
      <c r="C872" s="1" t="s">
        <v>3703</v>
      </c>
      <c r="D872" s="1" t="s">
        <v>2833</v>
      </c>
    </row>
    <row r="873" spans="1:4" x14ac:dyDescent="0.25">
      <c r="A873" s="1" t="s">
        <v>3704</v>
      </c>
      <c r="C873" s="1" t="s">
        <v>3704</v>
      </c>
      <c r="D873" s="1" t="s">
        <v>2833</v>
      </c>
    </row>
    <row r="874" spans="1:4" x14ac:dyDescent="0.25">
      <c r="A874" s="1" t="s">
        <v>3705</v>
      </c>
      <c r="C874" s="1" t="s">
        <v>3705</v>
      </c>
      <c r="D874" s="1" t="s">
        <v>2833</v>
      </c>
    </row>
    <row r="875" spans="1:4" x14ac:dyDescent="0.25">
      <c r="A875" s="1" t="s">
        <v>3706</v>
      </c>
      <c r="C875" s="1" t="s">
        <v>3706</v>
      </c>
      <c r="D875" s="1" t="s">
        <v>2833</v>
      </c>
    </row>
    <row r="876" spans="1:4" x14ac:dyDescent="0.25">
      <c r="A876" s="1" t="s">
        <v>3707</v>
      </c>
      <c r="C876" s="1" t="s">
        <v>3707</v>
      </c>
      <c r="D876" s="1" t="s">
        <v>2833</v>
      </c>
    </row>
    <row r="877" spans="1:4" x14ac:dyDescent="0.25">
      <c r="A877" s="1" t="s">
        <v>3708</v>
      </c>
      <c r="C877" s="1" t="s">
        <v>3708</v>
      </c>
      <c r="D877" s="1" t="s">
        <v>2833</v>
      </c>
    </row>
    <row r="878" spans="1:4" x14ac:dyDescent="0.25">
      <c r="A878" s="1" t="s">
        <v>3709</v>
      </c>
      <c r="C878" s="1" t="s">
        <v>3709</v>
      </c>
      <c r="D878" s="1" t="s">
        <v>2833</v>
      </c>
    </row>
    <row r="879" spans="1:4" x14ac:dyDescent="0.25">
      <c r="A879" s="1" t="s">
        <v>3710</v>
      </c>
      <c r="C879" s="1" t="s">
        <v>3710</v>
      </c>
      <c r="D879" s="1" t="s">
        <v>2833</v>
      </c>
    </row>
    <row r="880" spans="1:4" x14ac:dyDescent="0.25">
      <c r="A880" s="1" t="s">
        <v>3711</v>
      </c>
      <c r="C880" s="1" t="s">
        <v>3711</v>
      </c>
      <c r="D880" s="1" t="s">
        <v>2833</v>
      </c>
    </row>
    <row r="881" spans="1:4" x14ac:dyDescent="0.25">
      <c r="A881" s="1" t="s">
        <v>3712</v>
      </c>
      <c r="C881" s="1" t="s">
        <v>3712</v>
      </c>
      <c r="D881" s="1" t="s">
        <v>2833</v>
      </c>
    </row>
    <row r="882" spans="1:4" x14ac:dyDescent="0.25">
      <c r="A882" s="1" t="s">
        <v>3713</v>
      </c>
      <c r="C882" s="1" t="s">
        <v>3713</v>
      </c>
      <c r="D882" s="1" t="s">
        <v>2833</v>
      </c>
    </row>
    <row r="883" spans="1:4" x14ac:dyDescent="0.25">
      <c r="A883" s="1" t="s">
        <v>3714</v>
      </c>
      <c r="C883" s="1" t="s">
        <v>3714</v>
      </c>
      <c r="D883" s="1" t="s">
        <v>2833</v>
      </c>
    </row>
    <row r="884" spans="1:4" x14ac:dyDescent="0.25">
      <c r="A884" s="1" t="s">
        <v>3715</v>
      </c>
      <c r="C884" s="1" t="s">
        <v>3715</v>
      </c>
      <c r="D884" s="1" t="s">
        <v>2833</v>
      </c>
    </row>
    <row r="885" spans="1:4" x14ac:dyDescent="0.25">
      <c r="A885" s="1" t="s">
        <v>3716</v>
      </c>
      <c r="C885" s="1" t="s">
        <v>3716</v>
      </c>
      <c r="D885" s="1" t="s">
        <v>2833</v>
      </c>
    </row>
    <row r="886" spans="1:4" x14ac:dyDescent="0.25">
      <c r="A886" s="1" t="s">
        <v>3717</v>
      </c>
      <c r="C886" s="1" t="s">
        <v>3717</v>
      </c>
      <c r="D886" s="1" t="s">
        <v>2833</v>
      </c>
    </row>
    <row r="887" spans="1:4" x14ac:dyDescent="0.25">
      <c r="A887" s="1" t="s">
        <v>3718</v>
      </c>
      <c r="C887" s="1" t="s">
        <v>3718</v>
      </c>
      <c r="D887" s="1" t="s">
        <v>2833</v>
      </c>
    </row>
    <row r="888" spans="1:4" x14ac:dyDescent="0.25">
      <c r="A888" s="1" t="s">
        <v>3719</v>
      </c>
      <c r="C888" s="1" t="s">
        <v>3719</v>
      </c>
      <c r="D888" s="1" t="s">
        <v>2833</v>
      </c>
    </row>
    <row r="889" spans="1:4" x14ac:dyDescent="0.25">
      <c r="A889" s="1" t="s">
        <v>3720</v>
      </c>
      <c r="C889" s="1" t="s">
        <v>3720</v>
      </c>
      <c r="D889" s="1" t="s">
        <v>2833</v>
      </c>
    </row>
    <row r="890" spans="1:4" x14ac:dyDescent="0.25">
      <c r="A890" s="1" t="s">
        <v>3721</v>
      </c>
      <c r="C890" s="1" t="s">
        <v>3721</v>
      </c>
      <c r="D890" s="1" t="s">
        <v>2833</v>
      </c>
    </row>
    <row r="891" spans="1:4" x14ac:dyDescent="0.25">
      <c r="A891" s="1" t="s">
        <v>3722</v>
      </c>
      <c r="C891" s="1" t="s">
        <v>3722</v>
      </c>
      <c r="D891" s="1" t="s">
        <v>2833</v>
      </c>
    </row>
    <row r="892" spans="1:4" x14ac:dyDescent="0.25">
      <c r="A892" s="1" t="s">
        <v>3723</v>
      </c>
      <c r="C892" s="1" t="s">
        <v>3723</v>
      </c>
      <c r="D892" s="1" t="s">
        <v>2833</v>
      </c>
    </row>
    <row r="893" spans="1:4" x14ac:dyDescent="0.25">
      <c r="A893" s="1" t="s">
        <v>3724</v>
      </c>
      <c r="C893" s="1" t="s">
        <v>3724</v>
      </c>
      <c r="D893" s="1" t="s">
        <v>2833</v>
      </c>
    </row>
    <row r="894" spans="1:4" x14ac:dyDescent="0.25">
      <c r="A894" s="1" t="s">
        <v>3725</v>
      </c>
      <c r="C894" s="1" t="s">
        <v>3725</v>
      </c>
      <c r="D894" s="1" t="s">
        <v>2833</v>
      </c>
    </row>
    <row r="895" spans="1:4" x14ac:dyDescent="0.25">
      <c r="A895" s="1" t="s">
        <v>3726</v>
      </c>
      <c r="C895" s="1" t="s">
        <v>3726</v>
      </c>
      <c r="D895" s="1" t="s">
        <v>2833</v>
      </c>
    </row>
    <row r="896" spans="1:4" x14ac:dyDescent="0.25">
      <c r="A896" s="1" t="s">
        <v>3727</v>
      </c>
      <c r="C896" s="1" t="s">
        <v>3727</v>
      </c>
      <c r="D896" s="1" t="s">
        <v>2833</v>
      </c>
    </row>
    <row r="897" spans="1:4" x14ac:dyDescent="0.25">
      <c r="A897" s="1" t="s">
        <v>3728</v>
      </c>
      <c r="C897" s="1" t="s">
        <v>3728</v>
      </c>
      <c r="D897" s="1" t="s">
        <v>2833</v>
      </c>
    </row>
    <row r="898" spans="1:4" x14ac:dyDescent="0.25">
      <c r="A898" s="1" t="s">
        <v>3729</v>
      </c>
      <c r="C898" s="1" t="s">
        <v>3729</v>
      </c>
      <c r="D898" s="1" t="s">
        <v>2833</v>
      </c>
    </row>
    <row r="899" spans="1:4" x14ac:dyDescent="0.25">
      <c r="A899" s="1" t="s">
        <v>3730</v>
      </c>
      <c r="C899" s="1" t="s">
        <v>3730</v>
      </c>
      <c r="D899" s="1" t="s">
        <v>2833</v>
      </c>
    </row>
    <row r="900" spans="1:4" x14ac:dyDescent="0.25">
      <c r="A900" s="1" t="s">
        <v>3731</v>
      </c>
      <c r="C900" s="1" t="s">
        <v>3731</v>
      </c>
      <c r="D900" s="1" t="s">
        <v>2833</v>
      </c>
    </row>
    <row r="901" spans="1:4" x14ac:dyDescent="0.25">
      <c r="A901" s="1" t="s">
        <v>3732</v>
      </c>
      <c r="C901" s="1" t="s">
        <v>3732</v>
      </c>
      <c r="D901" s="1" t="s">
        <v>2833</v>
      </c>
    </row>
    <row r="902" spans="1:4" x14ac:dyDescent="0.25">
      <c r="A902" s="1" t="s">
        <v>3733</v>
      </c>
      <c r="C902" s="1" t="s">
        <v>3733</v>
      </c>
      <c r="D902" s="1" t="s">
        <v>2833</v>
      </c>
    </row>
    <row r="903" spans="1:4" x14ac:dyDescent="0.25">
      <c r="A903" s="1" t="s">
        <v>3734</v>
      </c>
      <c r="C903" s="1" t="s">
        <v>3734</v>
      </c>
      <c r="D903" s="1" t="s">
        <v>2833</v>
      </c>
    </row>
    <row r="904" spans="1:4" x14ac:dyDescent="0.25">
      <c r="A904" s="1" t="s">
        <v>3735</v>
      </c>
      <c r="C904" s="1" t="s">
        <v>3735</v>
      </c>
      <c r="D904" s="1" t="s">
        <v>2833</v>
      </c>
    </row>
    <row r="905" spans="1:4" x14ac:dyDescent="0.25">
      <c r="A905" s="1" t="s">
        <v>3736</v>
      </c>
      <c r="C905" s="1" t="s">
        <v>3736</v>
      </c>
      <c r="D905" s="1" t="s">
        <v>2833</v>
      </c>
    </row>
    <row r="906" spans="1:4" x14ac:dyDescent="0.25">
      <c r="A906" s="1" t="s">
        <v>3737</v>
      </c>
      <c r="C906" s="1" t="s">
        <v>3737</v>
      </c>
      <c r="D906" s="1" t="s">
        <v>2833</v>
      </c>
    </row>
    <row r="907" spans="1:4" x14ac:dyDescent="0.25">
      <c r="A907" s="1" t="s">
        <v>3738</v>
      </c>
      <c r="C907" s="1" t="s">
        <v>3738</v>
      </c>
      <c r="D907" s="1" t="s">
        <v>2833</v>
      </c>
    </row>
    <row r="908" spans="1:4" x14ac:dyDescent="0.25">
      <c r="A908" s="1" t="s">
        <v>3739</v>
      </c>
      <c r="C908" s="1" t="s">
        <v>3739</v>
      </c>
      <c r="D908" s="1" t="s">
        <v>2833</v>
      </c>
    </row>
    <row r="909" spans="1:4" x14ac:dyDescent="0.25">
      <c r="A909" s="1" t="s">
        <v>3740</v>
      </c>
      <c r="C909" s="1" t="s">
        <v>3740</v>
      </c>
      <c r="D909" s="1" t="s">
        <v>2833</v>
      </c>
    </row>
    <row r="910" spans="1:4" x14ac:dyDescent="0.25">
      <c r="A910" s="1" t="s">
        <v>3741</v>
      </c>
      <c r="C910" s="1" t="s">
        <v>3741</v>
      </c>
      <c r="D910" s="1" t="s">
        <v>2833</v>
      </c>
    </row>
    <row r="911" spans="1:4" x14ac:dyDescent="0.25">
      <c r="A911" s="1" t="s">
        <v>3742</v>
      </c>
      <c r="C911" s="1" t="s">
        <v>3742</v>
      </c>
      <c r="D911" s="1" t="s">
        <v>2833</v>
      </c>
    </row>
    <row r="912" spans="1:4" x14ac:dyDescent="0.25">
      <c r="A912" s="1" t="s">
        <v>3743</v>
      </c>
      <c r="C912" s="1" t="s">
        <v>3743</v>
      </c>
      <c r="D912" s="1" t="s">
        <v>2833</v>
      </c>
    </row>
    <row r="913" spans="1:4" x14ac:dyDescent="0.25">
      <c r="A913" s="1" t="s">
        <v>3744</v>
      </c>
      <c r="C913" s="1" t="s">
        <v>3744</v>
      </c>
      <c r="D913" s="1" t="s">
        <v>2833</v>
      </c>
    </row>
    <row r="914" spans="1:4" x14ac:dyDescent="0.25">
      <c r="A914" s="1" t="s">
        <v>3745</v>
      </c>
      <c r="C914" s="1" t="s">
        <v>3745</v>
      </c>
      <c r="D914" s="1" t="s">
        <v>2833</v>
      </c>
    </row>
    <row r="915" spans="1:4" x14ac:dyDescent="0.25">
      <c r="A915" s="1" t="s">
        <v>3746</v>
      </c>
      <c r="C915" s="1" t="s">
        <v>3746</v>
      </c>
      <c r="D915" s="1" t="s">
        <v>2833</v>
      </c>
    </row>
    <row r="916" spans="1:4" x14ac:dyDescent="0.25">
      <c r="A916" s="1" t="s">
        <v>3747</v>
      </c>
      <c r="C916" s="1" t="s">
        <v>3747</v>
      </c>
      <c r="D916" s="1" t="s">
        <v>2833</v>
      </c>
    </row>
    <row r="917" spans="1:4" x14ac:dyDescent="0.25">
      <c r="A917" s="1" t="s">
        <v>3748</v>
      </c>
      <c r="C917" s="1" t="s">
        <v>3748</v>
      </c>
      <c r="D917" s="1" t="s">
        <v>2833</v>
      </c>
    </row>
    <row r="918" spans="1:4" x14ac:dyDescent="0.25">
      <c r="A918" s="1" t="s">
        <v>3749</v>
      </c>
      <c r="C918" s="1" t="s">
        <v>3749</v>
      </c>
      <c r="D918" s="1" t="s">
        <v>2833</v>
      </c>
    </row>
    <row r="919" spans="1:4" x14ac:dyDescent="0.25">
      <c r="A919" s="1" t="s">
        <v>3750</v>
      </c>
      <c r="C919" s="1" t="s">
        <v>3750</v>
      </c>
      <c r="D919" s="1" t="s">
        <v>2833</v>
      </c>
    </row>
    <row r="920" spans="1:4" x14ac:dyDescent="0.25">
      <c r="A920" s="1" t="s">
        <v>3751</v>
      </c>
      <c r="C920" s="1" t="s">
        <v>3751</v>
      </c>
      <c r="D920" s="1" t="s">
        <v>2833</v>
      </c>
    </row>
    <row r="921" spans="1:4" x14ac:dyDescent="0.25">
      <c r="A921" s="1" t="s">
        <v>3752</v>
      </c>
      <c r="C921" s="1" t="s">
        <v>3752</v>
      </c>
      <c r="D921" s="1" t="s">
        <v>2833</v>
      </c>
    </row>
    <row r="922" spans="1:4" x14ac:dyDescent="0.25">
      <c r="A922" s="1" t="s">
        <v>3753</v>
      </c>
      <c r="C922" s="1" t="s">
        <v>3753</v>
      </c>
      <c r="D922" s="1" t="s">
        <v>2833</v>
      </c>
    </row>
    <row r="923" spans="1:4" x14ac:dyDescent="0.25">
      <c r="A923" s="1" t="s">
        <v>3754</v>
      </c>
      <c r="C923" s="1" t="s">
        <v>3754</v>
      </c>
      <c r="D923" s="1" t="s">
        <v>2833</v>
      </c>
    </row>
    <row r="924" spans="1:4" x14ac:dyDescent="0.25">
      <c r="A924" s="1" t="s">
        <v>3755</v>
      </c>
      <c r="C924" s="1" t="s">
        <v>3755</v>
      </c>
      <c r="D924" s="1" t="s">
        <v>2833</v>
      </c>
    </row>
    <row r="925" spans="1:4" x14ac:dyDescent="0.25">
      <c r="A925" s="1" t="s">
        <v>3756</v>
      </c>
      <c r="C925" s="1" t="s">
        <v>3756</v>
      </c>
      <c r="D925" s="1" t="s">
        <v>2833</v>
      </c>
    </row>
    <row r="926" spans="1:4" x14ac:dyDescent="0.25">
      <c r="A926" s="1" t="s">
        <v>3757</v>
      </c>
      <c r="C926" s="1" t="s">
        <v>3757</v>
      </c>
      <c r="D926" s="1" t="s">
        <v>2833</v>
      </c>
    </row>
    <row r="927" spans="1:4" x14ac:dyDescent="0.25">
      <c r="A927" s="1" t="s">
        <v>3758</v>
      </c>
      <c r="C927" s="1" t="s">
        <v>3758</v>
      </c>
      <c r="D927" s="1" t="s">
        <v>2833</v>
      </c>
    </row>
    <row r="928" spans="1:4" x14ac:dyDescent="0.25">
      <c r="A928" s="1" t="s">
        <v>3759</v>
      </c>
      <c r="C928" s="1" t="s">
        <v>3759</v>
      </c>
      <c r="D928" s="1" t="s">
        <v>2833</v>
      </c>
    </row>
    <row r="929" spans="1:4" x14ac:dyDescent="0.25">
      <c r="A929" s="1" t="s">
        <v>3760</v>
      </c>
      <c r="C929" s="1" t="s">
        <v>3760</v>
      </c>
      <c r="D929" s="1" t="s">
        <v>2833</v>
      </c>
    </row>
    <row r="930" spans="1:4" x14ac:dyDescent="0.25">
      <c r="A930" s="1" t="s">
        <v>3761</v>
      </c>
      <c r="C930" s="1" t="s">
        <v>3761</v>
      </c>
      <c r="D930" s="1" t="s">
        <v>2833</v>
      </c>
    </row>
    <row r="931" spans="1:4" x14ac:dyDescent="0.25">
      <c r="A931" s="1" t="s">
        <v>3762</v>
      </c>
      <c r="C931" s="1" t="s">
        <v>3762</v>
      </c>
      <c r="D931" s="1" t="s">
        <v>2833</v>
      </c>
    </row>
    <row r="932" spans="1:4" x14ac:dyDescent="0.25">
      <c r="A932" s="1" t="s">
        <v>3763</v>
      </c>
      <c r="C932" s="1" t="s">
        <v>3763</v>
      </c>
      <c r="D932" s="1" t="s">
        <v>2833</v>
      </c>
    </row>
    <row r="933" spans="1:4" x14ac:dyDescent="0.25">
      <c r="A933" s="1" t="s">
        <v>3764</v>
      </c>
      <c r="C933" s="1" t="s">
        <v>3764</v>
      </c>
      <c r="D933" s="1" t="s">
        <v>2833</v>
      </c>
    </row>
    <row r="934" spans="1:4" x14ac:dyDescent="0.25">
      <c r="A934" s="1" t="s">
        <v>3765</v>
      </c>
      <c r="C934" s="1" t="s">
        <v>3765</v>
      </c>
      <c r="D934" s="1" t="s">
        <v>2833</v>
      </c>
    </row>
    <row r="935" spans="1:4" x14ac:dyDescent="0.25">
      <c r="A935" s="1" t="s">
        <v>3766</v>
      </c>
      <c r="C935" s="1" t="s">
        <v>3766</v>
      </c>
      <c r="D935" s="1" t="s">
        <v>2833</v>
      </c>
    </row>
    <row r="936" spans="1:4" x14ac:dyDescent="0.25">
      <c r="A936" s="1" t="s">
        <v>3767</v>
      </c>
      <c r="C936" s="1" t="s">
        <v>3767</v>
      </c>
      <c r="D936" s="1" t="s">
        <v>2833</v>
      </c>
    </row>
    <row r="937" spans="1:4" x14ac:dyDescent="0.25">
      <c r="A937" s="1" t="s">
        <v>3768</v>
      </c>
      <c r="C937" s="1" t="s">
        <v>3768</v>
      </c>
      <c r="D937" s="1" t="s">
        <v>2833</v>
      </c>
    </row>
    <row r="938" spans="1:4" x14ac:dyDescent="0.25">
      <c r="A938" s="1" t="s">
        <v>3769</v>
      </c>
      <c r="C938" s="1" t="s">
        <v>3769</v>
      </c>
      <c r="D938" s="1" t="s">
        <v>2833</v>
      </c>
    </row>
    <row r="939" spans="1:4" x14ac:dyDescent="0.25">
      <c r="A939" s="1" t="s">
        <v>3770</v>
      </c>
      <c r="C939" s="1" t="s">
        <v>3770</v>
      </c>
      <c r="D939" s="1" t="s">
        <v>2833</v>
      </c>
    </row>
    <row r="940" spans="1:4" x14ac:dyDescent="0.25">
      <c r="A940" s="1" t="s">
        <v>3771</v>
      </c>
      <c r="C940" s="1" t="s">
        <v>3771</v>
      </c>
      <c r="D940" s="1" t="s">
        <v>2833</v>
      </c>
    </row>
    <row r="941" spans="1:4" x14ac:dyDescent="0.25">
      <c r="A941" s="1" t="s">
        <v>3772</v>
      </c>
      <c r="C941" s="1" t="s">
        <v>3772</v>
      </c>
      <c r="D941" s="1" t="s">
        <v>2833</v>
      </c>
    </row>
    <row r="942" spans="1:4" x14ac:dyDescent="0.25">
      <c r="A942" s="1" t="s">
        <v>3773</v>
      </c>
      <c r="C942" s="1" t="s">
        <v>3773</v>
      </c>
      <c r="D942" s="1" t="s">
        <v>2833</v>
      </c>
    </row>
    <row r="943" spans="1:4" x14ac:dyDescent="0.25">
      <c r="A943" s="1" t="s">
        <v>3774</v>
      </c>
      <c r="C943" s="1" t="s">
        <v>3774</v>
      </c>
      <c r="D943" s="1" t="s">
        <v>2833</v>
      </c>
    </row>
    <row r="944" spans="1:4" x14ac:dyDescent="0.25">
      <c r="A944" s="1" t="s">
        <v>3775</v>
      </c>
      <c r="C944" s="1" t="s">
        <v>3775</v>
      </c>
      <c r="D944" s="1" t="s">
        <v>2833</v>
      </c>
    </row>
    <row r="945" spans="1:4" x14ac:dyDescent="0.25">
      <c r="A945" s="1" t="s">
        <v>3776</v>
      </c>
      <c r="C945" s="1" t="s">
        <v>3776</v>
      </c>
      <c r="D945" s="1" t="s">
        <v>2833</v>
      </c>
    </row>
    <row r="946" spans="1:4" x14ac:dyDescent="0.25">
      <c r="A946" s="1" t="s">
        <v>3777</v>
      </c>
      <c r="C946" s="1" t="s">
        <v>3777</v>
      </c>
      <c r="D946" s="1" t="s">
        <v>2833</v>
      </c>
    </row>
    <row r="947" spans="1:4" x14ac:dyDescent="0.25">
      <c r="A947" s="1" t="s">
        <v>3778</v>
      </c>
      <c r="C947" s="1" t="s">
        <v>3778</v>
      </c>
      <c r="D947" s="1" t="s">
        <v>2833</v>
      </c>
    </row>
    <row r="948" spans="1:4" x14ac:dyDescent="0.25">
      <c r="A948" s="1" t="s">
        <v>3779</v>
      </c>
      <c r="C948" s="1" t="s">
        <v>3779</v>
      </c>
      <c r="D948" s="1" t="s">
        <v>2833</v>
      </c>
    </row>
    <row r="949" spans="1:4" x14ac:dyDescent="0.25">
      <c r="A949" s="1" t="s">
        <v>3780</v>
      </c>
      <c r="C949" s="1" t="s">
        <v>3780</v>
      </c>
      <c r="D949" s="1" t="s">
        <v>2833</v>
      </c>
    </row>
    <row r="950" spans="1:4" x14ac:dyDescent="0.25">
      <c r="A950" s="1" t="s">
        <v>3781</v>
      </c>
      <c r="C950" s="1" t="s">
        <v>3781</v>
      </c>
      <c r="D950" s="1" t="s">
        <v>2833</v>
      </c>
    </row>
    <row r="951" spans="1:4" x14ac:dyDescent="0.25">
      <c r="A951" s="1" t="s">
        <v>3782</v>
      </c>
      <c r="C951" s="1" t="s">
        <v>3782</v>
      </c>
      <c r="D951" s="1" t="s">
        <v>2833</v>
      </c>
    </row>
    <row r="952" spans="1:4" x14ac:dyDescent="0.25">
      <c r="A952" s="1" t="s">
        <v>3783</v>
      </c>
      <c r="C952" s="1" t="s">
        <v>3783</v>
      </c>
      <c r="D952" s="1" t="s">
        <v>2833</v>
      </c>
    </row>
    <row r="953" spans="1:4" x14ac:dyDescent="0.25">
      <c r="A953" s="1" t="s">
        <v>3784</v>
      </c>
      <c r="C953" s="1" t="s">
        <v>3784</v>
      </c>
      <c r="D953" s="1" t="s">
        <v>2833</v>
      </c>
    </row>
    <row r="954" spans="1:4" x14ac:dyDescent="0.25">
      <c r="A954" s="1" t="s">
        <v>3785</v>
      </c>
      <c r="C954" s="1" t="s">
        <v>3785</v>
      </c>
      <c r="D954" s="1" t="s">
        <v>2833</v>
      </c>
    </row>
    <row r="955" spans="1:4" x14ac:dyDescent="0.25">
      <c r="A955" s="1" t="s">
        <v>3786</v>
      </c>
      <c r="C955" s="1" t="s">
        <v>3786</v>
      </c>
      <c r="D955" s="1" t="s">
        <v>2833</v>
      </c>
    </row>
    <row r="956" spans="1:4" x14ac:dyDescent="0.25">
      <c r="A956" s="1" t="s">
        <v>3787</v>
      </c>
      <c r="C956" s="1" t="s">
        <v>3787</v>
      </c>
      <c r="D956" s="1" t="s">
        <v>2833</v>
      </c>
    </row>
    <row r="957" spans="1:4" x14ac:dyDescent="0.25">
      <c r="A957" s="1" t="s">
        <v>3788</v>
      </c>
      <c r="C957" s="1" t="s">
        <v>3788</v>
      </c>
      <c r="D957" s="1" t="s">
        <v>2833</v>
      </c>
    </row>
    <row r="958" spans="1:4" x14ac:dyDescent="0.25">
      <c r="A958" s="1" t="s">
        <v>3789</v>
      </c>
      <c r="C958" s="1" t="s">
        <v>3789</v>
      </c>
      <c r="D958" s="1" t="s">
        <v>2833</v>
      </c>
    </row>
    <row r="959" spans="1:4" x14ac:dyDescent="0.25">
      <c r="A959" s="1" t="s">
        <v>3790</v>
      </c>
      <c r="C959" s="1" t="s">
        <v>3790</v>
      </c>
      <c r="D959" s="1" t="s">
        <v>2833</v>
      </c>
    </row>
    <row r="960" spans="1:4" x14ac:dyDescent="0.25">
      <c r="A960" s="1" t="s">
        <v>3791</v>
      </c>
      <c r="C960" s="1" t="s">
        <v>3791</v>
      </c>
      <c r="D960" s="1" t="s">
        <v>2833</v>
      </c>
    </row>
    <row r="961" spans="1:4" x14ac:dyDescent="0.25">
      <c r="A961" s="1" t="s">
        <v>3792</v>
      </c>
      <c r="C961" s="1" t="s">
        <v>3792</v>
      </c>
      <c r="D961" s="1" t="s">
        <v>2833</v>
      </c>
    </row>
    <row r="962" spans="1:4" x14ac:dyDescent="0.25">
      <c r="A962" s="1" t="s">
        <v>3793</v>
      </c>
      <c r="C962" s="1" t="s">
        <v>3793</v>
      </c>
      <c r="D962" s="1" t="s">
        <v>2833</v>
      </c>
    </row>
    <row r="963" spans="1:4" x14ac:dyDescent="0.25">
      <c r="A963" s="1" t="s">
        <v>3794</v>
      </c>
      <c r="C963" s="1" t="s">
        <v>3794</v>
      </c>
      <c r="D963" s="1" t="s">
        <v>2833</v>
      </c>
    </row>
    <row r="964" spans="1:4" x14ac:dyDescent="0.25">
      <c r="A964" s="1" t="s">
        <v>3795</v>
      </c>
      <c r="C964" s="1" t="s">
        <v>3795</v>
      </c>
      <c r="D964" s="1" t="s">
        <v>2833</v>
      </c>
    </row>
    <row r="965" spans="1:4" x14ac:dyDescent="0.25">
      <c r="A965" s="1" t="s">
        <v>3796</v>
      </c>
      <c r="C965" s="1" t="s">
        <v>3796</v>
      </c>
      <c r="D965" s="1" t="s">
        <v>2833</v>
      </c>
    </row>
    <row r="966" spans="1:4" x14ac:dyDescent="0.25">
      <c r="A966" s="1" t="s">
        <v>3797</v>
      </c>
      <c r="C966" s="1" t="s">
        <v>3797</v>
      </c>
      <c r="D966" s="1" t="s">
        <v>2833</v>
      </c>
    </row>
    <row r="967" spans="1:4" x14ac:dyDescent="0.25">
      <c r="A967" s="1" t="s">
        <v>3798</v>
      </c>
      <c r="C967" s="1" t="s">
        <v>3798</v>
      </c>
      <c r="D967" s="1" t="s">
        <v>2833</v>
      </c>
    </row>
    <row r="968" spans="1:4" x14ac:dyDescent="0.25">
      <c r="A968" s="1" t="s">
        <v>3799</v>
      </c>
      <c r="C968" s="1" t="s">
        <v>3799</v>
      </c>
      <c r="D968" s="1" t="s">
        <v>2833</v>
      </c>
    </row>
    <row r="969" spans="1:4" x14ac:dyDescent="0.25">
      <c r="A969" s="1" t="s">
        <v>3800</v>
      </c>
      <c r="C969" s="1" t="s">
        <v>3800</v>
      </c>
      <c r="D969" s="1" t="s">
        <v>2833</v>
      </c>
    </row>
    <row r="970" spans="1:4" x14ac:dyDescent="0.25">
      <c r="A970" s="1" t="s">
        <v>3801</v>
      </c>
      <c r="C970" s="1" t="s">
        <v>3801</v>
      </c>
      <c r="D970" s="1" t="s">
        <v>2833</v>
      </c>
    </row>
    <row r="971" spans="1:4" x14ac:dyDescent="0.25">
      <c r="A971" s="1" t="s">
        <v>3802</v>
      </c>
      <c r="C971" s="1" t="s">
        <v>3802</v>
      </c>
      <c r="D971" s="1" t="s">
        <v>2833</v>
      </c>
    </row>
    <row r="972" spans="1:4" x14ac:dyDescent="0.25">
      <c r="A972" s="1" t="s">
        <v>3803</v>
      </c>
      <c r="C972" s="1" t="s">
        <v>3803</v>
      </c>
      <c r="D972" s="1" t="s">
        <v>2833</v>
      </c>
    </row>
    <row r="973" spans="1:4" x14ac:dyDescent="0.25">
      <c r="A973" s="1" t="s">
        <v>3804</v>
      </c>
      <c r="C973" s="1" t="s">
        <v>3804</v>
      </c>
      <c r="D973" s="1" t="s">
        <v>2833</v>
      </c>
    </row>
    <row r="974" spans="1:4" x14ac:dyDescent="0.25">
      <c r="A974" s="1" t="s">
        <v>3805</v>
      </c>
      <c r="C974" s="1" t="s">
        <v>3805</v>
      </c>
      <c r="D974" s="1" t="s">
        <v>2833</v>
      </c>
    </row>
    <row r="975" spans="1:4" x14ac:dyDescent="0.25">
      <c r="A975" s="1" t="s">
        <v>3806</v>
      </c>
      <c r="C975" s="1" t="s">
        <v>3806</v>
      </c>
      <c r="D975" s="1" t="s">
        <v>2833</v>
      </c>
    </row>
    <row r="976" spans="1:4" x14ac:dyDescent="0.25">
      <c r="A976" s="1" t="s">
        <v>3807</v>
      </c>
      <c r="C976" s="1" t="s">
        <v>3807</v>
      </c>
      <c r="D976" s="1" t="s">
        <v>2833</v>
      </c>
    </row>
    <row r="977" spans="1:4" x14ac:dyDescent="0.25">
      <c r="A977" s="1" t="s">
        <v>3808</v>
      </c>
      <c r="C977" s="1" t="s">
        <v>3808</v>
      </c>
      <c r="D977" s="1" t="s">
        <v>2833</v>
      </c>
    </row>
    <row r="978" spans="1:4" x14ac:dyDescent="0.25">
      <c r="A978" s="1" t="s">
        <v>3809</v>
      </c>
      <c r="C978" s="1" t="s">
        <v>3809</v>
      </c>
      <c r="D978" s="1" t="s">
        <v>2833</v>
      </c>
    </row>
    <row r="979" spans="1:4" x14ac:dyDescent="0.25">
      <c r="A979" s="1" t="s">
        <v>3810</v>
      </c>
      <c r="C979" s="1" t="s">
        <v>3810</v>
      </c>
      <c r="D979" s="1" t="s">
        <v>2833</v>
      </c>
    </row>
    <row r="980" spans="1:4" x14ac:dyDescent="0.25">
      <c r="A980" s="1" t="s">
        <v>3811</v>
      </c>
      <c r="C980" s="1" t="s">
        <v>3811</v>
      </c>
      <c r="D980" s="1" t="s">
        <v>2833</v>
      </c>
    </row>
    <row r="981" spans="1:4" x14ac:dyDescent="0.25">
      <c r="A981" s="1" t="s">
        <v>3812</v>
      </c>
      <c r="C981" s="1" t="s">
        <v>3812</v>
      </c>
      <c r="D981" s="1" t="s">
        <v>2833</v>
      </c>
    </row>
    <row r="982" spans="1:4" x14ac:dyDescent="0.25">
      <c r="A982" s="1" t="s">
        <v>3813</v>
      </c>
      <c r="C982" s="1" t="s">
        <v>3813</v>
      </c>
      <c r="D982" s="1" t="s">
        <v>2833</v>
      </c>
    </row>
    <row r="983" spans="1:4" x14ac:dyDescent="0.25">
      <c r="A983" s="1" t="s">
        <v>3814</v>
      </c>
      <c r="C983" s="1" t="s">
        <v>3814</v>
      </c>
      <c r="D983" s="1" t="s">
        <v>2833</v>
      </c>
    </row>
    <row r="984" spans="1:4" x14ac:dyDescent="0.25">
      <c r="A984" s="1" t="s">
        <v>3815</v>
      </c>
      <c r="C984" s="1" t="s">
        <v>3815</v>
      </c>
      <c r="D984" s="1" t="s">
        <v>2833</v>
      </c>
    </row>
    <row r="985" spans="1:4" x14ac:dyDescent="0.25">
      <c r="A985" s="1" t="s">
        <v>3816</v>
      </c>
      <c r="C985" s="1" t="s">
        <v>3816</v>
      </c>
      <c r="D985" s="1" t="s">
        <v>2833</v>
      </c>
    </row>
    <row r="986" spans="1:4" x14ac:dyDescent="0.25">
      <c r="A986" s="1" t="s">
        <v>3817</v>
      </c>
      <c r="C986" s="1" t="s">
        <v>3817</v>
      </c>
      <c r="D986" s="1" t="s">
        <v>2833</v>
      </c>
    </row>
    <row r="987" spans="1:4" x14ac:dyDescent="0.25">
      <c r="A987" s="1" t="s">
        <v>3818</v>
      </c>
      <c r="C987" s="1" t="s">
        <v>3818</v>
      </c>
      <c r="D987" s="1" t="s">
        <v>2833</v>
      </c>
    </row>
    <row r="988" spans="1:4" x14ac:dyDescent="0.25">
      <c r="A988" s="1" t="s">
        <v>3819</v>
      </c>
      <c r="C988" s="1" t="s">
        <v>3819</v>
      </c>
      <c r="D988" s="1" t="s">
        <v>2833</v>
      </c>
    </row>
    <row r="989" spans="1:4" x14ac:dyDescent="0.25">
      <c r="A989" s="1" t="s">
        <v>3820</v>
      </c>
      <c r="C989" s="1" t="s">
        <v>3820</v>
      </c>
      <c r="D989" s="1" t="s">
        <v>2833</v>
      </c>
    </row>
    <row r="990" spans="1:4" x14ac:dyDescent="0.25">
      <c r="A990" s="1" t="s">
        <v>3821</v>
      </c>
      <c r="C990" s="1" t="s">
        <v>3821</v>
      </c>
      <c r="D990" s="1" t="s">
        <v>2833</v>
      </c>
    </row>
    <row r="991" spans="1:4" x14ac:dyDescent="0.25">
      <c r="A991" s="1" t="s">
        <v>3822</v>
      </c>
      <c r="C991" s="1" t="s">
        <v>3822</v>
      </c>
      <c r="D991" s="1" t="s">
        <v>2833</v>
      </c>
    </row>
    <row r="992" spans="1:4" x14ac:dyDescent="0.25">
      <c r="A992" s="1" t="s">
        <v>3823</v>
      </c>
      <c r="C992" s="1" t="s">
        <v>3823</v>
      </c>
      <c r="D992" s="1" t="s">
        <v>2833</v>
      </c>
    </row>
    <row r="993" spans="1:4" x14ac:dyDescent="0.25">
      <c r="A993" s="1" t="s">
        <v>3824</v>
      </c>
      <c r="C993" s="1" t="s">
        <v>3824</v>
      </c>
      <c r="D993" s="1" t="s">
        <v>2833</v>
      </c>
    </row>
    <row r="994" spans="1:4" x14ac:dyDescent="0.25">
      <c r="A994" s="1" t="s">
        <v>3825</v>
      </c>
      <c r="C994" s="1" t="s">
        <v>3825</v>
      </c>
      <c r="D994" s="1" t="s">
        <v>2833</v>
      </c>
    </row>
    <row r="995" spans="1:4" x14ac:dyDescent="0.25">
      <c r="A995" s="1" t="s">
        <v>3826</v>
      </c>
      <c r="C995" s="1" t="s">
        <v>3826</v>
      </c>
      <c r="D995" s="1" t="s">
        <v>2833</v>
      </c>
    </row>
    <row r="996" spans="1:4" x14ac:dyDescent="0.25">
      <c r="A996" s="1" t="s">
        <v>3827</v>
      </c>
      <c r="C996" s="1" t="s">
        <v>3827</v>
      </c>
      <c r="D996" s="1" t="s">
        <v>2833</v>
      </c>
    </row>
    <row r="997" spans="1:4" x14ac:dyDescent="0.25">
      <c r="A997" s="1" t="s">
        <v>3828</v>
      </c>
      <c r="C997" s="1" t="s">
        <v>3828</v>
      </c>
      <c r="D997" s="1" t="s">
        <v>2833</v>
      </c>
    </row>
    <row r="998" spans="1:4" x14ac:dyDescent="0.25">
      <c r="A998" s="1" t="s">
        <v>3829</v>
      </c>
      <c r="C998" s="1" t="s">
        <v>3829</v>
      </c>
      <c r="D998" s="1" t="s">
        <v>2833</v>
      </c>
    </row>
    <row r="999" spans="1:4" x14ac:dyDescent="0.25">
      <c r="A999" s="1" t="s">
        <v>3830</v>
      </c>
      <c r="C999" s="1" t="s">
        <v>3830</v>
      </c>
      <c r="D999" s="1" t="s">
        <v>2833</v>
      </c>
    </row>
    <row r="1000" spans="1:4" x14ac:dyDescent="0.25">
      <c r="A1000" s="1" t="s">
        <v>3831</v>
      </c>
      <c r="C1000" s="1" t="s">
        <v>3831</v>
      </c>
      <c r="D1000" s="1" t="s">
        <v>2833</v>
      </c>
    </row>
    <row r="1001" spans="1:4" x14ac:dyDescent="0.25">
      <c r="A1001" s="1" t="s">
        <v>3832</v>
      </c>
      <c r="C1001" s="1" t="s">
        <v>3832</v>
      </c>
      <c r="D1001" s="1" t="s">
        <v>2833</v>
      </c>
    </row>
    <row r="1002" spans="1:4" x14ac:dyDescent="0.25">
      <c r="A1002" s="1" t="s">
        <v>3833</v>
      </c>
      <c r="C1002" s="1" t="s">
        <v>3833</v>
      </c>
      <c r="D1002" s="1" t="s">
        <v>2833</v>
      </c>
    </row>
    <row r="1003" spans="1:4" x14ac:dyDescent="0.25">
      <c r="A1003" s="1" t="s">
        <v>3834</v>
      </c>
      <c r="C1003" s="1" t="s">
        <v>3834</v>
      </c>
      <c r="D1003" s="1" t="s">
        <v>2833</v>
      </c>
    </row>
    <row r="1004" spans="1:4" x14ac:dyDescent="0.25">
      <c r="A1004" s="1" t="s">
        <v>3835</v>
      </c>
      <c r="C1004" s="1" t="s">
        <v>3835</v>
      </c>
      <c r="D1004" s="1" t="s">
        <v>2833</v>
      </c>
    </row>
    <row r="1005" spans="1:4" x14ac:dyDescent="0.25">
      <c r="A1005" s="1" t="s">
        <v>3836</v>
      </c>
      <c r="C1005" s="1" t="s">
        <v>3836</v>
      </c>
      <c r="D1005" s="1" t="s">
        <v>2833</v>
      </c>
    </row>
    <row r="1006" spans="1:4" x14ac:dyDescent="0.25">
      <c r="A1006" s="1" t="s">
        <v>3837</v>
      </c>
      <c r="C1006" s="1" t="s">
        <v>3837</v>
      </c>
      <c r="D1006" s="1" t="s">
        <v>2833</v>
      </c>
    </row>
    <row r="1007" spans="1:4" x14ac:dyDescent="0.25">
      <c r="A1007" s="1" t="s">
        <v>3838</v>
      </c>
      <c r="C1007" s="1" t="s">
        <v>3838</v>
      </c>
      <c r="D1007" s="1" t="s">
        <v>2833</v>
      </c>
    </row>
    <row r="1008" spans="1:4" x14ac:dyDescent="0.25">
      <c r="A1008" s="1" t="s">
        <v>3839</v>
      </c>
      <c r="C1008" s="1" t="s">
        <v>3839</v>
      </c>
      <c r="D1008" s="1" t="s">
        <v>2833</v>
      </c>
    </row>
    <row r="1009" spans="1:4" x14ac:dyDescent="0.25">
      <c r="A1009" s="1" t="s">
        <v>3840</v>
      </c>
      <c r="C1009" s="1" t="s">
        <v>3840</v>
      </c>
      <c r="D1009" s="1" t="s">
        <v>2833</v>
      </c>
    </row>
    <row r="1010" spans="1:4" x14ac:dyDescent="0.25">
      <c r="A1010" s="1" t="s">
        <v>3841</v>
      </c>
      <c r="C1010" s="1" t="s">
        <v>3841</v>
      </c>
      <c r="D1010" s="1" t="s">
        <v>2833</v>
      </c>
    </row>
    <row r="1011" spans="1:4" x14ac:dyDescent="0.25">
      <c r="A1011" s="1" t="s">
        <v>3842</v>
      </c>
      <c r="C1011" s="1" t="s">
        <v>3842</v>
      </c>
      <c r="D1011" s="1" t="s">
        <v>2833</v>
      </c>
    </row>
    <row r="1012" spans="1:4" x14ac:dyDescent="0.25">
      <c r="A1012" s="1" t="s">
        <v>3843</v>
      </c>
      <c r="C1012" s="1" t="s">
        <v>3843</v>
      </c>
      <c r="D1012" s="1" t="s">
        <v>2833</v>
      </c>
    </row>
    <row r="1013" spans="1:4" x14ac:dyDescent="0.25">
      <c r="A1013" s="1" t="s">
        <v>3844</v>
      </c>
      <c r="C1013" s="1" t="s">
        <v>3844</v>
      </c>
      <c r="D1013" s="1" t="s">
        <v>2833</v>
      </c>
    </row>
    <row r="1014" spans="1:4" x14ac:dyDescent="0.25">
      <c r="A1014" s="1" t="s">
        <v>3845</v>
      </c>
      <c r="C1014" s="1" t="s">
        <v>3845</v>
      </c>
      <c r="D1014" s="1" t="s">
        <v>2833</v>
      </c>
    </row>
    <row r="1015" spans="1:4" x14ac:dyDescent="0.25">
      <c r="A1015" s="1" t="s">
        <v>3846</v>
      </c>
      <c r="C1015" s="1" t="s">
        <v>3846</v>
      </c>
      <c r="D1015" s="1" t="s">
        <v>2833</v>
      </c>
    </row>
    <row r="1016" spans="1:4" x14ac:dyDescent="0.25">
      <c r="A1016" s="1" t="s">
        <v>3847</v>
      </c>
      <c r="C1016" s="1" t="s">
        <v>3847</v>
      </c>
      <c r="D1016" s="1" t="s">
        <v>2833</v>
      </c>
    </row>
    <row r="1017" spans="1:4" x14ac:dyDescent="0.25">
      <c r="A1017" s="1" t="s">
        <v>3848</v>
      </c>
      <c r="C1017" s="1" t="s">
        <v>3848</v>
      </c>
      <c r="D1017" s="1" t="s">
        <v>2833</v>
      </c>
    </row>
    <row r="1018" spans="1:4" x14ac:dyDescent="0.25">
      <c r="A1018" s="1" t="s">
        <v>3849</v>
      </c>
      <c r="C1018" s="1" t="s">
        <v>3849</v>
      </c>
      <c r="D1018" s="1" t="s">
        <v>2833</v>
      </c>
    </row>
    <row r="1019" spans="1:4" x14ac:dyDescent="0.25">
      <c r="A1019" s="1" t="s">
        <v>3850</v>
      </c>
      <c r="C1019" s="1" t="s">
        <v>3850</v>
      </c>
      <c r="D1019" s="1" t="s">
        <v>2833</v>
      </c>
    </row>
    <row r="1020" spans="1:4" x14ac:dyDescent="0.25">
      <c r="A1020" s="1" t="s">
        <v>3851</v>
      </c>
      <c r="C1020" s="1" t="s">
        <v>3851</v>
      </c>
      <c r="D1020" s="1" t="s">
        <v>2833</v>
      </c>
    </row>
    <row r="1021" spans="1:4" x14ac:dyDescent="0.25">
      <c r="A1021" s="1" t="s">
        <v>3852</v>
      </c>
      <c r="C1021" s="1" t="s">
        <v>3852</v>
      </c>
      <c r="D1021" s="1" t="s">
        <v>2833</v>
      </c>
    </row>
    <row r="1022" spans="1:4" x14ac:dyDescent="0.25">
      <c r="A1022" s="1" t="s">
        <v>3853</v>
      </c>
      <c r="C1022" s="1" t="s">
        <v>3853</v>
      </c>
      <c r="D1022" s="1" t="s">
        <v>2833</v>
      </c>
    </row>
    <row r="1023" spans="1:4" x14ac:dyDescent="0.25">
      <c r="A1023" s="1" t="s">
        <v>3854</v>
      </c>
      <c r="C1023" s="1" t="s">
        <v>3854</v>
      </c>
      <c r="D1023" s="1" t="s">
        <v>2833</v>
      </c>
    </row>
    <row r="1024" spans="1:4" x14ac:dyDescent="0.25">
      <c r="A1024" s="1" t="s">
        <v>3855</v>
      </c>
      <c r="C1024" s="1" t="s">
        <v>3855</v>
      </c>
      <c r="D1024" s="1" t="s">
        <v>2833</v>
      </c>
    </row>
    <row r="1025" spans="1:4" x14ac:dyDescent="0.25">
      <c r="A1025" s="1" t="s">
        <v>3856</v>
      </c>
      <c r="C1025" s="1" t="s">
        <v>3856</v>
      </c>
      <c r="D1025" s="1" t="s">
        <v>2833</v>
      </c>
    </row>
    <row r="1026" spans="1:4" x14ac:dyDescent="0.25">
      <c r="A1026" s="1" t="s">
        <v>3857</v>
      </c>
      <c r="C1026" s="1" t="s">
        <v>3857</v>
      </c>
      <c r="D1026" s="1" t="s">
        <v>2833</v>
      </c>
    </row>
    <row r="1027" spans="1:4" x14ac:dyDescent="0.25">
      <c r="A1027" s="1" t="s">
        <v>3858</v>
      </c>
      <c r="C1027" s="1" t="s">
        <v>3858</v>
      </c>
      <c r="D1027" s="1" t="s">
        <v>2833</v>
      </c>
    </row>
    <row r="1028" spans="1:4" x14ac:dyDescent="0.25">
      <c r="A1028" s="1" t="s">
        <v>3859</v>
      </c>
      <c r="C1028" s="1" t="s">
        <v>3859</v>
      </c>
      <c r="D1028" s="1" t="s">
        <v>2833</v>
      </c>
    </row>
    <row r="1029" spans="1:4" x14ac:dyDescent="0.25">
      <c r="A1029" s="1" t="s">
        <v>3860</v>
      </c>
      <c r="C1029" s="1" t="s">
        <v>3860</v>
      </c>
      <c r="D1029" s="1" t="s">
        <v>2833</v>
      </c>
    </row>
    <row r="1030" spans="1:4" x14ac:dyDescent="0.25">
      <c r="A1030" s="1" t="s">
        <v>3861</v>
      </c>
      <c r="C1030" s="1" t="s">
        <v>3861</v>
      </c>
      <c r="D1030" s="1" t="s">
        <v>2833</v>
      </c>
    </row>
    <row r="1031" spans="1:4" x14ac:dyDescent="0.25">
      <c r="A1031" s="1" t="s">
        <v>3862</v>
      </c>
      <c r="C1031" s="1" t="s">
        <v>3862</v>
      </c>
      <c r="D1031" s="1" t="s">
        <v>2833</v>
      </c>
    </row>
    <row r="1032" spans="1:4" x14ac:dyDescent="0.25">
      <c r="A1032" s="1" t="s">
        <v>3863</v>
      </c>
      <c r="C1032" s="1" t="s">
        <v>3863</v>
      </c>
      <c r="D1032" s="1" t="s">
        <v>2833</v>
      </c>
    </row>
    <row r="1033" spans="1:4" x14ac:dyDescent="0.25">
      <c r="A1033" s="1" t="s">
        <v>3864</v>
      </c>
      <c r="C1033" s="1" t="s">
        <v>3864</v>
      </c>
      <c r="D1033" s="1" t="s">
        <v>2833</v>
      </c>
    </row>
    <row r="1034" spans="1:4" x14ac:dyDescent="0.25">
      <c r="A1034" s="1" t="s">
        <v>3865</v>
      </c>
      <c r="C1034" s="1" t="s">
        <v>3865</v>
      </c>
      <c r="D1034" s="1" t="s">
        <v>2833</v>
      </c>
    </row>
    <row r="1035" spans="1:4" x14ac:dyDescent="0.25">
      <c r="A1035" s="1" t="s">
        <v>3866</v>
      </c>
      <c r="C1035" s="1" t="s">
        <v>3866</v>
      </c>
      <c r="D1035" s="1" t="s">
        <v>2833</v>
      </c>
    </row>
    <row r="1036" spans="1:4" x14ac:dyDescent="0.25">
      <c r="A1036" s="1" t="s">
        <v>3867</v>
      </c>
      <c r="C1036" s="1" t="s">
        <v>3867</v>
      </c>
      <c r="D1036" s="1" t="s">
        <v>2833</v>
      </c>
    </row>
    <row r="1037" spans="1:4" x14ac:dyDescent="0.25">
      <c r="A1037" s="1" t="s">
        <v>3868</v>
      </c>
      <c r="C1037" s="1" t="s">
        <v>3868</v>
      </c>
      <c r="D1037" s="1" t="s">
        <v>2833</v>
      </c>
    </row>
    <row r="1038" spans="1:4" x14ac:dyDescent="0.25">
      <c r="A1038" s="1" t="s">
        <v>3869</v>
      </c>
      <c r="C1038" s="1" t="s">
        <v>3869</v>
      </c>
      <c r="D1038" s="1" t="s">
        <v>2833</v>
      </c>
    </row>
    <row r="1039" spans="1:4" x14ac:dyDescent="0.25">
      <c r="A1039" s="1" t="s">
        <v>3870</v>
      </c>
      <c r="C1039" s="1" t="s">
        <v>3870</v>
      </c>
      <c r="D1039" s="1" t="s">
        <v>2833</v>
      </c>
    </row>
    <row r="1040" spans="1:4" x14ac:dyDescent="0.25">
      <c r="A1040" s="1" t="s">
        <v>3871</v>
      </c>
      <c r="C1040" s="1" t="s">
        <v>3871</v>
      </c>
      <c r="D1040" s="1" t="s">
        <v>2833</v>
      </c>
    </row>
    <row r="1041" spans="1:4" x14ac:dyDescent="0.25">
      <c r="A1041" s="1" t="s">
        <v>3872</v>
      </c>
      <c r="C1041" s="1" t="s">
        <v>3872</v>
      </c>
      <c r="D1041" s="1" t="s">
        <v>2833</v>
      </c>
    </row>
    <row r="1042" spans="1:4" x14ac:dyDescent="0.25">
      <c r="A1042" s="1" t="s">
        <v>3873</v>
      </c>
      <c r="C1042" s="1" t="s">
        <v>3873</v>
      </c>
      <c r="D1042" s="1" t="s">
        <v>2833</v>
      </c>
    </row>
    <row r="1043" spans="1:4" x14ac:dyDescent="0.25">
      <c r="A1043" s="1" t="s">
        <v>3874</v>
      </c>
      <c r="C1043" s="1" t="s">
        <v>3874</v>
      </c>
      <c r="D1043" s="1" t="s">
        <v>2833</v>
      </c>
    </row>
    <row r="1044" spans="1:4" x14ac:dyDescent="0.25">
      <c r="A1044" s="1" t="s">
        <v>3875</v>
      </c>
      <c r="C1044" s="1" t="s">
        <v>3875</v>
      </c>
      <c r="D1044" s="1" t="s">
        <v>2833</v>
      </c>
    </row>
    <row r="1045" spans="1:4" x14ac:dyDescent="0.25">
      <c r="A1045" s="1" t="s">
        <v>3876</v>
      </c>
      <c r="C1045" s="1" t="s">
        <v>3876</v>
      </c>
      <c r="D1045" s="1" t="s">
        <v>2833</v>
      </c>
    </row>
    <row r="1046" spans="1:4" x14ac:dyDescent="0.25">
      <c r="A1046" s="1" t="s">
        <v>3877</v>
      </c>
      <c r="C1046" s="1" t="s">
        <v>3877</v>
      </c>
      <c r="D1046" s="1" t="s">
        <v>2833</v>
      </c>
    </row>
    <row r="1047" spans="1:4" x14ac:dyDescent="0.25">
      <c r="A1047" s="1" t="s">
        <v>3878</v>
      </c>
      <c r="C1047" s="1" t="s">
        <v>3878</v>
      </c>
      <c r="D1047" s="1" t="s">
        <v>2833</v>
      </c>
    </row>
    <row r="1048" spans="1:4" x14ac:dyDescent="0.25">
      <c r="A1048" s="1" t="s">
        <v>3879</v>
      </c>
      <c r="C1048" s="1" t="s">
        <v>3879</v>
      </c>
      <c r="D1048" s="1" t="s">
        <v>2833</v>
      </c>
    </row>
    <row r="1049" spans="1:4" x14ac:dyDescent="0.25">
      <c r="A1049" s="1" t="s">
        <v>3880</v>
      </c>
      <c r="C1049" s="1" t="s">
        <v>3880</v>
      </c>
      <c r="D1049" s="1" t="s">
        <v>2833</v>
      </c>
    </row>
    <row r="1050" spans="1:4" x14ac:dyDescent="0.25">
      <c r="A1050" s="1" t="s">
        <v>3881</v>
      </c>
      <c r="C1050" s="1" t="s">
        <v>3881</v>
      </c>
      <c r="D1050" s="1" t="s">
        <v>2833</v>
      </c>
    </row>
    <row r="1051" spans="1:4" x14ac:dyDescent="0.25">
      <c r="A1051" s="1" t="s">
        <v>3882</v>
      </c>
      <c r="C1051" s="1" t="s">
        <v>3882</v>
      </c>
      <c r="D1051" s="1" t="s">
        <v>2833</v>
      </c>
    </row>
    <row r="1052" spans="1:4" x14ac:dyDescent="0.25">
      <c r="A1052" s="1" t="s">
        <v>3883</v>
      </c>
      <c r="C1052" s="1" t="s">
        <v>3883</v>
      </c>
      <c r="D1052" s="1" t="s">
        <v>2833</v>
      </c>
    </row>
    <row r="1053" spans="1:4" x14ac:dyDescent="0.25">
      <c r="A1053" s="1" t="s">
        <v>3884</v>
      </c>
      <c r="C1053" s="1" t="s">
        <v>3884</v>
      </c>
      <c r="D1053" s="1" t="s">
        <v>2833</v>
      </c>
    </row>
    <row r="1054" spans="1:4" x14ac:dyDescent="0.25">
      <c r="A1054" s="1" t="s">
        <v>3885</v>
      </c>
      <c r="C1054" s="1" t="s">
        <v>3885</v>
      </c>
      <c r="D1054" s="1" t="s">
        <v>2833</v>
      </c>
    </row>
    <row r="1055" spans="1:4" x14ac:dyDescent="0.25">
      <c r="A1055" s="1" t="s">
        <v>3886</v>
      </c>
      <c r="C1055" s="1" t="s">
        <v>3886</v>
      </c>
      <c r="D1055" s="1" t="s">
        <v>2833</v>
      </c>
    </row>
    <row r="1056" spans="1:4" x14ac:dyDescent="0.25">
      <c r="A1056" s="1" t="s">
        <v>3887</v>
      </c>
      <c r="C1056" s="1" t="s">
        <v>3887</v>
      </c>
      <c r="D1056" s="1" t="s">
        <v>2833</v>
      </c>
    </row>
    <row r="1057" spans="1:4" x14ac:dyDescent="0.25">
      <c r="A1057" s="1" t="s">
        <v>3888</v>
      </c>
      <c r="C1057" s="1" t="s">
        <v>3888</v>
      </c>
      <c r="D1057" s="1" t="s">
        <v>2833</v>
      </c>
    </row>
    <row r="1058" spans="1:4" x14ac:dyDescent="0.25">
      <c r="A1058" s="1" t="s">
        <v>3889</v>
      </c>
      <c r="C1058" s="1" t="s">
        <v>3889</v>
      </c>
      <c r="D1058" s="1" t="s">
        <v>2833</v>
      </c>
    </row>
    <row r="1059" spans="1:4" x14ac:dyDescent="0.25">
      <c r="A1059" s="1" t="s">
        <v>3890</v>
      </c>
      <c r="C1059" s="1" t="s">
        <v>3890</v>
      </c>
      <c r="D1059" s="1" t="s">
        <v>2833</v>
      </c>
    </row>
    <row r="1060" spans="1:4" x14ac:dyDescent="0.25">
      <c r="A1060" s="1" t="s">
        <v>3891</v>
      </c>
      <c r="C1060" s="1" t="s">
        <v>3891</v>
      </c>
      <c r="D1060" s="1" t="s">
        <v>2833</v>
      </c>
    </row>
    <row r="1061" spans="1:4" x14ac:dyDescent="0.25">
      <c r="A1061" s="1" t="s">
        <v>3892</v>
      </c>
      <c r="C1061" s="1" t="s">
        <v>3892</v>
      </c>
      <c r="D1061" s="1" t="s">
        <v>2833</v>
      </c>
    </row>
    <row r="1062" spans="1:4" x14ac:dyDescent="0.25">
      <c r="A1062" s="1" t="s">
        <v>3893</v>
      </c>
      <c r="C1062" s="1" t="s">
        <v>3893</v>
      </c>
      <c r="D1062" s="1" t="s">
        <v>2833</v>
      </c>
    </row>
    <row r="1063" spans="1:4" x14ac:dyDescent="0.25">
      <c r="A1063" s="1" t="s">
        <v>3894</v>
      </c>
      <c r="C1063" s="1" t="s">
        <v>3894</v>
      </c>
      <c r="D1063" s="1" t="s">
        <v>2833</v>
      </c>
    </row>
    <row r="1064" spans="1:4" x14ac:dyDescent="0.25">
      <c r="A1064" s="1" t="s">
        <v>3895</v>
      </c>
      <c r="C1064" s="1" t="s">
        <v>3895</v>
      </c>
      <c r="D1064" s="1" t="s">
        <v>2833</v>
      </c>
    </row>
    <row r="1065" spans="1:4" x14ac:dyDescent="0.25">
      <c r="A1065" s="1" t="s">
        <v>3896</v>
      </c>
      <c r="C1065" s="1" t="s">
        <v>3896</v>
      </c>
      <c r="D1065" s="1" t="s">
        <v>2833</v>
      </c>
    </row>
    <row r="1066" spans="1:4" x14ac:dyDescent="0.25">
      <c r="A1066" s="1" t="s">
        <v>3897</v>
      </c>
      <c r="C1066" s="1" t="s">
        <v>3897</v>
      </c>
      <c r="D1066" s="1" t="s">
        <v>2833</v>
      </c>
    </row>
    <row r="1067" spans="1:4" x14ac:dyDescent="0.25">
      <c r="A1067" s="1" t="s">
        <v>3898</v>
      </c>
      <c r="C1067" s="1" t="s">
        <v>3898</v>
      </c>
      <c r="D1067" s="1" t="s">
        <v>2833</v>
      </c>
    </row>
    <row r="1068" spans="1:4" x14ac:dyDescent="0.25">
      <c r="A1068" s="1" t="s">
        <v>3899</v>
      </c>
      <c r="C1068" s="1" t="s">
        <v>3899</v>
      </c>
      <c r="D1068" s="1" t="s">
        <v>2833</v>
      </c>
    </row>
    <row r="1069" spans="1:4" x14ac:dyDescent="0.25">
      <c r="A1069" s="1" t="s">
        <v>3900</v>
      </c>
      <c r="C1069" s="1" t="s">
        <v>3900</v>
      </c>
      <c r="D1069" s="1" t="s">
        <v>2833</v>
      </c>
    </row>
    <row r="1070" spans="1:4" x14ac:dyDescent="0.25">
      <c r="A1070" s="1" t="s">
        <v>3901</v>
      </c>
      <c r="C1070" s="1" t="s">
        <v>3901</v>
      </c>
      <c r="D1070" s="1" t="s">
        <v>2833</v>
      </c>
    </row>
    <row r="1071" spans="1:4" x14ac:dyDescent="0.25">
      <c r="A1071" s="1" t="s">
        <v>3902</v>
      </c>
      <c r="C1071" s="1" t="s">
        <v>3902</v>
      </c>
      <c r="D1071" s="1" t="s">
        <v>2833</v>
      </c>
    </row>
    <row r="1072" spans="1:4" x14ac:dyDescent="0.25">
      <c r="A1072" s="1" t="s">
        <v>3903</v>
      </c>
      <c r="C1072" s="1" t="s">
        <v>3903</v>
      </c>
      <c r="D1072" s="1" t="s">
        <v>2833</v>
      </c>
    </row>
    <row r="1073" spans="1:4" x14ac:dyDescent="0.25">
      <c r="A1073" s="1" t="s">
        <v>3904</v>
      </c>
      <c r="C1073" s="1" t="s">
        <v>3904</v>
      </c>
      <c r="D1073" s="1" t="s">
        <v>2833</v>
      </c>
    </row>
    <row r="1074" spans="1:4" x14ac:dyDescent="0.25">
      <c r="A1074" s="1" t="s">
        <v>3905</v>
      </c>
      <c r="C1074" s="1" t="s">
        <v>3905</v>
      </c>
      <c r="D1074" s="1" t="s">
        <v>2833</v>
      </c>
    </row>
    <row r="1075" spans="1:4" x14ac:dyDescent="0.25">
      <c r="A1075" s="1" t="s">
        <v>3906</v>
      </c>
      <c r="C1075" s="1" t="s">
        <v>3906</v>
      </c>
      <c r="D1075" s="1" t="s">
        <v>2833</v>
      </c>
    </row>
    <row r="1076" spans="1:4" x14ac:dyDescent="0.25">
      <c r="A1076" s="1" t="s">
        <v>3907</v>
      </c>
      <c r="C1076" s="1" t="s">
        <v>3907</v>
      </c>
      <c r="D1076" s="1" t="s">
        <v>2833</v>
      </c>
    </row>
    <row r="1077" spans="1:4" x14ac:dyDescent="0.25">
      <c r="A1077" s="1" t="s">
        <v>3908</v>
      </c>
      <c r="C1077" s="1" t="s">
        <v>3908</v>
      </c>
      <c r="D1077" s="1" t="s">
        <v>2833</v>
      </c>
    </row>
    <row r="1078" spans="1:4" x14ac:dyDescent="0.25">
      <c r="A1078" s="1" t="s">
        <v>3909</v>
      </c>
      <c r="C1078" s="1" t="s">
        <v>3909</v>
      </c>
      <c r="D1078" s="1" t="s">
        <v>2833</v>
      </c>
    </row>
    <row r="1079" spans="1:4" x14ac:dyDescent="0.25">
      <c r="A1079" s="1" t="s">
        <v>3910</v>
      </c>
      <c r="C1079" s="1" t="s">
        <v>3910</v>
      </c>
      <c r="D1079" s="1" t="s">
        <v>2833</v>
      </c>
    </row>
    <row r="1080" spans="1:4" x14ac:dyDescent="0.25">
      <c r="A1080" s="1" t="s">
        <v>3911</v>
      </c>
      <c r="C1080" s="1" t="s">
        <v>3911</v>
      </c>
      <c r="D1080" s="1" t="s">
        <v>2833</v>
      </c>
    </row>
    <row r="1081" spans="1:4" x14ac:dyDescent="0.25">
      <c r="A1081" s="1" t="s">
        <v>3912</v>
      </c>
      <c r="C1081" s="1" t="s">
        <v>3912</v>
      </c>
      <c r="D1081" s="1" t="s">
        <v>2833</v>
      </c>
    </row>
    <row r="1082" spans="1:4" x14ac:dyDescent="0.25">
      <c r="A1082" s="1" t="s">
        <v>3913</v>
      </c>
      <c r="C1082" s="1" t="s">
        <v>3913</v>
      </c>
      <c r="D1082" s="1" t="s">
        <v>2833</v>
      </c>
    </row>
    <row r="1083" spans="1:4" x14ac:dyDescent="0.25">
      <c r="A1083" s="1" t="s">
        <v>3914</v>
      </c>
      <c r="C1083" s="1" t="s">
        <v>3914</v>
      </c>
      <c r="D1083" s="1" t="s">
        <v>2833</v>
      </c>
    </row>
    <row r="1084" spans="1:4" x14ac:dyDescent="0.25">
      <c r="A1084" s="1" t="s">
        <v>3915</v>
      </c>
      <c r="C1084" s="1" t="s">
        <v>3915</v>
      </c>
      <c r="D1084" s="1" t="s">
        <v>2833</v>
      </c>
    </row>
    <row r="1085" spans="1:4" x14ac:dyDescent="0.25">
      <c r="A1085" s="1" t="s">
        <v>3916</v>
      </c>
      <c r="C1085" s="1" t="s">
        <v>3916</v>
      </c>
      <c r="D1085" s="1" t="s">
        <v>2833</v>
      </c>
    </row>
    <row r="1086" spans="1:4" x14ac:dyDescent="0.25">
      <c r="A1086" s="1" t="s">
        <v>3917</v>
      </c>
      <c r="C1086" s="1" t="s">
        <v>3917</v>
      </c>
      <c r="D1086" s="1" t="s">
        <v>2833</v>
      </c>
    </row>
    <row r="1087" spans="1:4" x14ac:dyDescent="0.25">
      <c r="A1087" s="1" t="s">
        <v>3918</v>
      </c>
      <c r="C1087" s="1" t="s">
        <v>3918</v>
      </c>
      <c r="D1087" s="1" t="s">
        <v>2833</v>
      </c>
    </row>
    <row r="1088" spans="1:4" x14ac:dyDescent="0.25">
      <c r="A1088" s="1" t="s">
        <v>3919</v>
      </c>
      <c r="C1088" s="1" t="s">
        <v>3919</v>
      </c>
      <c r="D1088" s="1" t="s">
        <v>2833</v>
      </c>
    </row>
    <row r="1089" spans="1:4" x14ac:dyDescent="0.25">
      <c r="A1089" s="1" t="s">
        <v>3920</v>
      </c>
      <c r="C1089" s="1" t="s">
        <v>3920</v>
      </c>
      <c r="D1089" s="1" t="s">
        <v>2833</v>
      </c>
    </row>
    <row r="1090" spans="1:4" x14ac:dyDescent="0.25">
      <c r="A1090" s="1" t="s">
        <v>3921</v>
      </c>
      <c r="C1090" s="1" t="s">
        <v>3921</v>
      </c>
      <c r="D1090" s="1" t="s">
        <v>2833</v>
      </c>
    </row>
    <row r="1091" spans="1:4" x14ac:dyDescent="0.25">
      <c r="A1091" s="1" t="s">
        <v>3922</v>
      </c>
      <c r="C1091" s="1" t="s">
        <v>3922</v>
      </c>
      <c r="D1091" s="1" t="s">
        <v>2833</v>
      </c>
    </row>
    <row r="1092" spans="1:4" x14ac:dyDescent="0.25">
      <c r="A1092" s="1" t="s">
        <v>3923</v>
      </c>
      <c r="C1092" s="1" t="s">
        <v>3923</v>
      </c>
      <c r="D1092" s="1" t="s">
        <v>2833</v>
      </c>
    </row>
    <row r="1093" spans="1:4" x14ac:dyDescent="0.25">
      <c r="A1093" s="1" t="s">
        <v>3924</v>
      </c>
      <c r="C1093" s="1" t="s">
        <v>3924</v>
      </c>
      <c r="D1093" s="1" t="s">
        <v>2833</v>
      </c>
    </row>
    <row r="1094" spans="1:4" x14ac:dyDescent="0.25">
      <c r="A1094" s="1" t="s">
        <v>3925</v>
      </c>
      <c r="C1094" s="1" t="s">
        <v>3925</v>
      </c>
      <c r="D1094" s="1" t="s">
        <v>2833</v>
      </c>
    </row>
    <row r="1095" spans="1:4" x14ac:dyDescent="0.25">
      <c r="A1095" s="1" t="s">
        <v>3926</v>
      </c>
      <c r="C1095" s="1" t="s">
        <v>3926</v>
      </c>
      <c r="D1095" s="1" t="s">
        <v>2833</v>
      </c>
    </row>
    <row r="1096" spans="1:4" x14ac:dyDescent="0.25">
      <c r="A1096" s="1" t="s">
        <v>3927</v>
      </c>
      <c r="C1096" s="1" t="s">
        <v>3927</v>
      </c>
      <c r="D1096" s="1" t="s">
        <v>2833</v>
      </c>
    </row>
    <row r="1097" spans="1:4" x14ac:dyDescent="0.25">
      <c r="A1097" s="1" t="s">
        <v>3928</v>
      </c>
      <c r="C1097" s="1" t="s">
        <v>3928</v>
      </c>
      <c r="D1097" s="1" t="s">
        <v>2833</v>
      </c>
    </row>
    <row r="1098" spans="1:4" x14ac:dyDescent="0.25">
      <c r="A1098" s="1" t="s">
        <v>3929</v>
      </c>
      <c r="C1098" s="1" t="s">
        <v>3929</v>
      </c>
      <c r="D1098" s="1" t="s">
        <v>2833</v>
      </c>
    </row>
    <row r="1099" spans="1:4" x14ac:dyDescent="0.25">
      <c r="A1099" s="1" t="s">
        <v>3930</v>
      </c>
      <c r="C1099" s="1" t="s">
        <v>3930</v>
      </c>
      <c r="D1099" s="1" t="s">
        <v>2833</v>
      </c>
    </row>
    <row r="1100" spans="1:4" x14ac:dyDescent="0.25">
      <c r="A1100" s="1" t="s">
        <v>3931</v>
      </c>
      <c r="C1100" s="1" t="s">
        <v>3931</v>
      </c>
      <c r="D1100" s="1" t="s">
        <v>2833</v>
      </c>
    </row>
    <row r="1101" spans="1:4" x14ac:dyDescent="0.25">
      <c r="A1101" s="1" t="s">
        <v>3932</v>
      </c>
      <c r="C1101" s="1" t="s">
        <v>3932</v>
      </c>
      <c r="D1101" s="1" t="s">
        <v>2833</v>
      </c>
    </row>
    <row r="1102" spans="1:4" x14ac:dyDescent="0.25">
      <c r="A1102" s="1" t="s">
        <v>3933</v>
      </c>
      <c r="C1102" s="1" t="s">
        <v>3933</v>
      </c>
      <c r="D1102" s="1" t="s">
        <v>2833</v>
      </c>
    </row>
    <row r="1103" spans="1:4" x14ac:dyDescent="0.25">
      <c r="A1103" s="1" t="s">
        <v>3934</v>
      </c>
      <c r="C1103" s="1" t="s">
        <v>3934</v>
      </c>
      <c r="D1103" s="1" t="s">
        <v>2833</v>
      </c>
    </row>
    <row r="1104" spans="1:4" x14ac:dyDescent="0.25">
      <c r="A1104" s="1" t="s">
        <v>3935</v>
      </c>
      <c r="C1104" s="1" t="s">
        <v>3935</v>
      </c>
      <c r="D1104" s="1" t="s">
        <v>2833</v>
      </c>
    </row>
    <row r="1105" spans="1:4" x14ac:dyDescent="0.25">
      <c r="A1105" s="1" t="s">
        <v>3936</v>
      </c>
      <c r="C1105" s="1" t="s">
        <v>3936</v>
      </c>
      <c r="D1105" s="1" t="s">
        <v>2833</v>
      </c>
    </row>
    <row r="1106" spans="1:4" x14ac:dyDescent="0.25">
      <c r="A1106" s="1" t="s">
        <v>3937</v>
      </c>
      <c r="C1106" s="1" t="s">
        <v>3937</v>
      </c>
      <c r="D1106" s="1" t="s">
        <v>2833</v>
      </c>
    </row>
    <row r="1107" spans="1:4" x14ac:dyDescent="0.25">
      <c r="A1107" s="1" t="s">
        <v>3938</v>
      </c>
      <c r="C1107" s="1" t="s">
        <v>3938</v>
      </c>
      <c r="D1107" s="1" t="s">
        <v>2833</v>
      </c>
    </row>
    <row r="1108" spans="1:4" x14ac:dyDescent="0.25">
      <c r="A1108" s="1" t="s">
        <v>3939</v>
      </c>
      <c r="C1108" s="1" t="s">
        <v>3939</v>
      </c>
      <c r="D1108" s="1" t="s">
        <v>2833</v>
      </c>
    </row>
    <row r="1109" spans="1:4" x14ac:dyDescent="0.25">
      <c r="A1109" s="1" t="s">
        <v>3940</v>
      </c>
      <c r="C1109" s="1" t="s">
        <v>3940</v>
      </c>
      <c r="D1109" s="1" t="s">
        <v>2833</v>
      </c>
    </row>
    <row r="1110" spans="1:4" x14ac:dyDescent="0.25">
      <c r="A1110" s="1" t="s">
        <v>3941</v>
      </c>
      <c r="C1110" s="1" t="s">
        <v>3941</v>
      </c>
      <c r="D1110" s="1" t="s">
        <v>2833</v>
      </c>
    </row>
    <row r="1111" spans="1:4" x14ac:dyDescent="0.25">
      <c r="A1111" s="1" t="s">
        <v>3942</v>
      </c>
      <c r="C1111" s="1" t="s">
        <v>3942</v>
      </c>
      <c r="D1111" s="1" t="s">
        <v>2833</v>
      </c>
    </row>
    <row r="1112" spans="1:4" x14ac:dyDescent="0.25">
      <c r="A1112" s="1" t="s">
        <v>3943</v>
      </c>
      <c r="C1112" s="1" t="s">
        <v>3943</v>
      </c>
      <c r="D1112" s="1" t="s">
        <v>2833</v>
      </c>
    </row>
    <row r="1113" spans="1:4" x14ac:dyDescent="0.25">
      <c r="A1113" s="1" t="s">
        <v>3944</v>
      </c>
      <c r="C1113" s="1" t="s">
        <v>3944</v>
      </c>
      <c r="D1113" s="1" t="s">
        <v>2833</v>
      </c>
    </row>
    <row r="1114" spans="1:4" x14ac:dyDescent="0.25">
      <c r="A1114" s="1" t="s">
        <v>3945</v>
      </c>
      <c r="C1114" s="1" t="s">
        <v>3945</v>
      </c>
      <c r="D1114" s="1" t="s">
        <v>2833</v>
      </c>
    </row>
    <row r="1115" spans="1:4" x14ac:dyDescent="0.25">
      <c r="A1115" s="1" t="s">
        <v>3946</v>
      </c>
      <c r="C1115" s="1" t="s">
        <v>3946</v>
      </c>
      <c r="D1115" s="1" t="s">
        <v>2833</v>
      </c>
    </row>
    <row r="1116" spans="1:4" x14ac:dyDescent="0.25">
      <c r="A1116" s="1" t="s">
        <v>3947</v>
      </c>
      <c r="C1116" s="1" t="s">
        <v>3947</v>
      </c>
      <c r="D1116" s="1" t="s">
        <v>2833</v>
      </c>
    </row>
    <row r="1117" spans="1:4" x14ac:dyDescent="0.25">
      <c r="A1117" s="1" t="s">
        <v>3948</v>
      </c>
      <c r="C1117" s="1" t="s">
        <v>3948</v>
      </c>
      <c r="D1117" s="1" t="s">
        <v>2833</v>
      </c>
    </row>
    <row r="1118" spans="1:4" x14ac:dyDescent="0.25">
      <c r="A1118" s="1" t="s">
        <v>3949</v>
      </c>
      <c r="C1118" s="1" t="s">
        <v>3949</v>
      </c>
      <c r="D1118" s="1" t="s">
        <v>2833</v>
      </c>
    </row>
    <row r="1119" spans="1:4" x14ac:dyDescent="0.25">
      <c r="A1119" s="1" t="s">
        <v>3950</v>
      </c>
      <c r="C1119" s="1" t="s">
        <v>3950</v>
      </c>
      <c r="D1119" s="1" t="s">
        <v>2833</v>
      </c>
    </row>
    <row r="1120" spans="1:4" x14ac:dyDescent="0.25">
      <c r="A1120" s="1" t="s">
        <v>3951</v>
      </c>
      <c r="C1120" s="1" t="s">
        <v>3951</v>
      </c>
      <c r="D1120" s="1" t="s">
        <v>2833</v>
      </c>
    </row>
    <row r="1121" spans="1:4" x14ac:dyDescent="0.25">
      <c r="A1121" s="1" t="s">
        <v>3952</v>
      </c>
      <c r="C1121" s="1" t="s">
        <v>3952</v>
      </c>
      <c r="D1121" s="1" t="s">
        <v>2833</v>
      </c>
    </row>
    <row r="1122" spans="1:4" x14ac:dyDescent="0.25">
      <c r="A1122" s="1" t="s">
        <v>3953</v>
      </c>
      <c r="C1122" s="1" t="s">
        <v>3953</v>
      </c>
      <c r="D1122" s="1" t="s">
        <v>2833</v>
      </c>
    </row>
    <row r="1123" spans="1:4" x14ac:dyDescent="0.25">
      <c r="A1123" s="1" t="s">
        <v>3954</v>
      </c>
      <c r="C1123" s="1" t="s">
        <v>3954</v>
      </c>
      <c r="D1123" s="1" t="s">
        <v>2833</v>
      </c>
    </row>
    <row r="1124" spans="1:4" x14ac:dyDescent="0.25">
      <c r="A1124" s="1" t="s">
        <v>3955</v>
      </c>
      <c r="C1124" s="1" t="s">
        <v>3955</v>
      </c>
      <c r="D1124" s="1" t="s">
        <v>2833</v>
      </c>
    </row>
    <row r="1125" spans="1:4" x14ac:dyDescent="0.25">
      <c r="A1125" s="1" t="s">
        <v>3956</v>
      </c>
      <c r="C1125" s="1" t="s">
        <v>3956</v>
      </c>
      <c r="D1125" s="1" t="s">
        <v>2833</v>
      </c>
    </row>
    <row r="1126" spans="1:4" x14ac:dyDescent="0.25">
      <c r="A1126" s="1" t="s">
        <v>3957</v>
      </c>
      <c r="C1126" s="1" t="s">
        <v>3957</v>
      </c>
      <c r="D1126" s="1" t="s">
        <v>2833</v>
      </c>
    </row>
    <row r="1127" spans="1:4" x14ac:dyDescent="0.25">
      <c r="A1127" s="1" t="s">
        <v>3958</v>
      </c>
      <c r="C1127" s="1" t="s">
        <v>3958</v>
      </c>
      <c r="D1127" s="1" t="s">
        <v>2833</v>
      </c>
    </row>
    <row r="1128" spans="1:4" x14ac:dyDescent="0.25">
      <c r="A1128" s="1" t="s">
        <v>3959</v>
      </c>
      <c r="C1128" s="1" t="s">
        <v>3959</v>
      </c>
      <c r="D1128" s="1" t="s">
        <v>2833</v>
      </c>
    </row>
    <row r="1129" spans="1:4" x14ac:dyDescent="0.25">
      <c r="A1129" s="1" t="s">
        <v>3960</v>
      </c>
      <c r="C1129" s="1" t="s">
        <v>3960</v>
      </c>
      <c r="D1129" s="1" t="s">
        <v>2833</v>
      </c>
    </row>
    <row r="1130" spans="1:4" x14ac:dyDescent="0.25">
      <c r="A1130" s="1" t="s">
        <v>3961</v>
      </c>
      <c r="C1130" s="1" t="s">
        <v>3961</v>
      </c>
      <c r="D1130" s="1" t="s">
        <v>2833</v>
      </c>
    </row>
    <row r="1131" spans="1:4" x14ac:dyDescent="0.25">
      <c r="A1131" s="1" t="s">
        <v>3962</v>
      </c>
      <c r="C1131" s="1" t="s">
        <v>3962</v>
      </c>
      <c r="D1131" s="1" t="s">
        <v>2833</v>
      </c>
    </row>
    <row r="1132" spans="1:4" x14ac:dyDescent="0.25">
      <c r="A1132" s="1" t="s">
        <v>3963</v>
      </c>
      <c r="C1132" s="1" t="s">
        <v>3963</v>
      </c>
      <c r="D1132" s="1" t="s">
        <v>2833</v>
      </c>
    </row>
    <row r="1133" spans="1:4" x14ac:dyDescent="0.25">
      <c r="A1133" s="1" t="s">
        <v>3964</v>
      </c>
      <c r="C1133" s="1" t="s">
        <v>3964</v>
      </c>
      <c r="D1133" s="1" t="s">
        <v>2833</v>
      </c>
    </row>
    <row r="1134" spans="1:4" x14ac:dyDescent="0.25">
      <c r="A1134" s="1" t="s">
        <v>3965</v>
      </c>
      <c r="C1134" s="1" t="s">
        <v>3965</v>
      </c>
      <c r="D1134" s="1" t="s">
        <v>2833</v>
      </c>
    </row>
    <row r="1135" spans="1:4" x14ac:dyDescent="0.25">
      <c r="A1135" s="1" t="s">
        <v>3966</v>
      </c>
      <c r="C1135" s="1" t="s">
        <v>3966</v>
      </c>
      <c r="D1135" s="1" t="s">
        <v>2833</v>
      </c>
    </row>
    <row r="1136" spans="1:4" x14ac:dyDescent="0.25">
      <c r="A1136" s="1" t="s">
        <v>3967</v>
      </c>
      <c r="C1136" s="1" t="s">
        <v>3967</v>
      </c>
      <c r="D1136" s="1" t="s">
        <v>2833</v>
      </c>
    </row>
    <row r="1137" spans="1:4" x14ac:dyDescent="0.25">
      <c r="A1137" s="1" t="s">
        <v>3968</v>
      </c>
      <c r="C1137" s="1" t="s">
        <v>3968</v>
      </c>
      <c r="D1137" s="1" t="s">
        <v>2833</v>
      </c>
    </row>
    <row r="1138" spans="1:4" x14ac:dyDescent="0.25">
      <c r="A1138" s="1" t="s">
        <v>3969</v>
      </c>
      <c r="C1138" s="1" t="s">
        <v>3969</v>
      </c>
      <c r="D1138" s="1" t="s">
        <v>2833</v>
      </c>
    </row>
    <row r="1139" spans="1:4" x14ac:dyDescent="0.25">
      <c r="A1139" s="1" t="s">
        <v>3970</v>
      </c>
      <c r="C1139" s="1" t="s">
        <v>3970</v>
      </c>
      <c r="D1139" s="1" t="s">
        <v>2833</v>
      </c>
    </row>
    <row r="1140" spans="1:4" x14ac:dyDescent="0.25">
      <c r="A1140" s="1" t="s">
        <v>3971</v>
      </c>
      <c r="C1140" s="1" t="s">
        <v>3971</v>
      </c>
      <c r="D1140" s="1" t="s">
        <v>2833</v>
      </c>
    </row>
    <row r="1141" spans="1:4" x14ac:dyDescent="0.25">
      <c r="A1141" s="1" t="s">
        <v>3972</v>
      </c>
      <c r="C1141" s="1" t="s">
        <v>3972</v>
      </c>
      <c r="D1141" s="1" t="s">
        <v>2833</v>
      </c>
    </row>
    <row r="1142" spans="1:4" x14ac:dyDescent="0.25">
      <c r="A1142" s="1" t="s">
        <v>3973</v>
      </c>
      <c r="C1142" s="1" t="s">
        <v>3973</v>
      </c>
      <c r="D1142" s="1" t="s">
        <v>2833</v>
      </c>
    </row>
    <row r="1143" spans="1:4" x14ac:dyDescent="0.25">
      <c r="A1143" s="1" t="s">
        <v>3974</v>
      </c>
      <c r="C1143" s="1" t="s">
        <v>3974</v>
      </c>
      <c r="D1143" s="1" t="s">
        <v>2833</v>
      </c>
    </row>
    <row r="1144" spans="1:4" x14ac:dyDescent="0.25">
      <c r="A1144" s="1" t="s">
        <v>3975</v>
      </c>
      <c r="C1144" s="1" t="s">
        <v>3975</v>
      </c>
      <c r="D1144" s="1" t="s">
        <v>2833</v>
      </c>
    </row>
    <row r="1145" spans="1:4" x14ac:dyDescent="0.25">
      <c r="A1145" s="1" t="s">
        <v>3976</v>
      </c>
      <c r="C1145" s="1" t="s">
        <v>3976</v>
      </c>
      <c r="D1145" s="1" t="s">
        <v>2833</v>
      </c>
    </row>
    <row r="1146" spans="1:4" x14ac:dyDescent="0.25">
      <c r="A1146" s="1" t="s">
        <v>3977</v>
      </c>
      <c r="C1146" s="1" t="s">
        <v>3977</v>
      </c>
      <c r="D1146" s="1" t="s">
        <v>2833</v>
      </c>
    </row>
    <row r="1147" spans="1:4" x14ac:dyDescent="0.25">
      <c r="A1147" s="1" t="s">
        <v>3978</v>
      </c>
      <c r="C1147" s="1" t="s">
        <v>3978</v>
      </c>
      <c r="D1147" s="1" t="s">
        <v>2833</v>
      </c>
    </row>
    <row r="1148" spans="1:4" x14ac:dyDescent="0.25">
      <c r="A1148" s="1" t="s">
        <v>3979</v>
      </c>
      <c r="C1148" s="1" t="s">
        <v>3979</v>
      </c>
      <c r="D1148" s="1" t="s">
        <v>2833</v>
      </c>
    </row>
    <row r="1149" spans="1:4" x14ac:dyDescent="0.25">
      <c r="A1149" s="1" t="s">
        <v>3980</v>
      </c>
      <c r="C1149" s="1" t="s">
        <v>3980</v>
      </c>
      <c r="D1149" s="1" t="s">
        <v>2833</v>
      </c>
    </row>
    <row r="1150" spans="1:4" x14ac:dyDescent="0.25">
      <c r="A1150" s="1" t="s">
        <v>3981</v>
      </c>
      <c r="C1150" s="1" t="s">
        <v>3981</v>
      </c>
      <c r="D1150" s="1" t="s">
        <v>2833</v>
      </c>
    </row>
    <row r="1151" spans="1:4" x14ac:dyDescent="0.25">
      <c r="A1151" s="1" t="s">
        <v>3982</v>
      </c>
      <c r="C1151" s="1" t="s">
        <v>3982</v>
      </c>
      <c r="D1151" s="1" t="s">
        <v>2833</v>
      </c>
    </row>
    <row r="1152" spans="1:4" x14ac:dyDescent="0.25">
      <c r="A1152" s="1" t="s">
        <v>3983</v>
      </c>
      <c r="C1152" s="1" t="s">
        <v>3983</v>
      </c>
      <c r="D1152" s="1" t="s">
        <v>2833</v>
      </c>
    </row>
    <row r="1153" spans="1:4" x14ac:dyDescent="0.25">
      <c r="A1153" s="1" t="s">
        <v>3984</v>
      </c>
      <c r="C1153" s="1" t="s">
        <v>3984</v>
      </c>
      <c r="D1153" s="1" t="s">
        <v>2833</v>
      </c>
    </row>
    <row r="1154" spans="1:4" x14ac:dyDescent="0.25">
      <c r="A1154" s="1" t="s">
        <v>3985</v>
      </c>
      <c r="C1154" s="1" t="s">
        <v>3985</v>
      </c>
      <c r="D1154" s="1" t="s">
        <v>2833</v>
      </c>
    </row>
    <row r="1155" spans="1:4" x14ac:dyDescent="0.25">
      <c r="A1155" s="1" t="s">
        <v>3986</v>
      </c>
      <c r="C1155" s="1" t="s">
        <v>3986</v>
      </c>
      <c r="D1155" s="1" t="s">
        <v>2833</v>
      </c>
    </row>
    <row r="1156" spans="1:4" x14ac:dyDescent="0.25">
      <c r="A1156" s="1" t="s">
        <v>3987</v>
      </c>
      <c r="C1156" s="1" t="s">
        <v>3987</v>
      </c>
      <c r="D1156" s="1" t="s">
        <v>2833</v>
      </c>
    </row>
    <row r="1157" spans="1:4" x14ac:dyDescent="0.25">
      <c r="A1157" s="1" t="s">
        <v>3988</v>
      </c>
      <c r="C1157" s="1" t="s">
        <v>3988</v>
      </c>
      <c r="D1157" s="1" t="s">
        <v>2833</v>
      </c>
    </row>
    <row r="1158" spans="1:4" x14ac:dyDescent="0.25">
      <c r="A1158" s="1" t="s">
        <v>3989</v>
      </c>
      <c r="C1158" s="1" t="s">
        <v>3989</v>
      </c>
      <c r="D1158" s="1" t="s">
        <v>2833</v>
      </c>
    </row>
    <row r="1159" spans="1:4" x14ac:dyDescent="0.25">
      <c r="A1159" s="1" t="s">
        <v>3990</v>
      </c>
      <c r="C1159" s="1" t="s">
        <v>3990</v>
      </c>
      <c r="D1159" s="1" t="s">
        <v>2833</v>
      </c>
    </row>
    <row r="1160" spans="1:4" x14ac:dyDescent="0.25">
      <c r="A1160" s="1" t="s">
        <v>3991</v>
      </c>
      <c r="C1160" s="1" t="s">
        <v>3991</v>
      </c>
      <c r="D1160" s="1" t="s">
        <v>2833</v>
      </c>
    </row>
    <row r="1161" spans="1:4" x14ac:dyDescent="0.25">
      <c r="A1161" s="1" t="s">
        <v>3992</v>
      </c>
      <c r="C1161" s="1" t="s">
        <v>3992</v>
      </c>
      <c r="D1161" s="1" t="s">
        <v>2833</v>
      </c>
    </row>
    <row r="1162" spans="1:4" x14ac:dyDescent="0.25">
      <c r="A1162" s="1" t="s">
        <v>3993</v>
      </c>
      <c r="C1162" s="1" t="s">
        <v>3993</v>
      </c>
      <c r="D1162" s="1" t="s">
        <v>2833</v>
      </c>
    </row>
    <row r="1163" spans="1:4" x14ac:dyDescent="0.25">
      <c r="A1163" s="1" t="s">
        <v>3994</v>
      </c>
      <c r="C1163" s="1" t="s">
        <v>3994</v>
      </c>
      <c r="D1163" s="1" t="s">
        <v>2833</v>
      </c>
    </row>
    <row r="1164" spans="1:4" x14ac:dyDescent="0.25">
      <c r="A1164" s="1" t="s">
        <v>3995</v>
      </c>
      <c r="C1164" s="1" t="s">
        <v>3995</v>
      </c>
      <c r="D1164" s="1" t="s">
        <v>2833</v>
      </c>
    </row>
    <row r="1165" spans="1:4" x14ac:dyDescent="0.25">
      <c r="A1165" s="1" t="s">
        <v>3996</v>
      </c>
      <c r="C1165" s="1" t="s">
        <v>3996</v>
      </c>
      <c r="D1165" s="1" t="s">
        <v>2833</v>
      </c>
    </row>
    <row r="1166" spans="1:4" x14ac:dyDescent="0.25">
      <c r="A1166" s="1" t="s">
        <v>3997</v>
      </c>
      <c r="C1166" s="1" t="s">
        <v>3997</v>
      </c>
      <c r="D1166" s="1" t="s">
        <v>2833</v>
      </c>
    </row>
    <row r="1167" spans="1:4" x14ac:dyDescent="0.25">
      <c r="A1167" s="1" t="s">
        <v>3998</v>
      </c>
      <c r="C1167" s="1" t="s">
        <v>3998</v>
      </c>
      <c r="D1167" s="1" t="s">
        <v>2833</v>
      </c>
    </row>
    <row r="1168" spans="1:4" x14ac:dyDescent="0.25">
      <c r="A1168" s="1" t="s">
        <v>3999</v>
      </c>
      <c r="C1168" s="1" t="s">
        <v>3999</v>
      </c>
      <c r="D1168" s="1" t="s">
        <v>2833</v>
      </c>
    </row>
    <row r="1169" spans="1:4" x14ac:dyDescent="0.25">
      <c r="A1169" s="1" t="s">
        <v>4000</v>
      </c>
      <c r="C1169" s="1" t="s">
        <v>4000</v>
      </c>
      <c r="D1169" s="1" t="s">
        <v>2833</v>
      </c>
    </row>
    <row r="1170" spans="1:4" x14ac:dyDescent="0.25">
      <c r="A1170" s="1" t="s">
        <v>4001</v>
      </c>
      <c r="C1170" s="1" t="s">
        <v>4001</v>
      </c>
      <c r="D1170" s="1" t="s">
        <v>2833</v>
      </c>
    </row>
    <row r="1171" spans="1:4" x14ac:dyDescent="0.25">
      <c r="A1171" s="1" t="s">
        <v>4002</v>
      </c>
      <c r="C1171" s="1" t="s">
        <v>4002</v>
      </c>
      <c r="D1171" s="1" t="s">
        <v>2833</v>
      </c>
    </row>
    <row r="1172" spans="1:4" x14ac:dyDescent="0.25">
      <c r="A1172" s="1" t="s">
        <v>4003</v>
      </c>
      <c r="C1172" s="1" t="s">
        <v>4003</v>
      </c>
      <c r="D1172" s="1" t="s">
        <v>2833</v>
      </c>
    </row>
    <row r="1173" spans="1:4" x14ac:dyDescent="0.25">
      <c r="A1173" s="1" t="s">
        <v>4004</v>
      </c>
      <c r="C1173" s="1" t="s">
        <v>4004</v>
      </c>
      <c r="D1173" s="1" t="s">
        <v>2833</v>
      </c>
    </row>
    <row r="1174" spans="1:4" x14ac:dyDescent="0.25">
      <c r="A1174" s="1" t="s">
        <v>4005</v>
      </c>
      <c r="C1174" s="1" t="s">
        <v>4005</v>
      </c>
      <c r="D1174" s="1" t="s">
        <v>2833</v>
      </c>
    </row>
    <row r="1175" spans="1:4" x14ac:dyDescent="0.25">
      <c r="A1175" s="1" t="s">
        <v>4006</v>
      </c>
      <c r="C1175" s="1" t="s">
        <v>4006</v>
      </c>
      <c r="D1175" s="1" t="s">
        <v>2833</v>
      </c>
    </row>
    <row r="1176" spans="1:4" x14ac:dyDescent="0.25">
      <c r="A1176" s="1" t="s">
        <v>4007</v>
      </c>
      <c r="C1176" s="1" t="s">
        <v>4007</v>
      </c>
      <c r="D1176" s="1" t="s">
        <v>2833</v>
      </c>
    </row>
    <row r="1177" spans="1:4" x14ac:dyDescent="0.25">
      <c r="A1177" s="1" t="s">
        <v>4008</v>
      </c>
      <c r="C1177" s="1" t="s">
        <v>4008</v>
      </c>
      <c r="D1177" s="1" t="s">
        <v>2833</v>
      </c>
    </row>
  </sheetData>
  <sheetProtection password="E42B" sheet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TPDate"/>
  <dimension ref="J16:AD133"/>
  <sheetViews>
    <sheetView workbookViewId="0"/>
  </sheetViews>
  <sheetFormatPr defaultRowHeight="15" x14ac:dyDescent="0.25"/>
  <sheetData>
    <row r="16" spans="10:22" x14ac:dyDescent="0.25">
      <c r="J16" s="1" t="s">
        <v>4009</v>
      </c>
      <c r="K16" s="1" t="s">
        <v>4010</v>
      </c>
      <c r="L16" s="1" t="s">
        <v>4011</v>
      </c>
      <c r="M16" s="1" t="s">
        <v>4012</v>
      </c>
      <c r="N16" s="1" t="s">
        <v>4013</v>
      </c>
      <c r="O16" s="1" t="s">
        <v>4014</v>
      </c>
      <c r="P16" s="1" t="s">
        <v>4015</v>
      </c>
      <c r="Q16" s="1" t="s">
        <v>4016</v>
      </c>
      <c r="R16" s="1" t="s">
        <v>4017</v>
      </c>
      <c r="S16" s="1" t="s">
        <v>4018</v>
      </c>
      <c r="T16" s="1" t="s">
        <v>4019</v>
      </c>
      <c r="U16" s="1" t="s">
        <v>4020</v>
      </c>
      <c r="V16" s="1" t="s">
        <v>4021</v>
      </c>
    </row>
    <row r="17" spans="10:30" x14ac:dyDescent="0.25">
      <c r="J17" s="1" t="s">
        <v>4022</v>
      </c>
      <c r="K17" s="1" t="s">
        <v>4023</v>
      </c>
      <c r="L17" s="1" t="s">
        <v>4024</v>
      </c>
      <c r="M17" s="1" t="s">
        <v>4025</v>
      </c>
      <c r="N17" s="1" t="s">
        <v>4026</v>
      </c>
      <c r="O17" s="1" t="s">
        <v>4027</v>
      </c>
      <c r="P17" s="1" t="s">
        <v>4028</v>
      </c>
      <c r="Q17" s="1" t="s">
        <v>4029</v>
      </c>
      <c r="R17" s="1" t="s">
        <v>4030</v>
      </c>
      <c r="S17" s="1" t="s">
        <v>4031</v>
      </c>
      <c r="T17" s="1" t="s">
        <v>4032</v>
      </c>
      <c r="U17" s="1" t="s">
        <v>4033</v>
      </c>
      <c r="V17" s="1" t="s">
        <v>4034</v>
      </c>
    </row>
    <row r="18" spans="10:30" x14ac:dyDescent="0.25">
      <c r="J18" s="1" t="s">
        <v>4035</v>
      </c>
      <c r="K18" s="1" t="s">
        <v>4036</v>
      </c>
      <c r="L18" s="1" t="s">
        <v>4037</v>
      </c>
      <c r="M18" s="1" t="s">
        <v>4038</v>
      </c>
      <c r="N18" s="1" t="s">
        <v>4039</v>
      </c>
      <c r="O18" s="1" t="s">
        <v>4040</v>
      </c>
      <c r="P18" s="1" t="s">
        <v>4041</v>
      </c>
      <c r="Q18" s="1" t="s">
        <v>4042</v>
      </c>
      <c r="R18" s="1" t="s">
        <v>4043</v>
      </c>
      <c r="S18" s="1" t="s">
        <v>4044</v>
      </c>
      <c r="T18" s="1" t="s">
        <v>4045</v>
      </c>
      <c r="U18" s="1" t="s">
        <v>4046</v>
      </c>
      <c r="V18" s="1" t="s">
        <v>4047</v>
      </c>
    </row>
    <row r="19" spans="10:30" x14ac:dyDescent="0.25">
      <c r="J19" s="1" t="s">
        <v>4048</v>
      </c>
      <c r="K19" s="1" t="s">
        <v>4049</v>
      </c>
      <c r="L19" s="1" t="s">
        <v>4050</v>
      </c>
      <c r="M19" s="1" t="s">
        <v>4051</v>
      </c>
      <c r="N19" s="1" t="s">
        <v>4052</v>
      </c>
      <c r="O19" s="1" t="s">
        <v>4053</v>
      </c>
      <c r="P19" s="1" t="s">
        <v>4054</v>
      </c>
      <c r="Q19" s="1" t="s">
        <v>4055</v>
      </c>
      <c r="R19" s="1" t="s">
        <v>4056</v>
      </c>
      <c r="S19" s="1" t="s">
        <v>4057</v>
      </c>
      <c r="T19" s="1" t="s">
        <v>4058</v>
      </c>
      <c r="U19" s="1" t="s">
        <v>4059</v>
      </c>
      <c r="V19" s="1" t="s">
        <v>4060</v>
      </c>
    </row>
    <row r="20" spans="10:30" x14ac:dyDescent="0.25">
      <c r="J20" s="1" t="s">
        <v>4061</v>
      </c>
      <c r="K20" s="1" t="s">
        <v>4062</v>
      </c>
      <c r="L20" s="1" t="s">
        <v>4063</v>
      </c>
      <c r="M20" s="1" t="s">
        <v>4064</v>
      </c>
      <c r="N20" s="1" t="s">
        <v>4065</v>
      </c>
      <c r="O20" s="1" t="s">
        <v>4066</v>
      </c>
      <c r="P20" s="1" t="s">
        <v>4067</v>
      </c>
      <c r="Q20" s="1" t="s">
        <v>4068</v>
      </c>
      <c r="R20" s="1" t="s">
        <v>4069</v>
      </c>
      <c r="S20" s="1" t="s">
        <v>4070</v>
      </c>
      <c r="T20" s="1" t="s">
        <v>4071</v>
      </c>
      <c r="U20" s="1" t="s">
        <v>4072</v>
      </c>
      <c r="V20" s="1" t="s">
        <v>4073</v>
      </c>
    </row>
    <row r="21" spans="10:30" x14ac:dyDescent="0.25">
      <c r="V21" s="1" t="s">
        <v>4074</v>
      </c>
    </row>
    <row r="22" spans="10:30" x14ac:dyDescent="0.25">
      <c r="J22" s="1" t="s">
        <v>4075</v>
      </c>
      <c r="K22" s="1" t="s">
        <v>4076</v>
      </c>
      <c r="L22" s="1" t="s">
        <v>4077</v>
      </c>
      <c r="M22" s="1" t="s">
        <v>4078</v>
      </c>
      <c r="N22" s="1" t="s">
        <v>4076</v>
      </c>
      <c r="O22" s="1" t="s">
        <v>4079</v>
      </c>
      <c r="P22" s="1" t="s">
        <v>4080</v>
      </c>
      <c r="Q22" s="1" t="s">
        <v>4081</v>
      </c>
      <c r="R22" s="1" t="s">
        <v>4082</v>
      </c>
      <c r="S22" s="1" t="s">
        <v>4083</v>
      </c>
      <c r="T22" s="1" t="s">
        <v>4084</v>
      </c>
      <c r="U22" s="1" t="s">
        <v>4085</v>
      </c>
      <c r="V22" s="1" t="s">
        <v>4086</v>
      </c>
    </row>
    <row r="24" spans="10:30" x14ac:dyDescent="0.25">
      <c r="Z24" s="1" t="s">
        <v>4087</v>
      </c>
    </row>
    <row r="25" spans="10:30" x14ac:dyDescent="0.25">
      <c r="Q25" s="1" t="s">
        <v>4087</v>
      </c>
      <c r="R25" s="1" t="s">
        <v>4087</v>
      </c>
      <c r="S25" s="1" t="s">
        <v>4088</v>
      </c>
      <c r="T25" s="1" t="s">
        <v>4089</v>
      </c>
      <c r="U25" s="1" t="s">
        <v>4090</v>
      </c>
      <c r="V25" s="1" t="s">
        <v>4091</v>
      </c>
      <c r="W25" s="1" t="s">
        <v>4092</v>
      </c>
      <c r="X25" s="1" t="s">
        <v>4093</v>
      </c>
      <c r="Y25" s="1" t="s">
        <v>4094</v>
      </c>
      <c r="Z25" s="1" t="s">
        <v>4087</v>
      </c>
      <c r="AA25" s="1" t="s">
        <v>4095</v>
      </c>
      <c r="AB25" s="1" t="s">
        <v>4096</v>
      </c>
      <c r="AC25" s="1" t="s">
        <v>4097</v>
      </c>
      <c r="AD25" s="1" t="s">
        <v>4098</v>
      </c>
    </row>
    <row r="26" spans="10:30" x14ac:dyDescent="0.25">
      <c r="Q26" s="1" t="s">
        <v>4099</v>
      </c>
      <c r="R26" s="1" t="s">
        <v>4100</v>
      </c>
      <c r="S26" s="1" t="s">
        <v>4101</v>
      </c>
      <c r="T26" s="1" t="s">
        <v>4102</v>
      </c>
      <c r="U26" s="1" t="s">
        <v>4103</v>
      </c>
      <c r="V26" s="1" t="s">
        <v>4104</v>
      </c>
      <c r="W26" s="1" t="s">
        <v>4105</v>
      </c>
      <c r="X26" s="1" t="s">
        <v>4106</v>
      </c>
      <c r="Y26" s="1" t="s">
        <v>4104</v>
      </c>
      <c r="AA26" s="1" t="s">
        <v>4107</v>
      </c>
      <c r="AB26" s="1" t="s">
        <v>4108</v>
      </c>
      <c r="AC26" s="1" t="s">
        <v>4109</v>
      </c>
      <c r="AD26" s="1" t="s">
        <v>4110</v>
      </c>
    </row>
    <row r="28" spans="10:30" x14ac:dyDescent="0.25">
      <c r="J28" s="1" t="s">
        <v>4111</v>
      </c>
      <c r="K28" s="1" t="s">
        <v>4112</v>
      </c>
      <c r="L28" s="1" t="s">
        <v>4113</v>
      </c>
      <c r="M28" s="1" t="s">
        <v>4114</v>
      </c>
      <c r="N28" s="1" t="s">
        <v>4115</v>
      </c>
      <c r="O28" s="1" t="s">
        <v>4116</v>
      </c>
      <c r="P28" s="1" t="s">
        <v>4115</v>
      </c>
      <c r="Q28" s="1" t="s">
        <v>4117</v>
      </c>
      <c r="R28" s="1" t="s">
        <v>4118</v>
      </c>
      <c r="S28" s="1" t="s">
        <v>4119</v>
      </c>
      <c r="T28" s="1" t="s">
        <v>4087</v>
      </c>
      <c r="U28" s="1" t="s">
        <v>4087</v>
      </c>
      <c r="V28" s="1" t="s">
        <v>4087</v>
      </c>
      <c r="W28" s="1" t="s">
        <v>4087</v>
      </c>
      <c r="X28" s="1" t="s">
        <v>4087</v>
      </c>
      <c r="Y28" s="1" t="s">
        <v>4087</v>
      </c>
      <c r="AA28" s="1" t="s">
        <v>4087</v>
      </c>
      <c r="AB28" s="1" t="s">
        <v>4087</v>
      </c>
      <c r="AC28" s="1" t="s">
        <v>4120</v>
      </c>
      <c r="AD28" s="1" t="s">
        <v>4121</v>
      </c>
    </row>
    <row r="29" spans="10:30" x14ac:dyDescent="0.25">
      <c r="Q29" s="1" t="s">
        <v>4122</v>
      </c>
      <c r="R29" s="1" t="s">
        <v>4115</v>
      </c>
      <c r="S29" s="1" t="s">
        <v>4123</v>
      </c>
      <c r="T29" s="1" t="s">
        <v>4124</v>
      </c>
      <c r="U29" s="1" t="s">
        <v>4125</v>
      </c>
      <c r="V29" s="1" t="s">
        <v>4126</v>
      </c>
      <c r="W29" s="1" t="s">
        <v>4127</v>
      </c>
      <c r="X29" s="1" t="s">
        <v>4125</v>
      </c>
      <c r="Y29" s="1" t="s">
        <v>4128</v>
      </c>
      <c r="AA29" s="1" t="s">
        <v>4129</v>
      </c>
      <c r="AB29" s="1" t="s">
        <v>4130</v>
      </c>
      <c r="AC29" s="1" t="s">
        <v>4087</v>
      </c>
      <c r="AD29" s="1" t="s">
        <v>4087</v>
      </c>
    </row>
    <row r="35" spans="17:30" x14ac:dyDescent="0.25">
      <c r="Q35" s="1" t="s">
        <v>4131</v>
      </c>
      <c r="R35" s="1" t="s">
        <v>4132</v>
      </c>
      <c r="S35" s="1" t="s">
        <v>4133</v>
      </c>
      <c r="T35" s="1" t="s">
        <v>4134</v>
      </c>
      <c r="U35" s="1" t="s">
        <v>4135</v>
      </c>
      <c r="V35" s="1" t="s">
        <v>4136</v>
      </c>
      <c r="W35" s="1" t="s">
        <v>4137</v>
      </c>
      <c r="X35" s="1" t="s">
        <v>4138</v>
      </c>
      <c r="Y35" s="1" t="s">
        <v>4139</v>
      </c>
      <c r="AA35" s="1" t="s">
        <v>4140</v>
      </c>
      <c r="AB35" s="1" t="s">
        <v>4141</v>
      </c>
      <c r="AC35" s="1" t="s">
        <v>4142</v>
      </c>
      <c r="AD35" s="1" t="s">
        <v>4087</v>
      </c>
    </row>
    <row r="36" spans="17:30" x14ac:dyDescent="0.25">
      <c r="Q36" s="1" t="s">
        <v>4087</v>
      </c>
      <c r="R36" s="1" t="s">
        <v>4098</v>
      </c>
      <c r="S36" s="1" t="s">
        <v>4087</v>
      </c>
      <c r="T36" s="1" t="s">
        <v>4134</v>
      </c>
      <c r="U36" s="1" t="s">
        <v>4087</v>
      </c>
      <c r="V36" s="1" t="s">
        <v>4143</v>
      </c>
      <c r="W36" s="1" t="s">
        <v>4087</v>
      </c>
      <c r="X36" s="1" t="s">
        <v>4144</v>
      </c>
      <c r="Y36" s="1" t="s">
        <v>4087</v>
      </c>
      <c r="AA36" s="1" t="s">
        <v>4145</v>
      </c>
      <c r="AB36" s="1" t="s">
        <v>4146</v>
      </c>
      <c r="AC36" s="1" t="s">
        <v>4142</v>
      </c>
      <c r="AD36" s="1" t="s">
        <v>4087</v>
      </c>
    </row>
    <row r="37" spans="17:30" x14ac:dyDescent="0.25">
      <c r="AD37" s="1" t="s">
        <v>4147</v>
      </c>
    </row>
    <row r="38" spans="17:30" x14ac:dyDescent="0.25">
      <c r="Q38" s="1" t="s">
        <v>4148</v>
      </c>
      <c r="R38" s="1" t="s">
        <v>4149</v>
      </c>
      <c r="S38" s="1" t="s">
        <v>4150</v>
      </c>
      <c r="T38" s="1" t="s">
        <v>4151</v>
      </c>
      <c r="U38" s="1" t="s">
        <v>4152</v>
      </c>
      <c r="V38" s="1" t="s">
        <v>4153</v>
      </c>
      <c r="W38" s="1" t="s">
        <v>4154</v>
      </c>
      <c r="X38" s="1" t="s">
        <v>4155</v>
      </c>
      <c r="Y38" s="1" t="s">
        <v>4156</v>
      </c>
      <c r="AA38" s="1" t="s">
        <v>4157</v>
      </c>
      <c r="AB38" s="1" t="s">
        <v>4158</v>
      </c>
      <c r="AC38" s="1" t="s">
        <v>4159</v>
      </c>
      <c r="AD38" s="1" t="s">
        <v>4149</v>
      </c>
    </row>
    <row r="39" spans="17:30" x14ac:dyDescent="0.25">
      <c r="Q39" s="1" t="s">
        <v>4160</v>
      </c>
      <c r="R39" s="1" t="s">
        <v>4161</v>
      </c>
      <c r="S39" s="1" t="s">
        <v>4162</v>
      </c>
      <c r="T39" s="1" t="s">
        <v>4163</v>
      </c>
      <c r="U39" s="1" t="s">
        <v>4164</v>
      </c>
      <c r="V39" s="1" t="s">
        <v>4165</v>
      </c>
      <c r="W39" s="1" t="s">
        <v>4166</v>
      </c>
      <c r="X39" s="1" t="s">
        <v>4167</v>
      </c>
      <c r="Y39" s="1" t="s">
        <v>4168</v>
      </c>
      <c r="AA39" s="1" t="s">
        <v>4169</v>
      </c>
      <c r="AB39" s="1" t="s">
        <v>4170</v>
      </c>
      <c r="AC39" s="1" t="s">
        <v>4171</v>
      </c>
      <c r="AD39" s="1" t="s">
        <v>4160</v>
      </c>
    </row>
    <row r="40" spans="17:30" x14ac:dyDescent="0.25">
      <c r="Q40" s="1" t="s">
        <v>4087</v>
      </c>
      <c r="R40" s="1" t="s">
        <v>4087</v>
      </c>
      <c r="S40" s="1" t="s">
        <v>4087</v>
      </c>
      <c r="T40" s="1" t="s">
        <v>4087</v>
      </c>
      <c r="U40" s="1" t="s">
        <v>4087</v>
      </c>
      <c r="V40" s="1" t="s">
        <v>4087</v>
      </c>
      <c r="W40" s="1" t="s">
        <v>4087</v>
      </c>
      <c r="X40" s="1" t="s">
        <v>4087</v>
      </c>
      <c r="Y40" s="1" t="s">
        <v>4087</v>
      </c>
      <c r="AA40" s="1" t="s">
        <v>4087</v>
      </c>
      <c r="AB40" s="1" t="s">
        <v>4087</v>
      </c>
      <c r="AC40" s="1" t="s">
        <v>4172</v>
      </c>
      <c r="AD40" s="1" t="s">
        <v>4087</v>
      </c>
    </row>
    <row r="41" spans="17:30" x14ac:dyDescent="0.25">
      <c r="Q41" s="1" t="s">
        <v>4173</v>
      </c>
      <c r="R41" s="1" t="s">
        <v>4087</v>
      </c>
      <c r="S41" s="1" t="s">
        <v>4087</v>
      </c>
      <c r="T41" s="1" t="s">
        <v>4087</v>
      </c>
      <c r="U41" s="1" t="s">
        <v>4087</v>
      </c>
      <c r="V41" s="1" t="s">
        <v>4174</v>
      </c>
      <c r="W41" s="1" t="s">
        <v>4087</v>
      </c>
      <c r="X41" s="1" t="s">
        <v>4087</v>
      </c>
      <c r="Y41" s="1" t="s">
        <v>4087</v>
      </c>
      <c r="AA41" s="1" t="s">
        <v>4173</v>
      </c>
      <c r="AB41" s="1" t="s">
        <v>4087</v>
      </c>
      <c r="AC41" s="1" t="s">
        <v>4175</v>
      </c>
      <c r="AD41" s="1" t="s">
        <v>4087</v>
      </c>
    </row>
    <row r="42" spans="17:30" x14ac:dyDescent="0.25">
      <c r="Q42" s="1" t="s">
        <v>4176</v>
      </c>
      <c r="R42" s="1" t="s">
        <v>4177</v>
      </c>
      <c r="S42" s="1" t="s">
        <v>4178</v>
      </c>
      <c r="T42" s="1" t="s">
        <v>4179</v>
      </c>
      <c r="U42" s="1" t="s">
        <v>4180</v>
      </c>
      <c r="V42" s="1" t="s">
        <v>4181</v>
      </c>
      <c r="W42" s="1" t="s">
        <v>4182</v>
      </c>
      <c r="X42" s="1" t="s">
        <v>4183</v>
      </c>
      <c r="Y42" s="1" t="s">
        <v>4184</v>
      </c>
      <c r="AA42" s="1" t="s">
        <v>4185</v>
      </c>
      <c r="AB42" s="1" t="s">
        <v>4186</v>
      </c>
      <c r="AC42" s="1" t="s">
        <v>4187</v>
      </c>
      <c r="AD42" s="1" t="s">
        <v>4188</v>
      </c>
    </row>
    <row r="43" spans="17:30" x14ac:dyDescent="0.25">
      <c r="Q43" s="1" t="s">
        <v>4189</v>
      </c>
      <c r="R43" s="1" t="s">
        <v>4190</v>
      </c>
      <c r="S43" s="1" t="s">
        <v>4190</v>
      </c>
      <c r="T43" s="1" t="s">
        <v>4191</v>
      </c>
      <c r="U43" s="1" t="s">
        <v>4192</v>
      </c>
      <c r="V43" s="1" t="s">
        <v>4193</v>
      </c>
      <c r="W43" s="1" t="s">
        <v>4194</v>
      </c>
      <c r="X43" s="1" t="s">
        <v>4195</v>
      </c>
      <c r="Y43" s="1" t="s">
        <v>4196</v>
      </c>
      <c r="AA43" s="1" t="s">
        <v>4197</v>
      </c>
      <c r="AB43" s="1" t="s">
        <v>4198</v>
      </c>
      <c r="AC43" s="1" t="s">
        <v>4199</v>
      </c>
      <c r="AD43" s="1" t="s">
        <v>4189</v>
      </c>
    </row>
    <row r="44" spans="17:30" x14ac:dyDescent="0.25">
      <c r="Q44" s="1" t="s">
        <v>4200</v>
      </c>
      <c r="R44" s="1" t="s">
        <v>4201</v>
      </c>
      <c r="S44" s="1" t="s">
        <v>4202</v>
      </c>
      <c r="T44" s="1" t="s">
        <v>4203</v>
      </c>
      <c r="U44" s="1" t="s">
        <v>4204</v>
      </c>
      <c r="V44" s="1" t="s">
        <v>4205</v>
      </c>
      <c r="W44" s="1" t="s">
        <v>4206</v>
      </c>
      <c r="X44" s="1" t="s">
        <v>4207</v>
      </c>
      <c r="Y44" s="1" t="s">
        <v>4208</v>
      </c>
      <c r="AA44" s="1" t="s">
        <v>4209</v>
      </c>
      <c r="AB44" s="1" t="s">
        <v>4210</v>
      </c>
      <c r="AC44" s="1" t="s">
        <v>4211</v>
      </c>
      <c r="AD44" s="1" t="s">
        <v>4212</v>
      </c>
    </row>
    <row r="46" spans="17:30" x14ac:dyDescent="0.25">
      <c r="Q46" s="1" t="s">
        <v>4213</v>
      </c>
      <c r="R46" s="1" t="s">
        <v>4214</v>
      </c>
      <c r="S46" s="1" t="s">
        <v>4215</v>
      </c>
      <c r="T46" s="1" t="s">
        <v>4216</v>
      </c>
      <c r="U46" s="1" t="s">
        <v>4217</v>
      </c>
      <c r="V46" s="1" t="s">
        <v>4218</v>
      </c>
      <c r="W46" s="1" t="s">
        <v>4219</v>
      </c>
      <c r="X46" s="1" t="s">
        <v>4220</v>
      </c>
      <c r="Y46" s="1" t="s">
        <v>4221</v>
      </c>
      <c r="AA46" s="1" t="s">
        <v>4160</v>
      </c>
      <c r="AB46" s="1" t="s">
        <v>4222</v>
      </c>
      <c r="AC46" s="1" t="s">
        <v>4213</v>
      </c>
      <c r="AD46" s="1" t="s">
        <v>4160</v>
      </c>
    </row>
    <row r="47" spans="17:30" x14ac:dyDescent="0.25">
      <c r="Q47" s="1" t="s">
        <v>4223</v>
      </c>
      <c r="R47" s="1" t="s">
        <v>4224</v>
      </c>
      <c r="S47" s="1" t="s">
        <v>4225</v>
      </c>
      <c r="T47" s="1" t="s">
        <v>4226</v>
      </c>
      <c r="U47" s="1" t="s">
        <v>4227</v>
      </c>
      <c r="V47" s="1" t="s">
        <v>4228</v>
      </c>
      <c r="W47" s="1" t="s">
        <v>4229</v>
      </c>
      <c r="X47" s="1" t="s">
        <v>4230</v>
      </c>
      <c r="Y47" s="1" t="s">
        <v>4231</v>
      </c>
      <c r="AA47" s="1" t="s">
        <v>4232</v>
      </c>
      <c r="AB47" s="1" t="s">
        <v>4233</v>
      </c>
      <c r="AC47" s="1" t="s">
        <v>4234</v>
      </c>
      <c r="AD47" s="1" t="s">
        <v>4235</v>
      </c>
    </row>
    <row r="49" spans="10:30" x14ac:dyDescent="0.25">
      <c r="Q49" s="1" t="s">
        <v>4236</v>
      </c>
      <c r="R49" s="1" t="s">
        <v>4237</v>
      </c>
      <c r="S49" s="1" t="s">
        <v>4238</v>
      </c>
      <c r="T49" s="1" t="s">
        <v>4239</v>
      </c>
      <c r="U49" s="1" t="s">
        <v>4240</v>
      </c>
      <c r="V49" s="1" t="s">
        <v>4241</v>
      </c>
      <c r="W49" s="1" t="s">
        <v>4242</v>
      </c>
      <c r="X49" s="1" t="s">
        <v>4243</v>
      </c>
      <c r="Y49" s="1" t="s">
        <v>4244</v>
      </c>
      <c r="AA49" s="1" t="s">
        <v>4245</v>
      </c>
      <c r="AB49" s="1" t="s">
        <v>4246</v>
      </c>
      <c r="AC49" s="1" t="s">
        <v>4247</v>
      </c>
      <c r="AD49" s="1" t="s">
        <v>4248</v>
      </c>
    </row>
    <row r="50" spans="10:30" x14ac:dyDescent="0.25">
      <c r="Q50" s="1" t="s">
        <v>4223</v>
      </c>
      <c r="R50" s="1" t="s">
        <v>4223</v>
      </c>
      <c r="S50" s="1" t="s">
        <v>4249</v>
      </c>
      <c r="T50" s="1" t="s">
        <v>4249</v>
      </c>
      <c r="U50" s="1" t="s">
        <v>4223</v>
      </c>
      <c r="V50" s="1" t="s">
        <v>4223</v>
      </c>
      <c r="W50" s="1" t="s">
        <v>4223</v>
      </c>
      <c r="X50" s="1" t="s">
        <v>4223</v>
      </c>
      <c r="Y50" s="1" t="s">
        <v>4223</v>
      </c>
      <c r="AA50" s="1" t="s">
        <v>4250</v>
      </c>
      <c r="AB50" s="1" t="s">
        <v>4223</v>
      </c>
      <c r="AC50" s="1" t="s">
        <v>4223</v>
      </c>
      <c r="AD50" s="1" t="s">
        <v>4223</v>
      </c>
    </row>
    <row r="51" spans="10:30" x14ac:dyDescent="0.25">
      <c r="Q51" s="1" t="s">
        <v>4087</v>
      </c>
      <c r="R51" s="1" t="s">
        <v>4087</v>
      </c>
      <c r="S51" s="1" t="s">
        <v>4087</v>
      </c>
      <c r="T51" s="1" t="s">
        <v>4087</v>
      </c>
      <c r="U51" s="1" t="s">
        <v>4087</v>
      </c>
      <c r="V51" s="1" t="s">
        <v>4087</v>
      </c>
      <c r="W51" s="1" t="s">
        <v>4087</v>
      </c>
      <c r="X51" s="1" t="s">
        <v>4087</v>
      </c>
      <c r="Y51" s="1" t="s">
        <v>4087</v>
      </c>
      <c r="AA51" s="1" t="s">
        <v>4087</v>
      </c>
      <c r="AB51" s="1" t="s">
        <v>4087</v>
      </c>
      <c r="AC51" s="1" t="s">
        <v>4251</v>
      </c>
      <c r="AD51" s="1" t="s">
        <v>4087</v>
      </c>
    </row>
    <row r="52" spans="10:30" x14ac:dyDescent="0.25">
      <c r="Q52" s="1" t="s">
        <v>4087</v>
      </c>
      <c r="R52" s="1" t="s">
        <v>4252</v>
      </c>
      <c r="S52" s="1" t="s">
        <v>4253</v>
      </c>
      <c r="T52" s="1" t="s">
        <v>4087</v>
      </c>
      <c r="U52" s="1" t="s">
        <v>4087</v>
      </c>
      <c r="V52" s="1" t="s">
        <v>4087</v>
      </c>
      <c r="W52" s="1" t="s">
        <v>4087</v>
      </c>
      <c r="X52" s="1" t="s">
        <v>4087</v>
      </c>
      <c r="Y52" s="1" t="s">
        <v>4087</v>
      </c>
      <c r="AA52" s="1" t="s">
        <v>4087</v>
      </c>
      <c r="AB52" s="1" t="s">
        <v>4087</v>
      </c>
      <c r="AC52" s="1" t="s">
        <v>4254</v>
      </c>
      <c r="AD52" s="1" t="s">
        <v>4255</v>
      </c>
    </row>
    <row r="54" spans="10:30" x14ac:dyDescent="0.25">
      <c r="Q54" s="1" t="s">
        <v>4087</v>
      </c>
      <c r="R54" s="1" t="s">
        <v>4087</v>
      </c>
      <c r="S54" s="1" t="s">
        <v>4087</v>
      </c>
      <c r="T54" s="1" t="s">
        <v>4256</v>
      </c>
      <c r="U54" s="1" t="s">
        <v>4257</v>
      </c>
      <c r="V54" s="1" t="s">
        <v>4258</v>
      </c>
      <c r="W54" s="1" t="s">
        <v>4259</v>
      </c>
      <c r="X54" s="1" t="s">
        <v>4260</v>
      </c>
      <c r="Y54" s="1" t="s">
        <v>4261</v>
      </c>
      <c r="AA54" s="1" t="s">
        <v>4262</v>
      </c>
      <c r="AB54" s="1" t="s">
        <v>4263</v>
      </c>
      <c r="AC54" s="1" t="s">
        <v>4087</v>
      </c>
      <c r="AD54" s="1" t="s">
        <v>4087</v>
      </c>
    </row>
    <row r="56" spans="10:30" x14ac:dyDescent="0.25">
      <c r="Q56" s="1" t="s">
        <v>4264</v>
      </c>
      <c r="R56" s="1" t="s">
        <v>4265</v>
      </c>
      <c r="S56" s="1" t="s">
        <v>4266</v>
      </c>
      <c r="T56" s="1" t="s">
        <v>4267</v>
      </c>
      <c r="U56" s="1" t="s">
        <v>4268</v>
      </c>
      <c r="V56" s="1" t="s">
        <v>4269</v>
      </c>
      <c r="W56" s="1" t="s">
        <v>4269</v>
      </c>
      <c r="X56" s="1" t="s">
        <v>4270</v>
      </c>
      <c r="Y56" s="1" t="s">
        <v>4271</v>
      </c>
      <c r="AA56" s="1" t="s">
        <v>4272</v>
      </c>
      <c r="AB56" s="1" t="s">
        <v>4273</v>
      </c>
      <c r="AC56" s="1" t="s">
        <v>4248</v>
      </c>
      <c r="AD56" s="1" t="s">
        <v>4274</v>
      </c>
    </row>
    <row r="57" spans="10:30" x14ac:dyDescent="0.25">
      <c r="J57" s="1" t="s">
        <v>4275</v>
      </c>
      <c r="K57" s="1" t="s">
        <v>4276</v>
      </c>
      <c r="L57" s="1" t="s">
        <v>4277</v>
      </c>
      <c r="M57" s="1" t="s">
        <v>4134</v>
      </c>
      <c r="N57" s="1" t="s">
        <v>4278</v>
      </c>
      <c r="O57" s="1" t="s">
        <v>4279</v>
      </c>
      <c r="P57" s="1" t="s">
        <v>4280</v>
      </c>
      <c r="Q57" s="1" t="s">
        <v>4281</v>
      </c>
      <c r="R57" s="1" t="s">
        <v>4282</v>
      </c>
      <c r="S57" s="1" t="s">
        <v>4283</v>
      </c>
      <c r="T57" s="1" t="s">
        <v>4284</v>
      </c>
      <c r="U57" s="1" t="s">
        <v>4285</v>
      </c>
      <c r="V57" s="1" t="s">
        <v>4286</v>
      </c>
      <c r="W57" s="1" t="s">
        <v>4287</v>
      </c>
      <c r="X57" s="1" t="s">
        <v>4288</v>
      </c>
      <c r="Y57" s="1" t="s">
        <v>4289</v>
      </c>
      <c r="AA57" s="1" t="s">
        <v>4290</v>
      </c>
      <c r="AB57" s="1" t="s">
        <v>4291</v>
      </c>
      <c r="AC57" s="1" t="s">
        <v>4292</v>
      </c>
      <c r="AD57" s="1" t="s">
        <v>4293</v>
      </c>
    </row>
    <row r="58" spans="10:30" x14ac:dyDescent="0.25">
      <c r="J58" s="1" t="s">
        <v>4294</v>
      </c>
      <c r="K58" s="1" t="s">
        <v>4295</v>
      </c>
      <c r="L58" s="1" t="s">
        <v>4296</v>
      </c>
      <c r="M58" s="1" t="s">
        <v>4297</v>
      </c>
      <c r="N58" s="1" t="s">
        <v>4298</v>
      </c>
      <c r="O58" s="1" t="s">
        <v>4299</v>
      </c>
      <c r="P58" s="1" t="s">
        <v>4300</v>
      </c>
      <c r="Q58" s="1" t="s">
        <v>4087</v>
      </c>
      <c r="R58" s="1" t="s">
        <v>4087</v>
      </c>
      <c r="S58" s="1" t="s">
        <v>4087</v>
      </c>
      <c r="T58" s="1" t="s">
        <v>4087</v>
      </c>
      <c r="U58" s="1" t="s">
        <v>4087</v>
      </c>
      <c r="V58" s="1" t="s">
        <v>4087</v>
      </c>
      <c r="W58" s="1" t="s">
        <v>4087</v>
      </c>
      <c r="X58" s="1" t="s">
        <v>4087</v>
      </c>
      <c r="Y58" s="1" t="s">
        <v>4087</v>
      </c>
      <c r="AA58" s="1" t="s">
        <v>4087</v>
      </c>
      <c r="AB58" s="1" t="s">
        <v>4087</v>
      </c>
      <c r="AC58" s="1" t="s">
        <v>4087</v>
      </c>
      <c r="AD58" s="1" t="s">
        <v>4145</v>
      </c>
    </row>
    <row r="59" spans="10:30" x14ac:dyDescent="0.25">
      <c r="Q59" s="1" t="s">
        <v>4301</v>
      </c>
      <c r="R59" s="1" t="s">
        <v>4302</v>
      </c>
      <c r="S59" s="1" t="s">
        <v>4303</v>
      </c>
      <c r="T59" s="1" t="s">
        <v>4304</v>
      </c>
      <c r="U59" s="1" t="s">
        <v>4305</v>
      </c>
      <c r="V59" s="1" t="s">
        <v>4306</v>
      </c>
      <c r="W59" s="1" t="s">
        <v>4307</v>
      </c>
      <c r="X59" s="1" t="s">
        <v>4308</v>
      </c>
      <c r="Y59" s="1" t="s">
        <v>4309</v>
      </c>
      <c r="AA59" s="1" t="s">
        <v>4310</v>
      </c>
      <c r="AB59" s="1" t="s">
        <v>4311</v>
      </c>
      <c r="AC59" s="1" t="s">
        <v>4312</v>
      </c>
      <c r="AD59" s="1" t="s">
        <v>4313</v>
      </c>
    </row>
    <row r="61" spans="10:30" x14ac:dyDescent="0.25">
      <c r="K61" s="1" t="s">
        <v>4314</v>
      </c>
      <c r="R61" s="1" t="s">
        <v>4315</v>
      </c>
      <c r="S61" s="1" t="s">
        <v>4316</v>
      </c>
      <c r="T61" s="1" t="s">
        <v>4317</v>
      </c>
      <c r="U61" s="1" t="s">
        <v>4318</v>
      </c>
      <c r="V61" s="1" t="s">
        <v>4319</v>
      </c>
    </row>
    <row r="62" spans="10:30" x14ac:dyDescent="0.25">
      <c r="J62" s="1" t="s">
        <v>4320</v>
      </c>
      <c r="K62" s="1" t="s">
        <v>4321</v>
      </c>
      <c r="L62" s="1" t="s">
        <v>4322</v>
      </c>
      <c r="M62" s="1" t="s">
        <v>4323</v>
      </c>
      <c r="N62" s="1" t="s">
        <v>4324</v>
      </c>
      <c r="O62" s="1" t="s">
        <v>4325</v>
      </c>
      <c r="P62" s="1" t="s">
        <v>4326</v>
      </c>
      <c r="Q62" s="1" t="s">
        <v>4327</v>
      </c>
      <c r="R62" s="1" t="s">
        <v>4328</v>
      </c>
      <c r="S62" s="1" t="s">
        <v>4329</v>
      </c>
      <c r="T62" s="1" t="s">
        <v>4330</v>
      </c>
      <c r="U62" s="1" t="s">
        <v>4331</v>
      </c>
      <c r="V62" s="1" t="s">
        <v>4332</v>
      </c>
    </row>
    <row r="63" spans="10:30" x14ac:dyDescent="0.25">
      <c r="J63" s="1" t="s">
        <v>4333</v>
      </c>
      <c r="K63" s="1" t="s">
        <v>4334</v>
      </c>
      <c r="L63" s="1" t="s">
        <v>4335</v>
      </c>
      <c r="M63" s="1" t="s">
        <v>4336</v>
      </c>
      <c r="N63" s="1" t="s">
        <v>4337</v>
      </c>
      <c r="O63" s="1" t="s">
        <v>4338</v>
      </c>
      <c r="P63" s="1" t="s">
        <v>4339</v>
      </c>
      <c r="Q63" s="1" t="s">
        <v>4340</v>
      </c>
      <c r="R63" s="1" t="s">
        <v>4341</v>
      </c>
      <c r="S63" s="1" t="s">
        <v>4342</v>
      </c>
      <c r="T63" s="1" t="s">
        <v>4343</v>
      </c>
      <c r="U63" s="1" t="s">
        <v>4344</v>
      </c>
      <c r="V63" s="1" t="s">
        <v>4345</v>
      </c>
    </row>
    <row r="64" spans="10:30" x14ac:dyDescent="0.25">
      <c r="J64" s="1" t="s">
        <v>4346</v>
      </c>
      <c r="K64" s="1" t="s">
        <v>4347</v>
      </c>
      <c r="L64" s="1" t="s">
        <v>4348</v>
      </c>
      <c r="M64" s="1" t="s">
        <v>4349</v>
      </c>
      <c r="N64" s="1" t="s">
        <v>4350</v>
      </c>
      <c r="O64" s="1" t="s">
        <v>4351</v>
      </c>
      <c r="P64" s="1" t="s">
        <v>4352</v>
      </c>
      <c r="Q64" s="1" t="s">
        <v>4353</v>
      </c>
      <c r="R64" s="1" t="s">
        <v>4354</v>
      </c>
      <c r="S64" s="1" t="s">
        <v>4355</v>
      </c>
      <c r="T64" s="1" t="s">
        <v>4356</v>
      </c>
      <c r="U64" s="1" t="s">
        <v>4357</v>
      </c>
      <c r="V64" s="1" t="s">
        <v>4358</v>
      </c>
    </row>
    <row r="65" spans="10:30" x14ac:dyDescent="0.25">
      <c r="J65" s="1" t="s">
        <v>4359</v>
      </c>
      <c r="K65" s="1" t="s">
        <v>4360</v>
      </c>
      <c r="L65" s="1" t="s">
        <v>4361</v>
      </c>
      <c r="M65" s="1" t="s">
        <v>4362</v>
      </c>
      <c r="N65" s="1" t="s">
        <v>4363</v>
      </c>
      <c r="O65" s="1" t="s">
        <v>4364</v>
      </c>
      <c r="P65" s="1" t="s">
        <v>4365</v>
      </c>
      <c r="Q65" s="1" t="s">
        <v>4366</v>
      </c>
      <c r="R65" s="1" t="s">
        <v>4367</v>
      </c>
      <c r="S65" s="1" t="s">
        <v>4368</v>
      </c>
      <c r="T65" s="1" t="s">
        <v>4369</v>
      </c>
      <c r="U65" s="1" t="s">
        <v>4370</v>
      </c>
      <c r="V65" s="1" t="s">
        <v>4371</v>
      </c>
    </row>
    <row r="67" spans="10:30" x14ac:dyDescent="0.25">
      <c r="Q67" s="1" t="s">
        <v>4265</v>
      </c>
      <c r="R67" s="1" t="s">
        <v>4372</v>
      </c>
      <c r="S67" s="1" t="s">
        <v>4265</v>
      </c>
      <c r="T67" s="1" t="s">
        <v>4265</v>
      </c>
      <c r="U67" s="1" t="s">
        <v>4265</v>
      </c>
      <c r="V67" s="1" t="s">
        <v>4265</v>
      </c>
      <c r="W67" s="1" t="s">
        <v>4265</v>
      </c>
      <c r="X67" s="1" t="s">
        <v>4265</v>
      </c>
      <c r="Y67" s="1" t="s">
        <v>4265</v>
      </c>
      <c r="AA67" s="1" t="s">
        <v>4265</v>
      </c>
      <c r="AB67" s="1" t="s">
        <v>4265</v>
      </c>
      <c r="AC67" s="1" t="s">
        <v>4373</v>
      </c>
      <c r="AD67" s="1" t="s">
        <v>4374</v>
      </c>
    </row>
    <row r="69" spans="10:30" x14ac:dyDescent="0.25">
      <c r="Q69" s="1" t="s">
        <v>4375</v>
      </c>
      <c r="R69" s="1" t="s">
        <v>4376</v>
      </c>
      <c r="S69" s="1" t="s">
        <v>4377</v>
      </c>
      <c r="T69" s="1" t="s">
        <v>4378</v>
      </c>
      <c r="U69" s="1" t="s">
        <v>4379</v>
      </c>
      <c r="V69" s="1" t="s">
        <v>4380</v>
      </c>
      <c r="W69" s="1" t="s">
        <v>4381</v>
      </c>
      <c r="X69" s="1" t="s">
        <v>4382</v>
      </c>
      <c r="Y69" s="1" t="s">
        <v>4383</v>
      </c>
      <c r="AA69" s="1" t="s">
        <v>4384</v>
      </c>
      <c r="AB69" s="1" t="s">
        <v>4385</v>
      </c>
      <c r="AC69" s="1" t="s">
        <v>4386</v>
      </c>
      <c r="AD69" s="1" t="s">
        <v>4265</v>
      </c>
    </row>
    <row r="70" spans="10:30" x14ac:dyDescent="0.25">
      <c r="Q70" s="1" t="s">
        <v>4387</v>
      </c>
      <c r="R70" s="1" t="s">
        <v>4388</v>
      </c>
      <c r="S70" s="1" t="s">
        <v>4389</v>
      </c>
      <c r="T70" s="1" t="s">
        <v>4390</v>
      </c>
      <c r="U70" s="1" t="s">
        <v>4391</v>
      </c>
      <c r="V70" s="1" t="s">
        <v>4392</v>
      </c>
      <c r="W70" s="1" t="s">
        <v>4393</v>
      </c>
      <c r="X70" s="1" t="s">
        <v>4394</v>
      </c>
      <c r="Y70" s="1" t="s">
        <v>4395</v>
      </c>
      <c r="AA70" s="1" t="s">
        <v>4390</v>
      </c>
      <c r="AB70" s="1" t="s">
        <v>4396</v>
      </c>
      <c r="AC70" s="1" t="s">
        <v>4397</v>
      </c>
      <c r="AD70" s="1" t="s">
        <v>4398</v>
      </c>
    </row>
    <row r="71" spans="10:30" x14ac:dyDescent="0.25">
      <c r="Q71" s="1" t="s">
        <v>4399</v>
      </c>
      <c r="R71" s="1" t="s">
        <v>4400</v>
      </c>
      <c r="S71" s="1" t="s">
        <v>4401</v>
      </c>
      <c r="T71" s="1" t="s">
        <v>4402</v>
      </c>
      <c r="U71" s="1" t="s">
        <v>4403</v>
      </c>
      <c r="V71" s="1" t="s">
        <v>4404</v>
      </c>
      <c r="W71" s="1" t="s">
        <v>4405</v>
      </c>
      <c r="Y71" s="1" t="s">
        <v>4406</v>
      </c>
      <c r="AA71" s="1" t="s">
        <v>4407</v>
      </c>
      <c r="AB71" s="1" t="s">
        <v>4408</v>
      </c>
      <c r="AC71" s="1" t="s">
        <v>4409</v>
      </c>
      <c r="AD71" s="1" t="s">
        <v>4410</v>
      </c>
    </row>
    <row r="72" spans="10:30" x14ac:dyDescent="0.25">
      <c r="Q72" s="1" t="s">
        <v>4329</v>
      </c>
      <c r="S72" s="1" t="s">
        <v>4319</v>
      </c>
      <c r="T72" s="1" t="s">
        <v>4318</v>
      </c>
      <c r="U72" s="1" t="s">
        <v>4411</v>
      </c>
      <c r="V72" s="1" t="s">
        <v>4329</v>
      </c>
      <c r="W72" s="1" t="s">
        <v>4316</v>
      </c>
      <c r="X72" s="1" t="s">
        <v>4319</v>
      </c>
      <c r="Y72" s="1" t="s">
        <v>4412</v>
      </c>
      <c r="AA72" s="1" t="s">
        <v>4316</v>
      </c>
      <c r="AB72" s="1" t="s">
        <v>4314</v>
      </c>
      <c r="AC72" s="1" t="s">
        <v>4319</v>
      </c>
    </row>
    <row r="73" spans="10:30" x14ac:dyDescent="0.25">
      <c r="Q73" s="1" t="s">
        <v>4413</v>
      </c>
      <c r="R73" s="1" t="s">
        <v>4314</v>
      </c>
      <c r="W73" s="1" t="s">
        <v>4414</v>
      </c>
      <c r="X73" s="1" t="s">
        <v>4415</v>
      </c>
      <c r="Y73" s="1" t="s">
        <v>4416</v>
      </c>
      <c r="AA73" s="1" t="s">
        <v>4319</v>
      </c>
      <c r="AC73" s="1" t="s">
        <v>4329</v>
      </c>
      <c r="AD73" s="1" t="s">
        <v>4319</v>
      </c>
    </row>
    <row r="75" spans="10:30" x14ac:dyDescent="0.25">
      <c r="Q75" s="1" t="s">
        <v>4417</v>
      </c>
      <c r="R75" s="1" t="s">
        <v>4418</v>
      </c>
      <c r="S75" s="1" t="s">
        <v>4419</v>
      </c>
      <c r="T75" s="1" t="s">
        <v>4265</v>
      </c>
      <c r="U75" s="1" t="s">
        <v>4420</v>
      </c>
      <c r="V75" s="1" t="s">
        <v>4265</v>
      </c>
      <c r="W75" s="1" t="s">
        <v>4421</v>
      </c>
      <c r="X75" s="1" t="s">
        <v>4265</v>
      </c>
      <c r="Y75" s="1" t="s">
        <v>4422</v>
      </c>
      <c r="AA75" s="1" t="s">
        <v>4423</v>
      </c>
      <c r="AB75" s="1" t="s">
        <v>4424</v>
      </c>
      <c r="AC75" s="1" t="s">
        <v>4425</v>
      </c>
      <c r="AD75" s="1" t="s">
        <v>4426</v>
      </c>
    </row>
    <row r="76" spans="10:30" x14ac:dyDescent="0.25">
      <c r="Q76" s="1" t="s">
        <v>4427</v>
      </c>
      <c r="R76" s="1" t="s">
        <v>4428</v>
      </c>
      <c r="S76" s="1" t="s">
        <v>4429</v>
      </c>
      <c r="T76" s="1" t="s">
        <v>4430</v>
      </c>
      <c r="U76" s="1" t="s">
        <v>4431</v>
      </c>
      <c r="V76" s="1" t="s">
        <v>4432</v>
      </c>
      <c r="W76" s="1" t="s">
        <v>4433</v>
      </c>
      <c r="X76" s="1" t="s">
        <v>4434</v>
      </c>
      <c r="Y76" s="1" t="s">
        <v>4435</v>
      </c>
      <c r="AA76" s="1" t="s">
        <v>4436</v>
      </c>
      <c r="AB76" s="1" t="s">
        <v>4437</v>
      </c>
      <c r="AC76" s="1" t="s">
        <v>4438</v>
      </c>
      <c r="AD76" s="1" t="s">
        <v>4439</v>
      </c>
    </row>
    <row r="77" spans="10:30" x14ac:dyDescent="0.25">
      <c r="Q77" s="1" t="s">
        <v>4440</v>
      </c>
      <c r="R77" s="1" t="s">
        <v>4148</v>
      </c>
      <c r="S77" s="1" t="s">
        <v>4441</v>
      </c>
      <c r="T77" s="1" t="s">
        <v>4442</v>
      </c>
      <c r="U77" s="1" t="s">
        <v>4443</v>
      </c>
      <c r="V77" s="1" t="s">
        <v>4444</v>
      </c>
      <c r="W77" s="1" t="s">
        <v>4445</v>
      </c>
      <c r="X77" s="1" t="s">
        <v>4446</v>
      </c>
      <c r="Y77" s="1" t="s">
        <v>4447</v>
      </c>
      <c r="AA77" s="1" t="s">
        <v>4448</v>
      </c>
      <c r="AB77" s="1" t="s">
        <v>4449</v>
      </c>
      <c r="AC77" s="1" t="s">
        <v>4450</v>
      </c>
      <c r="AD77" s="1" t="s">
        <v>4148</v>
      </c>
    </row>
    <row r="78" spans="10:30" x14ac:dyDescent="0.25">
      <c r="Q78" s="1" t="s">
        <v>4223</v>
      </c>
      <c r="R78" s="1" t="s">
        <v>4223</v>
      </c>
      <c r="S78" s="1" t="s">
        <v>4223</v>
      </c>
      <c r="T78" s="1" t="s">
        <v>4451</v>
      </c>
      <c r="U78" s="1" t="s">
        <v>4452</v>
      </c>
      <c r="V78" s="1" t="s">
        <v>4453</v>
      </c>
      <c r="W78" s="1" t="s">
        <v>4223</v>
      </c>
      <c r="X78" s="1" t="s">
        <v>4223</v>
      </c>
      <c r="Y78" s="1" t="s">
        <v>4223</v>
      </c>
      <c r="AA78" s="1" t="s">
        <v>4454</v>
      </c>
      <c r="AB78" s="1" t="s">
        <v>4455</v>
      </c>
      <c r="AC78" s="1" t="s">
        <v>4223</v>
      </c>
      <c r="AD78" s="1" t="s">
        <v>4456</v>
      </c>
    </row>
    <row r="80" spans="10:30" x14ac:dyDescent="0.25">
      <c r="J80" s="1" t="s">
        <v>4457</v>
      </c>
      <c r="K80" s="1" t="s">
        <v>4458</v>
      </c>
      <c r="L80" s="1" t="s">
        <v>4459</v>
      </c>
      <c r="M80" s="1" t="s">
        <v>4460</v>
      </c>
      <c r="N80" s="1" t="s">
        <v>4461</v>
      </c>
      <c r="O80" s="1" t="s">
        <v>4462</v>
      </c>
      <c r="P80" s="1" t="s">
        <v>4463</v>
      </c>
      <c r="Q80" s="1" t="s">
        <v>4464</v>
      </c>
      <c r="R80" s="1" t="s">
        <v>4465</v>
      </c>
      <c r="T80" s="1" t="s">
        <v>4466</v>
      </c>
      <c r="U80" s="1" t="s">
        <v>4467</v>
      </c>
      <c r="V80" s="1" t="s">
        <v>4458</v>
      </c>
      <c r="W80" s="1" t="s">
        <v>4457</v>
      </c>
    </row>
    <row r="81" spans="10:23" x14ac:dyDescent="0.25">
      <c r="J81" s="1" t="s">
        <v>4468</v>
      </c>
      <c r="K81" s="1" t="s">
        <v>4469</v>
      </c>
      <c r="L81" s="1" t="s">
        <v>4470</v>
      </c>
      <c r="M81" s="1" t="s">
        <v>4470</v>
      </c>
      <c r="N81" s="1" t="s">
        <v>4470</v>
      </c>
      <c r="O81" s="1" t="s">
        <v>4470</v>
      </c>
      <c r="P81" s="1" t="s">
        <v>4471</v>
      </c>
      <c r="Q81" s="1" t="s">
        <v>4472</v>
      </c>
      <c r="R81" s="1" t="s">
        <v>4473</v>
      </c>
      <c r="T81" s="1" t="s">
        <v>4474</v>
      </c>
      <c r="U81" s="1" t="s">
        <v>4475</v>
      </c>
      <c r="V81" s="1" t="s">
        <v>4476</v>
      </c>
      <c r="W81" s="1" t="s">
        <v>4477</v>
      </c>
    </row>
    <row r="82" spans="10:23" x14ac:dyDescent="0.25">
      <c r="J82" s="1" t="s">
        <v>4087</v>
      </c>
      <c r="K82" s="1" t="s">
        <v>4087</v>
      </c>
      <c r="L82" s="1" t="s">
        <v>4087</v>
      </c>
      <c r="M82" s="1" t="s">
        <v>4087</v>
      </c>
      <c r="N82" s="1" t="s">
        <v>4087</v>
      </c>
      <c r="O82" s="1" t="s">
        <v>4087</v>
      </c>
      <c r="P82" s="1" t="s">
        <v>4087</v>
      </c>
      <c r="Q82" s="1" t="s">
        <v>4087</v>
      </c>
      <c r="R82" s="1" t="s">
        <v>4087</v>
      </c>
      <c r="T82" s="1" t="s">
        <v>4087</v>
      </c>
      <c r="U82" s="1" t="s">
        <v>4300</v>
      </c>
      <c r="V82" s="1" t="s">
        <v>4087</v>
      </c>
      <c r="W82" s="1" t="s">
        <v>4087</v>
      </c>
    </row>
    <row r="83" spans="10:23" x14ac:dyDescent="0.25">
      <c r="J83" s="1" t="s">
        <v>4087</v>
      </c>
      <c r="K83" s="1" t="s">
        <v>4087</v>
      </c>
      <c r="L83" s="1" t="s">
        <v>4087</v>
      </c>
      <c r="M83" s="1" t="s">
        <v>4087</v>
      </c>
      <c r="N83" s="1" t="s">
        <v>4087</v>
      </c>
      <c r="O83" s="1" t="s">
        <v>4098</v>
      </c>
      <c r="P83" s="1" t="s">
        <v>4087</v>
      </c>
      <c r="Q83" s="1" t="s">
        <v>4478</v>
      </c>
      <c r="R83" s="1" t="s">
        <v>4098</v>
      </c>
      <c r="T83" s="1" t="s">
        <v>4087</v>
      </c>
      <c r="U83" s="1" t="s">
        <v>4087</v>
      </c>
      <c r="V83" s="1" t="s">
        <v>4087</v>
      </c>
      <c r="W83" s="1" t="s">
        <v>4087</v>
      </c>
    </row>
    <row r="86" spans="10:23" x14ac:dyDescent="0.25">
      <c r="J86" s="1" t="s">
        <v>4479</v>
      </c>
      <c r="K86" s="1" t="s">
        <v>4480</v>
      </c>
      <c r="L86" s="1" t="s">
        <v>4481</v>
      </c>
      <c r="M86" s="1" t="s">
        <v>4482</v>
      </c>
      <c r="N86" s="1" t="s">
        <v>4483</v>
      </c>
      <c r="O86" s="1" t="s">
        <v>4484</v>
      </c>
      <c r="P86" s="1" t="s">
        <v>4485</v>
      </c>
      <c r="Q86" s="1" t="s">
        <v>4486</v>
      </c>
      <c r="R86" s="1" t="s">
        <v>4487</v>
      </c>
      <c r="T86" s="1" t="s">
        <v>4488</v>
      </c>
      <c r="U86" s="1" t="s">
        <v>4489</v>
      </c>
      <c r="V86" s="1" t="s">
        <v>4490</v>
      </c>
      <c r="W86" s="1" t="s">
        <v>4491</v>
      </c>
    </row>
    <row r="87" spans="10:23" x14ac:dyDescent="0.25">
      <c r="J87" s="1" t="s">
        <v>4492</v>
      </c>
      <c r="K87" s="1" t="s">
        <v>4493</v>
      </c>
      <c r="L87" s="1" t="s">
        <v>4494</v>
      </c>
      <c r="M87" s="1" t="s">
        <v>4493</v>
      </c>
      <c r="N87" s="1" t="s">
        <v>4495</v>
      </c>
      <c r="O87" s="1" t="s">
        <v>4077</v>
      </c>
      <c r="P87" s="1" t="s">
        <v>4077</v>
      </c>
      <c r="Q87" s="1" t="s">
        <v>4077</v>
      </c>
      <c r="R87" s="1" t="s">
        <v>4077</v>
      </c>
      <c r="T87" s="1" t="s">
        <v>4077</v>
      </c>
      <c r="U87" s="1" t="s">
        <v>4496</v>
      </c>
      <c r="V87" s="1" t="s">
        <v>4497</v>
      </c>
      <c r="W87" s="1" t="s">
        <v>4498</v>
      </c>
    </row>
    <row r="89" spans="10:23" x14ac:dyDescent="0.25">
      <c r="J89" s="1" t="s">
        <v>4499</v>
      </c>
      <c r="K89" s="1" t="s">
        <v>4087</v>
      </c>
      <c r="L89" s="1" t="s">
        <v>4500</v>
      </c>
      <c r="M89" s="1" t="s">
        <v>4501</v>
      </c>
      <c r="N89" s="1" t="s">
        <v>4502</v>
      </c>
      <c r="O89" s="1" t="s">
        <v>4503</v>
      </c>
      <c r="P89" s="1" t="s">
        <v>4504</v>
      </c>
      <c r="Q89" s="1" t="s">
        <v>4505</v>
      </c>
      <c r="R89" s="1" t="s">
        <v>4506</v>
      </c>
      <c r="T89" s="1" t="s">
        <v>4507</v>
      </c>
      <c r="U89" s="1" t="s">
        <v>4508</v>
      </c>
      <c r="V89" s="1" t="s">
        <v>4509</v>
      </c>
      <c r="W89" s="1" t="s">
        <v>4510</v>
      </c>
    </row>
    <row r="91" spans="10:23" x14ac:dyDescent="0.25">
      <c r="J91" s="1" t="s">
        <v>4511</v>
      </c>
      <c r="K91" s="1" t="s">
        <v>4512</v>
      </c>
      <c r="L91" s="1" t="s">
        <v>4513</v>
      </c>
      <c r="M91" s="1" t="s">
        <v>4514</v>
      </c>
      <c r="N91" s="1" t="s">
        <v>4515</v>
      </c>
      <c r="O91" s="1" t="s">
        <v>4516</v>
      </c>
      <c r="P91" s="1" t="s">
        <v>4517</v>
      </c>
      <c r="Q91" s="1" t="s">
        <v>4518</v>
      </c>
      <c r="R91" s="1" t="s">
        <v>4519</v>
      </c>
      <c r="T91" s="1" t="s">
        <v>4520</v>
      </c>
      <c r="U91" s="1" t="s">
        <v>4521</v>
      </c>
      <c r="V91" s="1" t="s">
        <v>4522</v>
      </c>
      <c r="W91" s="1" t="s">
        <v>4522</v>
      </c>
    </row>
    <row r="92" spans="10:23" x14ac:dyDescent="0.25">
      <c r="J92" s="1" t="s">
        <v>4523</v>
      </c>
      <c r="K92" s="1" t="s">
        <v>4524</v>
      </c>
      <c r="L92" s="1" t="s">
        <v>4525</v>
      </c>
      <c r="M92" s="1" t="s">
        <v>4526</v>
      </c>
      <c r="N92" s="1" t="s">
        <v>4527</v>
      </c>
      <c r="O92" s="1" t="s">
        <v>4528</v>
      </c>
      <c r="P92" s="1" t="s">
        <v>4529</v>
      </c>
      <c r="Q92" s="1" t="s">
        <v>4530</v>
      </c>
      <c r="R92" s="1" t="s">
        <v>4531</v>
      </c>
      <c r="T92" s="1" t="s">
        <v>4532</v>
      </c>
      <c r="U92" s="1" t="s">
        <v>4533</v>
      </c>
      <c r="V92" s="1" t="s">
        <v>4534</v>
      </c>
      <c r="W92" s="1" t="s">
        <v>4535</v>
      </c>
    </row>
    <row r="93" spans="10:23" x14ac:dyDescent="0.25">
      <c r="J93" s="1" t="s">
        <v>4536</v>
      </c>
      <c r="K93" s="1" t="s">
        <v>4537</v>
      </c>
      <c r="L93" s="1" t="s">
        <v>4538</v>
      </c>
      <c r="M93" s="1" t="s">
        <v>4539</v>
      </c>
      <c r="N93" s="1" t="s">
        <v>4540</v>
      </c>
      <c r="O93" s="1" t="s">
        <v>4541</v>
      </c>
      <c r="P93" s="1" t="s">
        <v>4542</v>
      </c>
      <c r="Q93" s="1" t="s">
        <v>4543</v>
      </c>
      <c r="R93" s="1" t="s">
        <v>4544</v>
      </c>
      <c r="T93" s="1" t="s">
        <v>4545</v>
      </c>
      <c r="U93" s="1" t="s">
        <v>4546</v>
      </c>
      <c r="V93" s="1" t="s">
        <v>4547</v>
      </c>
      <c r="W93" s="1" t="s">
        <v>4548</v>
      </c>
    </row>
    <row r="94" spans="10:23" x14ac:dyDescent="0.25">
      <c r="J94" s="1" t="s">
        <v>4549</v>
      </c>
      <c r="K94" s="1" t="s">
        <v>4550</v>
      </c>
      <c r="L94" s="1" t="s">
        <v>4551</v>
      </c>
      <c r="M94" s="1" t="s">
        <v>4552</v>
      </c>
      <c r="N94" s="1" t="s">
        <v>4553</v>
      </c>
      <c r="O94" s="1" t="s">
        <v>4554</v>
      </c>
      <c r="P94" s="1" t="s">
        <v>4555</v>
      </c>
      <c r="Q94" s="1" t="s">
        <v>4556</v>
      </c>
      <c r="R94" s="1" t="s">
        <v>4557</v>
      </c>
      <c r="T94" s="1" t="s">
        <v>4558</v>
      </c>
      <c r="U94" s="1" t="s">
        <v>4559</v>
      </c>
      <c r="V94" s="1" t="s">
        <v>4560</v>
      </c>
      <c r="W94" s="1" t="s">
        <v>4561</v>
      </c>
    </row>
    <row r="95" spans="10:23" x14ac:dyDescent="0.25">
      <c r="J95" s="1" t="s">
        <v>4562</v>
      </c>
      <c r="K95" s="1" t="s">
        <v>4563</v>
      </c>
      <c r="L95" s="1" t="s">
        <v>4564</v>
      </c>
      <c r="M95" s="1" t="s">
        <v>4565</v>
      </c>
      <c r="N95" s="1" t="s">
        <v>4566</v>
      </c>
      <c r="O95" s="1" t="s">
        <v>4567</v>
      </c>
      <c r="P95" s="1" t="s">
        <v>4568</v>
      </c>
      <c r="Q95" s="1" t="s">
        <v>4569</v>
      </c>
      <c r="R95" s="1" t="s">
        <v>4570</v>
      </c>
      <c r="T95" s="1" t="s">
        <v>4571</v>
      </c>
      <c r="U95" s="1" t="s">
        <v>4572</v>
      </c>
      <c r="V95" s="1" t="s">
        <v>4573</v>
      </c>
      <c r="W95" s="1" t="s">
        <v>4574</v>
      </c>
    </row>
    <row r="97" spans="10:22" x14ac:dyDescent="0.25">
      <c r="J97" s="1" t="s">
        <v>4575</v>
      </c>
      <c r="K97" s="1" t="s">
        <v>4576</v>
      </c>
      <c r="L97" s="1" t="s">
        <v>4577</v>
      </c>
      <c r="M97" s="1" t="s">
        <v>4578</v>
      </c>
      <c r="N97" s="1" t="s">
        <v>4579</v>
      </c>
      <c r="O97" s="1" t="s">
        <v>4580</v>
      </c>
      <c r="P97" s="1" t="s">
        <v>4581</v>
      </c>
      <c r="Q97" s="1" t="s">
        <v>4582</v>
      </c>
      <c r="R97" s="1" t="s">
        <v>4583</v>
      </c>
      <c r="S97" s="1" t="s">
        <v>4584</v>
      </c>
      <c r="T97" s="1" t="s">
        <v>4585</v>
      </c>
      <c r="U97" s="1" t="s">
        <v>4586</v>
      </c>
      <c r="V97" s="1" t="s">
        <v>4313</v>
      </c>
    </row>
    <row r="98" spans="10:22" x14ac:dyDescent="0.25">
      <c r="J98" s="1" t="s">
        <v>4087</v>
      </c>
      <c r="K98" s="1" t="s">
        <v>4087</v>
      </c>
      <c r="L98" s="1" t="s">
        <v>4087</v>
      </c>
      <c r="M98" s="1" t="s">
        <v>4087</v>
      </c>
      <c r="N98" s="1" t="s">
        <v>4087</v>
      </c>
      <c r="O98" s="1" t="s">
        <v>4087</v>
      </c>
      <c r="P98" s="1" t="s">
        <v>4087</v>
      </c>
      <c r="Q98" s="1" t="s">
        <v>4087</v>
      </c>
      <c r="R98" s="1" t="s">
        <v>4087</v>
      </c>
      <c r="S98" s="1" t="s">
        <v>4087</v>
      </c>
      <c r="T98" s="1" t="s">
        <v>4087</v>
      </c>
      <c r="U98" s="1" t="s">
        <v>4087</v>
      </c>
      <c r="V98" s="1" t="s">
        <v>4087</v>
      </c>
    </row>
    <row r="99" spans="10:22" x14ac:dyDescent="0.25">
      <c r="J99" s="1" t="s">
        <v>4587</v>
      </c>
      <c r="K99" s="1" t="s">
        <v>4588</v>
      </c>
      <c r="L99" s="1" t="s">
        <v>4589</v>
      </c>
      <c r="M99" s="1" t="s">
        <v>4590</v>
      </c>
      <c r="N99" s="1" t="s">
        <v>4591</v>
      </c>
      <c r="O99" s="1" t="s">
        <v>4592</v>
      </c>
      <c r="P99" s="1" t="s">
        <v>4593</v>
      </c>
      <c r="Q99" s="1" t="s">
        <v>4594</v>
      </c>
      <c r="R99" s="1" t="s">
        <v>4595</v>
      </c>
      <c r="S99" s="1" t="s">
        <v>4596</v>
      </c>
      <c r="T99" s="1" t="s">
        <v>4597</v>
      </c>
      <c r="U99" s="1" t="s">
        <v>4598</v>
      </c>
      <c r="V99" s="1" t="s">
        <v>4599</v>
      </c>
    </row>
    <row r="101" spans="10:22" x14ac:dyDescent="0.25">
      <c r="J101" s="1" t="s">
        <v>4600</v>
      </c>
      <c r="K101" s="1" t="s">
        <v>4601</v>
      </c>
      <c r="L101" s="1" t="s">
        <v>4602</v>
      </c>
      <c r="M101" s="1" t="s">
        <v>4199</v>
      </c>
      <c r="N101" s="1" t="s">
        <v>4087</v>
      </c>
      <c r="O101" s="1" t="s">
        <v>4142</v>
      </c>
      <c r="P101" s="1" t="s">
        <v>4087</v>
      </c>
      <c r="Q101" s="1" t="s">
        <v>4087</v>
      </c>
      <c r="R101" s="1" t="s">
        <v>4603</v>
      </c>
      <c r="S101" s="1" t="s">
        <v>4087</v>
      </c>
      <c r="T101" s="1" t="s">
        <v>4087</v>
      </c>
      <c r="U101" s="1" t="s">
        <v>4604</v>
      </c>
      <c r="V101" s="1" t="s">
        <v>4276</v>
      </c>
    </row>
    <row r="103" spans="10:22" x14ac:dyDescent="0.25">
      <c r="J103" s="1" t="s">
        <v>4605</v>
      </c>
      <c r="K103" s="1" t="s">
        <v>4087</v>
      </c>
      <c r="L103" s="1" t="s">
        <v>4087</v>
      </c>
      <c r="M103" s="1" t="s">
        <v>4087</v>
      </c>
      <c r="N103" s="1" t="s">
        <v>4087</v>
      </c>
      <c r="O103" s="1" t="s">
        <v>4087</v>
      </c>
      <c r="P103" s="1" t="s">
        <v>4087</v>
      </c>
      <c r="Q103" s="1" t="s">
        <v>4087</v>
      </c>
      <c r="R103" s="1" t="s">
        <v>4087</v>
      </c>
      <c r="S103" s="1" t="s">
        <v>4087</v>
      </c>
      <c r="T103" s="1" t="s">
        <v>4606</v>
      </c>
    </row>
    <row r="104" spans="10:22" x14ac:dyDescent="0.25">
      <c r="J104" s="1" t="s">
        <v>4607</v>
      </c>
      <c r="K104" s="1" t="s">
        <v>4608</v>
      </c>
      <c r="L104" s="1" t="s">
        <v>4609</v>
      </c>
      <c r="M104" s="1" t="s">
        <v>4610</v>
      </c>
      <c r="N104" s="1" t="s">
        <v>4611</v>
      </c>
      <c r="O104" s="1" t="s">
        <v>4612</v>
      </c>
      <c r="P104" s="1" t="s">
        <v>4613</v>
      </c>
      <c r="Q104" s="1" t="s">
        <v>4614</v>
      </c>
      <c r="R104" s="1" t="s">
        <v>4292</v>
      </c>
      <c r="S104" s="1" t="s">
        <v>4615</v>
      </c>
      <c r="T104" s="1" t="s">
        <v>4610</v>
      </c>
    </row>
    <row r="106" spans="10:22" x14ac:dyDescent="0.25">
      <c r="J106" s="1" t="s">
        <v>4616</v>
      </c>
      <c r="K106" s="1" t="s">
        <v>4617</v>
      </c>
      <c r="L106" s="1" t="s">
        <v>4470</v>
      </c>
      <c r="M106" s="1" t="s">
        <v>4470</v>
      </c>
      <c r="N106" s="1" t="s">
        <v>4470</v>
      </c>
      <c r="O106" s="1" t="s">
        <v>4470</v>
      </c>
      <c r="P106" s="1" t="s">
        <v>4470</v>
      </c>
      <c r="Q106" s="1" t="s">
        <v>4470</v>
      </c>
      <c r="R106" s="1" t="s">
        <v>4470</v>
      </c>
      <c r="S106" s="1" t="s">
        <v>4470</v>
      </c>
      <c r="T106" s="1" t="s">
        <v>4470</v>
      </c>
      <c r="U106" s="1" t="s">
        <v>4470</v>
      </c>
    </row>
    <row r="108" spans="10:22" x14ac:dyDescent="0.25">
      <c r="J108" s="1" t="s">
        <v>4265</v>
      </c>
      <c r="K108" s="1" t="s">
        <v>4618</v>
      </c>
      <c r="L108" s="1" t="s">
        <v>4619</v>
      </c>
      <c r="M108" s="1" t="s">
        <v>4620</v>
      </c>
      <c r="N108" s="1" t="s">
        <v>4265</v>
      </c>
      <c r="O108" s="1" t="s">
        <v>4265</v>
      </c>
      <c r="P108" s="1" t="s">
        <v>4265</v>
      </c>
      <c r="Q108" s="1" t="s">
        <v>4621</v>
      </c>
      <c r="R108" s="1" t="s">
        <v>4622</v>
      </c>
      <c r="S108" s="1" t="s">
        <v>4265</v>
      </c>
      <c r="T108" s="1" t="s">
        <v>4265</v>
      </c>
    </row>
    <row r="109" spans="10:22" x14ac:dyDescent="0.25">
      <c r="J109" s="1" t="s">
        <v>4623</v>
      </c>
      <c r="K109" s="1" t="s">
        <v>4624</v>
      </c>
      <c r="L109" s="1" t="s">
        <v>4625</v>
      </c>
      <c r="M109" s="1" t="s">
        <v>4626</v>
      </c>
      <c r="N109" s="1" t="s">
        <v>4627</v>
      </c>
      <c r="O109" s="1" t="s">
        <v>4628</v>
      </c>
      <c r="P109" s="1" t="s">
        <v>4629</v>
      </c>
      <c r="Q109" s="1" t="s">
        <v>4630</v>
      </c>
      <c r="R109" s="1" t="s">
        <v>4631</v>
      </c>
      <c r="S109" s="1" t="s">
        <v>4632</v>
      </c>
      <c r="T109" s="1" t="s">
        <v>4633</v>
      </c>
    </row>
    <row r="110" spans="10:22" x14ac:dyDescent="0.25">
      <c r="J110" s="1" t="s">
        <v>4634</v>
      </c>
      <c r="K110" s="1" t="s">
        <v>4635</v>
      </c>
      <c r="L110" s="1" t="s">
        <v>4636</v>
      </c>
      <c r="M110" s="1" t="s">
        <v>4637</v>
      </c>
      <c r="N110" s="1" t="s">
        <v>4638</v>
      </c>
      <c r="O110" s="1" t="s">
        <v>4639</v>
      </c>
      <c r="P110" s="1" t="s">
        <v>4640</v>
      </c>
      <c r="Q110" s="1" t="s">
        <v>4641</v>
      </c>
      <c r="R110" s="1" t="s">
        <v>4642</v>
      </c>
      <c r="S110" s="1" t="s">
        <v>4643</v>
      </c>
      <c r="T110" s="1" t="s">
        <v>4644</v>
      </c>
    </row>
    <row r="111" spans="10:22" x14ac:dyDescent="0.25">
      <c r="L111" s="1" t="s">
        <v>4645</v>
      </c>
      <c r="M111" s="1" t="s">
        <v>4646</v>
      </c>
      <c r="N111" s="1" t="s">
        <v>4647</v>
      </c>
      <c r="O111" s="1" t="s">
        <v>4648</v>
      </c>
      <c r="P111" s="1" t="s">
        <v>4649</v>
      </c>
    </row>
    <row r="113" spans="10:28" x14ac:dyDescent="0.25">
      <c r="J113" s="1" t="s">
        <v>4650</v>
      </c>
      <c r="K113" s="1" t="s">
        <v>4651</v>
      </c>
      <c r="L113" s="1" t="s">
        <v>4652</v>
      </c>
      <c r="M113" s="1" t="s">
        <v>4653</v>
      </c>
      <c r="N113" s="1" t="s">
        <v>4654</v>
      </c>
      <c r="O113" s="1" t="s">
        <v>4655</v>
      </c>
      <c r="P113" s="1" t="s">
        <v>4656</v>
      </c>
      <c r="Q113" s="1" t="s">
        <v>4657</v>
      </c>
      <c r="R113" s="1" t="s">
        <v>4658</v>
      </c>
      <c r="S113" s="1" t="s">
        <v>4659</v>
      </c>
      <c r="T113" s="1" t="s">
        <v>4660</v>
      </c>
    </row>
    <row r="115" spans="10:28" x14ac:dyDescent="0.25">
      <c r="J115" s="1" t="s">
        <v>4661</v>
      </c>
      <c r="K115" s="1" t="s">
        <v>4662</v>
      </c>
      <c r="L115" s="1" t="s">
        <v>4663</v>
      </c>
      <c r="M115" s="1" t="s">
        <v>4664</v>
      </c>
      <c r="N115" s="1" t="s">
        <v>4665</v>
      </c>
      <c r="O115" s="1" t="s">
        <v>4666</v>
      </c>
      <c r="P115" s="1" t="s">
        <v>4667</v>
      </c>
      <c r="Q115" s="1" t="s">
        <v>4668</v>
      </c>
      <c r="R115" s="1" t="s">
        <v>4669</v>
      </c>
      <c r="S115" s="1" t="s">
        <v>4670</v>
      </c>
      <c r="T115" s="1" t="s">
        <v>4671</v>
      </c>
    </row>
    <row r="119" spans="10:28" x14ac:dyDescent="0.25">
      <c r="J119" s="1" t="s">
        <v>4672</v>
      </c>
      <c r="K119" s="1" t="s">
        <v>4672</v>
      </c>
      <c r="L119" s="1" t="s">
        <v>4672</v>
      </c>
      <c r="M119" s="1" t="s">
        <v>4673</v>
      </c>
      <c r="N119" s="1" t="s">
        <v>4672</v>
      </c>
      <c r="O119" s="1" t="s">
        <v>4672</v>
      </c>
      <c r="P119" s="1" t="s">
        <v>4672</v>
      </c>
      <c r="Q119" s="1" t="s">
        <v>4672</v>
      </c>
      <c r="R119" s="1" t="s">
        <v>4672</v>
      </c>
      <c r="S119" s="1" t="s">
        <v>4672</v>
      </c>
      <c r="T119" s="1" t="s">
        <v>4672</v>
      </c>
      <c r="U119" s="1" t="s">
        <v>4674</v>
      </c>
    </row>
    <row r="120" spans="10:28" x14ac:dyDescent="0.25">
      <c r="J120" s="1" t="s">
        <v>4672</v>
      </c>
      <c r="K120" s="1" t="s">
        <v>4672</v>
      </c>
      <c r="L120" s="1" t="s">
        <v>4672</v>
      </c>
      <c r="M120" s="1" t="s">
        <v>4672</v>
      </c>
      <c r="N120" s="1" t="s">
        <v>4672</v>
      </c>
      <c r="O120" s="1" t="s">
        <v>4672</v>
      </c>
      <c r="P120" s="1" t="s">
        <v>4672</v>
      </c>
      <c r="Q120" s="1" t="s">
        <v>4672</v>
      </c>
      <c r="R120" s="1" t="s">
        <v>4672</v>
      </c>
      <c r="S120" s="1" t="s">
        <v>4672</v>
      </c>
      <c r="T120" s="1" t="s">
        <v>4672</v>
      </c>
      <c r="U120" s="1" t="s">
        <v>4675</v>
      </c>
    </row>
    <row r="121" spans="10:28" x14ac:dyDescent="0.25">
      <c r="J121" s="1" t="s">
        <v>4672</v>
      </c>
      <c r="K121" s="1" t="s">
        <v>4672</v>
      </c>
      <c r="L121" s="1" t="s">
        <v>4672</v>
      </c>
      <c r="M121" s="1" t="s">
        <v>4672</v>
      </c>
      <c r="N121" s="1" t="s">
        <v>4672</v>
      </c>
      <c r="O121" s="1" t="s">
        <v>4672</v>
      </c>
      <c r="P121" s="1" t="s">
        <v>4672</v>
      </c>
      <c r="Q121" s="1" t="s">
        <v>4672</v>
      </c>
      <c r="R121" s="1" t="s">
        <v>4672</v>
      </c>
      <c r="S121" s="1" t="s">
        <v>4672</v>
      </c>
      <c r="T121" s="1" t="s">
        <v>4676</v>
      </c>
      <c r="U121" s="1" t="s">
        <v>4674</v>
      </c>
    </row>
    <row r="122" spans="10:28" x14ac:dyDescent="0.25">
      <c r="J122" s="1" t="s">
        <v>4672</v>
      </c>
      <c r="K122" s="1" t="s">
        <v>4673</v>
      </c>
      <c r="M122" s="1" t="s">
        <v>4672</v>
      </c>
      <c r="O122" s="1" t="s">
        <v>4677</v>
      </c>
      <c r="P122" s="1" t="s">
        <v>4672</v>
      </c>
      <c r="Q122" s="1" t="s">
        <v>4672</v>
      </c>
      <c r="R122" s="1" t="s">
        <v>4672</v>
      </c>
      <c r="S122" s="1" t="s">
        <v>4678</v>
      </c>
      <c r="T122" s="1" t="s">
        <v>4679</v>
      </c>
      <c r="U122" s="1" t="s">
        <v>4680</v>
      </c>
      <c r="V122" s="1" t="s">
        <v>4676</v>
      </c>
      <c r="W122" s="1" t="s">
        <v>4681</v>
      </c>
      <c r="X122" s="1" t="s">
        <v>4682</v>
      </c>
      <c r="Y122" s="1" t="s">
        <v>4683</v>
      </c>
      <c r="Z122" s="1" t="s">
        <v>4672</v>
      </c>
      <c r="AA122" s="1" t="s">
        <v>4672</v>
      </c>
      <c r="AB122" s="1" t="s">
        <v>4672</v>
      </c>
    </row>
    <row r="124" spans="10:28" x14ac:dyDescent="0.25">
      <c r="J124" s="1" t="s">
        <v>4684</v>
      </c>
      <c r="K124" s="1" t="s">
        <v>4315</v>
      </c>
      <c r="N124" s="1" t="s">
        <v>4685</v>
      </c>
    </row>
    <row r="126" spans="10:28" x14ac:dyDescent="0.25">
      <c r="J126" s="1" t="s">
        <v>4686</v>
      </c>
      <c r="K126" s="1" t="s">
        <v>4097</v>
      </c>
      <c r="L126" s="1" t="s">
        <v>4097</v>
      </c>
      <c r="M126" s="1" t="s">
        <v>4087</v>
      </c>
      <c r="N126" s="1" t="s">
        <v>4087</v>
      </c>
      <c r="O126" s="1" t="s">
        <v>4687</v>
      </c>
      <c r="P126" s="1" t="s">
        <v>4087</v>
      </c>
      <c r="Q126" s="1" t="s">
        <v>4087</v>
      </c>
      <c r="R126" s="1" t="s">
        <v>4087</v>
      </c>
      <c r="S126" s="1" t="s">
        <v>4087</v>
      </c>
      <c r="T126" s="1" t="s">
        <v>4087</v>
      </c>
      <c r="U126" s="1" t="s">
        <v>4263</v>
      </c>
      <c r="V126" s="1" t="s">
        <v>4686</v>
      </c>
    </row>
    <row r="127" spans="10:28" x14ac:dyDescent="0.25">
      <c r="J127" s="1" t="s">
        <v>4074</v>
      </c>
      <c r="K127" s="1" t="s">
        <v>4074</v>
      </c>
      <c r="L127" s="1" t="s">
        <v>4318</v>
      </c>
      <c r="M127" s="1" t="s">
        <v>4688</v>
      </c>
      <c r="N127" s="1" t="s">
        <v>4689</v>
      </c>
      <c r="O127" s="1" t="s">
        <v>4690</v>
      </c>
      <c r="P127" s="1" t="s">
        <v>4691</v>
      </c>
      <c r="Q127" s="1" t="s">
        <v>4692</v>
      </c>
      <c r="R127" s="1" t="s">
        <v>4693</v>
      </c>
      <c r="S127" s="1" t="s">
        <v>4412</v>
      </c>
      <c r="U127" s="1" t="s">
        <v>4694</v>
      </c>
      <c r="V127" s="1" t="s">
        <v>4074</v>
      </c>
    </row>
    <row r="129" spans="10:15" x14ac:dyDescent="0.25">
      <c r="J129" s="1" t="s">
        <v>4695</v>
      </c>
      <c r="K129" s="1" t="s">
        <v>4696</v>
      </c>
      <c r="L129" s="1" t="s">
        <v>4697</v>
      </c>
      <c r="M129" s="1" t="s">
        <v>4698</v>
      </c>
      <c r="N129" s="1" t="s">
        <v>4699</v>
      </c>
      <c r="O129" s="1" t="s">
        <v>4700</v>
      </c>
    </row>
    <row r="130" spans="10:15" x14ac:dyDescent="0.25">
      <c r="J130" s="1" t="s">
        <v>4701</v>
      </c>
      <c r="K130" s="1" t="s">
        <v>4702</v>
      </c>
      <c r="L130" s="1" t="s">
        <v>4703</v>
      </c>
      <c r="M130" s="1" t="s">
        <v>4704</v>
      </c>
      <c r="N130" s="1" t="s">
        <v>4705</v>
      </c>
      <c r="O130" s="1" t="s">
        <v>4706</v>
      </c>
    </row>
    <row r="133" spans="10:15" x14ac:dyDescent="0.25">
      <c r="J133" s="1" t="s">
        <v>4707</v>
      </c>
    </row>
  </sheetData>
  <sheetProtection password="E42B" sheet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OrderMultiple"/>
  <dimension ref="J16:AD133"/>
  <sheetViews>
    <sheetView workbookViewId="0"/>
  </sheetViews>
  <sheetFormatPr defaultRowHeight="15" x14ac:dyDescent="0.25"/>
  <sheetData>
    <row r="16" spans="10:22" x14ac:dyDescent="0.25">
      <c r="J16" s="40">
        <v>1</v>
      </c>
      <c r="K16" s="40">
        <v>1</v>
      </c>
      <c r="L16" s="40">
        <v>1</v>
      </c>
      <c r="M16" s="40">
        <v>1</v>
      </c>
      <c r="N16" s="40">
        <v>1</v>
      </c>
      <c r="O16" s="40">
        <v>1</v>
      </c>
      <c r="P16" s="40">
        <v>1</v>
      </c>
      <c r="Q16" s="40">
        <v>1</v>
      </c>
      <c r="R16" s="40">
        <v>1</v>
      </c>
      <c r="S16" s="40">
        <v>1</v>
      </c>
      <c r="T16" s="40">
        <v>1</v>
      </c>
      <c r="U16" s="40">
        <v>1</v>
      </c>
      <c r="V16" s="40">
        <v>1</v>
      </c>
    </row>
    <row r="17" spans="10:30" x14ac:dyDescent="0.25">
      <c r="J17" s="40">
        <v>1</v>
      </c>
      <c r="K17" s="40">
        <v>1</v>
      </c>
      <c r="L17" s="40">
        <v>1</v>
      </c>
      <c r="M17" s="40">
        <v>1</v>
      </c>
      <c r="N17" s="40">
        <v>1</v>
      </c>
      <c r="O17" s="40">
        <v>1</v>
      </c>
      <c r="P17" s="40">
        <v>1</v>
      </c>
      <c r="Q17" s="40">
        <v>1</v>
      </c>
      <c r="R17" s="40">
        <v>1</v>
      </c>
      <c r="S17" s="40">
        <v>1</v>
      </c>
      <c r="T17" s="40">
        <v>1</v>
      </c>
      <c r="U17" s="40">
        <v>1</v>
      </c>
      <c r="V17" s="40">
        <v>1</v>
      </c>
    </row>
    <row r="18" spans="10:30" x14ac:dyDescent="0.25">
      <c r="J18" s="40">
        <v>1</v>
      </c>
      <c r="K18" s="40">
        <v>1</v>
      </c>
      <c r="L18" s="40">
        <v>1</v>
      </c>
      <c r="M18" s="40">
        <v>1</v>
      </c>
      <c r="N18" s="40">
        <v>1</v>
      </c>
      <c r="O18" s="40">
        <v>1</v>
      </c>
      <c r="P18" s="40">
        <v>1</v>
      </c>
      <c r="Q18" s="40">
        <v>1</v>
      </c>
      <c r="R18" s="40">
        <v>1</v>
      </c>
      <c r="S18" s="40">
        <v>1</v>
      </c>
      <c r="T18" s="40">
        <v>1</v>
      </c>
      <c r="U18" s="40">
        <v>1</v>
      </c>
      <c r="V18" s="40">
        <v>1</v>
      </c>
    </row>
    <row r="19" spans="10:30" x14ac:dyDescent="0.25">
      <c r="J19" s="40">
        <v>1</v>
      </c>
      <c r="K19" s="40">
        <v>1</v>
      </c>
      <c r="L19" s="40">
        <v>1</v>
      </c>
      <c r="M19" s="40">
        <v>1</v>
      </c>
      <c r="N19" s="40">
        <v>1</v>
      </c>
      <c r="O19" s="40">
        <v>1</v>
      </c>
      <c r="P19" s="40">
        <v>1</v>
      </c>
      <c r="Q19" s="40">
        <v>1</v>
      </c>
      <c r="R19" s="40">
        <v>1</v>
      </c>
      <c r="S19" s="40">
        <v>1</v>
      </c>
      <c r="T19" s="40">
        <v>1</v>
      </c>
      <c r="U19" s="40">
        <v>1</v>
      </c>
      <c r="V19" s="40">
        <v>1</v>
      </c>
    </row>
    <row r="20" spans="10:30" x14ac:dyDescent="0.25">
      <c r="J20" s="40">
        <v>1</v>
      </c>
      <c r="K20" s="40">
        <v>1</v>
      </c>
      <c r="L20" s="40">
        <v>1</v>
      </c>
      <c r="M20" s="40">
        <v>1</v>
      </c>
      <c r="N20" s="40">
        <v>1</v>
      </c>
      <c r="O20" s="40">
        <v>1</v>
      </c>
      <c r="P20" s="40">
        <v>1</v>
      </c>
      <c r="Q20" s="40">
        <v>1</v>
      </c>
      <c r="R20" s="40">
        <v>1</v>
      </c>
      <c r="S20" s="40">
        <v>1</v>
      </c>
      <c r="T20" s="40">
        <v>1</v>
      </c>
      <c r="U20" s="40">
        <v>1</v>
      </c>
      <c r="V20" s="40">
        <v>1</v>
      </c>
    </row>
    <row r="21" spans="10:30" x14ac:dyDescent="0.25">
      <c r="V21" s="40">
        <v>1</v>
      </c>
    </row>
    <row r="22" spans="10:30" x14ac:dyDescent="0.25">
      <c r="J22" s="40">
        <v>1</v>
      </c>
      <c r="K22" s="40">
        <v>1</v>
      </c>
      <c r="L22" s="40">
        <v>1</v>
      </c>
      <c r="M22" s="40">
        <v>1</v>
      </c>
      <c r="N22" s="40">
        <v>1</v>
      </c>
      <c r="O22" s="40">
        <v>1</v>
      </c>
      <c r="P22" s="40">
        <v>1</v>
      </c>
      <c r="Q22" s="40">
        <v>1</v>
      </c>
      <c r="R22" s="40">
        <v>1</v>
      </c>
      <c r="S22" s="40">
        <v>1</v>
      </c>
      <c r="T22" s="40">
        <v>1</v>
      </c>
      <c r="U22" s="40">
        <v>1</v>
      </c>
      <c r="V22" s="40">
        <v>1</v>
      </c>
    </row>
    <row r="24" spans="10:30" x14ac:dyDescent="0.25">
      <c r="Z24" s="40">
        <v>1</v>
      </c>
    </row>
    <row r="25" spans="10:30" x14ac:dyDescent="0.25">
      <c r="Q25" s="40">
        <v>1</v>
      </c>
      <c r="R25" s="40">
        <v>1</v>
      </c>
      <c r="S25" s="40">
        <v>1</v>
      </c>
      <c r="T25" s="40">
        <v>1</v>
      </c>
      <c r="U25" s="40">
        <v>1</v>
      </c>
      <c r="V25" s="40">
        <v>1</v>
      </c>
      <c r="W25" s="40">
        <v>1</v>
      </c>
      <c r="X25" s="40">
        <v>1</v>
      </c>
      <c r="Y25" s="40">
        <v>1</v>
      </c>
      <c r="Z25" s="40">
        <v>1</v>
      </c>
      <c r="AA25" s="40">
        <v>1</v>
      </c>
      <c r="AB25" s="40">
        <v>1</v>
      </c>
      <c r="AC25" s="40">
        <v>1</v>
      </c>
      <c r="AD25" s="40">
        <v>1</v>
      </c>
    </row>
    <row r="26" spans="10:30" x14ac:dyDescent="0.25">
      <c r="Q26" s="40">
        <v>1</v>
      </c>
      <c r="R26" s="40">
        <v>1</v>
      </c>
      <c r="S26" s="40">
        <v>1</v>
      </c>
      <c r="T26" s="40">
        <v>1</v>
      </c>
      <c r="U26" s="40">
        <v>1</v>
      </c>
      <c r="V26" s="40">
        <v>1</v>
      </c>
      <c r="W26" s="40">
        <v>1</v>
      </c>
      <c r="X26" s="40">
        <v>1</v>
      </c>
      <c r="Y26" s="40">
        <v>1</v>
      </c>
      <c r="AA26" s="40">
        <v>1</v>
      </c>
      <c r="AB26" s="40">
        <v>1</v>
      </c>
      <c r="AC26" s="40">
        <v>1</v>
      </c>
      <c r="AD26" s="40">
        <v>1</v>
      </c>
    </row>
    <row r="27" spans="10:30" x14ac:dyDescent="0.25">
      <c r="J27" s="40">
        <v>1</v>
      </c>
      <c r="K27" s="40">
        <v>1</v>
      </c>
      <c r="L27" s="40">
        <v>1</v>
      </c>
      <c r="M27" s="40">
        <v>1</v>
      </c>
      <c r="N27" s="40">
        <v>1</v>
      </c>
      <c r="O27" s="40">
        <v>1</v>
      </c>
      <c r="P27" s="40">
        <v>1</v>
      </c>
      <c r="Q27" s="40">
        <v>1</v>
      </c>
      <c r="R27" s="40">
        <v>1</v>
      </c>
      <c r="S27" s="40">
        <v>1</v>
      </c>
      <c r="T27" s="40">
        <v>1</v>
      </c>
      <c r="U27" s="40">
        <v>1</v>
      </c>
      <c r="V27" s="40">
        <v>1</v>
      </c>
      <c r="W27" s="40">
        <v>1</v>
      </c>
      <c r="X27" s="40">
        <v>1</v>
      </c>
      <c r="Y27" s="40">
        <v>1</v>
      </c>
      <c r="Z27" s="40">
        <v>1</v>
      </c>
      <c r="AA27" s="40">
        <v>1</v>
      </c>
      <c r="AB27" s="40">
        <v>1</v>
      </c>
      <c r="AC27" s="40">
        <v>1</v>
      </c>
      <c r="AD27" s="40">
        <v>1</v>
      </c>
    </row>
    <row r="28" spans="10:30" x14ac:dyDescent="0.25">
      <c r="J28" s="40">
        <v>1</v>
      </c>
      <c r="K28" s="40">
        <v>1</v>
      </c>
      <c r="L28" s="40">
        <v>1</v>
      </c>
      <c r="M28" s="40">
        <v>1</v>
      </c>
      <c r="N28" s="40">
        <v>1</v>
      </c>
      <c r="O28" s="40">
        <v>1</v>
      </c>
      <c r="P28" s="40">
        <v>1</v>
      </c>
      <c r="Q28" s="40">
        <v>1</v>
      </c>
      <c r="R28" s="40">
        <v>1</v>
      </c>
      <c r="S28" s="40">
        <v>1</v>
      </c>
      <c r="T28" s="40">
        <v>1</v>
      </c>
      <c r="U28" s="40">
        <v>1</v>
      </c>
      <c r="V28" s="40">
        <v>1</v>
      </c>
      <c r="W28" s="40">
        <v>1</v>
      </c>
      <c r="X28" s="40">
        <v>1</v>
      </c>
      <c r="Y28" s="40">
        <v>1</v>
      </c>
      <c r="Z28" s="40">
        <v>1</v>
      </c>
      <c r="AA28" s="40">
        <v>1</v>
      </c>
      <c r="AB28" s="40">
        <v>1</v>
      </c>
      <c r="AC28" s="40">
        <v>1</v>
      </c>
      <c r="AD28" s="40">
        <v>1</v>
      </c>
    </row>
    <row r="29" spans="10:30" x14ac:dyDescent="0.25">
      <c r="Q29" s="40">
        <v>1</v>
      </c>
      <c r="R29" s="40">
        <v>1</v>
      </c>
      <c r="S29" s="40">
        <v>1</v>
      </c>
      <c r="T29" s="40">
        <v>1</v>
      </c>
      <c r="U29" s="40">
        <v>1</v>
      </c>
      <c r="V29" s="40">
        <v>1</v>
      </c>
      <c r="W29" s="40">
        <v>1</v>
      </c>
      <c r="X29" s="40">
        <v>1</v>
      </c>
      <c r="Y29" s="40">
        <v>1</v>
      </c>
      <c r="Z29" s="40">
        <v>1</v>
      </c>
      <c r="AA29" s="40">
        <v>1</v>
      </c>
      <c r="AB29" s="40">
        <v>1</v>
      </c>
      <c r="AC29" s="40">
        <v>1</v>
      </c>
      <c r="AD29" s="40">
        <v>1</v>
      </c>
    </row>
    <row r="30" spans="10:30" x14ac:dyDescent="0.25">
      <c r="Q30" s="40">
        <v>1</v>
      </c>
      <c r="R30" s="40">
        <v>1</v>
      </c>
      <c r="S30" s="40">
        <v>1</v>
      </c>
      <c r="T30" s="40">
        <v>1</v>
      </c>
      <c r="U30" s="40">
        <v>1</v>
      </c>
      <c r="V30" s="40">
        <v>1</v>
      </c>
      <c r="W30" s="40">
        <v>1</v>
      </c>
      <c r="X30" s="40">
        <v>1</v>
      </c>
      <c r="Y30" s="40">
        <v>1</v>
      </c>
      <c r="Z30" s="40">
        <v>1</v>
      </c>
      <c r="AA30" s="40">
        <v>1</v>
      </c>
      <c r="AB30" s="40">
        <v>1</v>
      </c>
      <c r="AC30" s="40">
        <v>1</v>
      </c>
    </row>
    <row r="31" spans="10:30" x14ac:dyDescent="0.25">
      <c r="Z31" s="40">
        <v>1</v>
      </c>
    </row>
    <row r="32" spans="10:30" x14ac:dyDescent="0.25">
      <c r="Q32" s="40">
        <v>1</v>
      </c>
      <c r="R32" s="40">
        <v>1</v>
      </c>
      <c r="S32" s="40">
        <v>1</v>
      </c>
      <c r="T32" s="40">
        <v>1</v>
      </c>
      <c r="U32" s="40">
        <v>1</v>
      </c>
      <c r="V32" s="40">
        <v>1</v>
      </c>
      <c r="W32" s="40">
        <v>1</v>
      </c>
      <c r="X32" s="40">
        <v>1</v>
      </c>
      <c r="Y32" s="40">
        <v>1</v>
      </c>
      <c r="Z32" s="40">
        <v>1</v>
      </c>
    </row>
    <row r="33" spans="17:30" x14ac:dyDescent="0.25">
      <c r="Z33" s="40">
        <v>1</v>
      </c>
    </row>
    <row r="34" spans="17:30" x14ac:dyDescent="0.25">
      <c r="Q34" s="40">
        <v>1</v>
      </c>
      <c r="R34" s="40">
        <v>1</v>
      </c>
      <c r="S34" s="40">
        <v>1</v>
      </c>
      <c r="T34" s="40">
        <v>1</v>
      </c>
      <c r="U34" s="40">
        <v>1</v>
      </c>
      <c r="V34" s="40">
        <v>1</v>
      </c>
      <c r="W34" s="40">
        <v>1</v>
      </c>
      <c r="X34" s="40">
        <v>1</v>
      </c>
      <c r="Y34" s="40">
        <v>1</v>
      </c>
      <c r="Z34" s="40">
        <v>1</v>
      </c>
      <c r="AA34" s="40">
        <v>1</v>
      </c>
      <c r="AB34" s="40">
        <v>1</v>
      </c>
      <c r="AC34" s="40">
        <v>1</v>
      </c>
      <c r="AD34" s="40">
        <v>1</v>
      </c>
    </row>
    <row r="35" spans="17:30" x14ac:dyDescent="0.25">
      <c r="Q35" s="40">
        <v>1</v>
      </c>
      <c r="R35" s="40">
        <v>1</v>
      </c>
      <c r="S35" s="40">
        <v>1</v>
      </c>
      <c r="T35" s="40">
        <v>1</v>
      </c>
      <c r="U35" s="40">
        <v>1</v>
      </c>
      <c r="V35" s="40">
        <v>1</v>
      </c>
      <c r="W35" s="40">
        <v>1</v>
      </c>
      <c r="X35" s="40">
        <v>1</v>
      </c>
      <c r="Y35" s="40">
        <v>1</v>
      </c>
      <c r="Z35" s="40">
        <v>1</v>
      </c>
      <c r="AA35" s="40">
        <v>1</v>
      </c>
      <c r="AB35" s="40">
        <v>1</v>
      </c>
      <c r="AC35" s="40">
        <v>1</v>
      </c>
      <c r="AD35" s="40">
        <v>1</v>
      </c>
    </row>
    <row r="36" spans="17:30" x14ac:dyDescent="0.25">
      <c r="Q36" s="40">
        <v>1</v>
      </c>
      <c r="R36" s="40">
        <v>1</v>
      </c>
      <c r="S36" s="40">
        <v>1</v>
      </c>
      <c r="T36" s="40">
        <v>1</v>
      </c>
      <c r="U36" s="40">
        <v>1</v>
      </c>
      <c r="V36" s="40">
        <v>1</v>
      </c>
      <c r="W36" s="40">
        <v>1</v>
      </c>
      <c r="X36" s="40">
        <v>1</v>
      </c>
      <c r="Y36" s="40">
        <v>1</v>
      </c>
      <c r="AA36" s="40">
        <v>1</v>
      </c>
      <c r="AB36" s="40">
        <v>1</v>
      </c>
      <c r="AC36" s="40">
        <v>1</v>
      </c>
      <c r="AD36" s="40">
        <v>1</v>
      </c>
    </row>
    <row r="37" spans="17:30" x14ac:dyDescent="0.25">
      <c r="AD37" s="40">
        <v>1</v>
      </c>
    </row>
    <row r="38" spans="17:30" x14ac:dyDescent="0.25">
      <c r="Q38" s="40">
        <v>1</v>
      </c>
      <c r="R38" s="40">
        <v>1</v>
      </c>
      <c r="S38" s="40">
        <v>1</v>
      </c>
      <c r="T38" s="40">
        <v>1</v>
      </c>
      <c r="U38" s="40">
        <v>1</v>
      </c>
      <c r="V38" s="40">
        <v>1</v>
      </c>
      <c r="W38" s="40">
        <v>1</v>
      </c>
      <c r="X38" s="40">
        <v>1</v>
      </c>
      <c r="Y38" s="40">
        <v>1</v>
      </c>
      <c r="AA38" s="40">
        <v>1</v>
      </c>
      <c r="AB38" s="40">
        <v>1</v>
      </c>
      <c r="AC38" s="40">
        <v>1</v>
      </c>
      <c r="AD38" s="40">
        <v>1</v>
      </c>
    </row>
    <row r="39" spans="17:30" x14ac:dyDescent="0.25">
      <c r="Q39" s="40">
        <v>1</v>
      </c>
      <c r="R39" s="40">
        <v>1</v>
      </c>
      <c r="S39" s="40">
        <v>1</v>
      </c>
      <c r="T39" s="40">
        <v>1</v>
      </c>
      <c r="U39" s="40">
        <v>1</v>
      </c>
      <c r="V39" s="40">
        <v>1</v>
      </c>
      <c r="W39" s="40">
        <v>1</v>
      </c>
      <c r="X39" s="40">
        <v>1</v>
      </c>
      <c r="Y39" s="40">
        <v>1</v>
      </c>
      <c r="AA39" s="40">
        <v>1</v>
      </c>
      <c r="AB39" s="40">
        <v>1</v>
      </c>
      <c r="AC39" s="40">
        <v>1</v>
      </c>
      <c r="AD39" s="40">
        <v>1</v>
      </c>
    </row>
    <row r="40" spans="17:30" x14ac:dyDescent="0.25">
      <c r="Q40" s="40">
        <v>1</v>
      </c>
      <c r="R40" s="40">
        <v>1</v>
      </c>
      <c r="S40" s="40">
        <v>1</v>
      </c>
      <c r="T40" s="40">
        <v>1</v>
      </c>
      <c r="U40" s="40">
        <v>1</v>
      </c>
      <c r="V40" s="40">
        <v>1</v>
      </c>
      <c r="W40" s="40">
        <v>1</v>
      </c>
      <c r="X40" s="40">
        <v>1</v>
      </c>
      <c r="Y40" s="40">
        <v>1</v>
      </c>
      <c r="AA40" s="40">
        <v>1</v>
      </c>
      <c r="AB40" s="40">
        <v>1</v>
      </c>
      <c r="AC40" s="40">
        <v>1</v>
      </c>
      <c r="AD40" s="40">
        <v>1</v>
      </c>
    </row>
    <row r="41" spans="17:30" x14ac:dyDescent="0.25">
      <c r="Q41" s="40">
        <v>1</v>
      </c>
      <c r="R41" s="40">
        <v>1</v>
      </c>
      <c r="S41" s="40">
        <v>1</v>
      </c>
      <c r="T41" s="40">
        <v>1</v>
      </c>
      <c r="U41" s="40">
        <v>1</v>
      </c>
      <c r="V41" s="40">
        <v>1</v>
      </c>
      <c r="W41" s="40">
        <v>1</v>
      </c>
      <c r="X41" s="40">
        <v>1</v>
      </c>
      <c r="Y41" s="40">
        <v>1</v>
      </c>
      <c r="AA41" s="40">
        <v>1</v>
      </c>
      <c r="AB41" s="40">
        <v>1</v>
      </c>
      <c r="AC41" s="40">
        <v>1</v>
      </c>
      <c r="AD41" s="40">
        <v>1</v>
      </c>
    </row>
    <row r="42" spans="17:30" x14ac:dyDescent="0.25">
      <c r="Q42" s="40">
        <v>1</v>
      </c>
      <c r="R42" s="40">
        <v>1</v>
      </c>
      <c r="S42" s="40">
        <v>1</v>
      </c>
      <c r="T42" s="40">
        <v>1</v>
      </c>
      <c r="U42" s="40">
        <v>1</v>
      </c>
      <c r="V42" s="40">
        <v>1</v>
      </c>
      <c r="W42" s="40">
        <v>1</v>
      </c>
      <c r="X42" s="40">
        <v>1</v>
      </c>
      <c r="Y42" s="40">
        <v>1</v>
      </c>
      <c r="AA42" s="40">
        <v>1</v>
      </c>
      <c r="AB42" s="40">
        <v>1</v>
      </c>
      <c r="AC42" s="40">
        <v>1</v>
      </c>
      <c r="AD42" s="40">
        <v>1</v>
      </c>
    </row>
    <row r="43" spans="17:30" x14ac:dyDescent="0.25">
      <c r="Q43" s="40">
        <v>1</v>
      </c>
      <c r="R43" s="40">
        <v>1</v>
      </c>
      <c r="S43" s="40">
        <v>1</v>
      </c>
      <c r="T43" s="40">
        <v>1</v>
      </c>
      <c r="U43" s="40">
        <v>1</v>
      </c>
      <c r="V43" s="40">
        <v>1</v>
      </c>
      <c r="W43" s="40">
        <v>1</v>
      </c>
      <c r="X43" s="40">
        <v>1</v>
      </c>
      <c r="Y43" s="40">
        <v>1</v>
      </c>
      <c r="AA43" s="40">
        <v>1</v>
      </c>
      <c r="AB43" s="40">
        <v>1</v>
      </c>
      <c r="AC43" s="40">
        <v>1</v>
      </c>
      <c r="AD43" s="40">
        <v>1</v>
      </c>
    </row>
    <row r="44" spans="17:30" x14ac:dyDescent="0.25">
      <c r="Q44" s="40">
        <v>1</v>
      </c>
      <c r="R44" s="40">
        <v>1</v>
      </c>
      <c r="S44" s="40">
        <v>1</v>
      </c>
      <c r="T44" s="40">
        <v>1</v>
      </c>
      <c r="U44" s="40">
        <v>1</v>
      </c>
      <c r="V44" s="40">
        <v>1</v>
      </c>
      <c r="W44" s="40">
        <v>1</v>
      </c>
      <c r="X44" s="40">
        <v>1</v>
      </c>
      <c r="Y44" s="40">
        <v>1</v>
      </c>
      <c r="Z44" s="40">
        <v>1</v>
      </c>
      <c r="AA44" s="40">
        <v>1</v>
      </c>
      <c r="AB44" s="40">
        <v>1</v>
      </c>
      <c r="AC44" s="40">
        <v>1</v>
      </c>
      <c r="AD44" s="40">
        <v>1</v>
      </c>
    </row>
    <row r="45" spans="17:30" x14ac:dyDescent="0.25">
      <c r="Q45" s="40">
        <v>1</v>
      </c>
      <c r="R45" s="40">
        <v>1</v>
      </c>
      <c r="S45" s="40">
        <v>1</v>
      </c>
      <c r="T45" s="40">
        <v>1</v>
      </c>
      <c r="U45" s="40">
        <v>1</v>
      </c>
      <c r="V45" s="40">
        <v>1</v>
      </c>
      <c r="W45" s="40">
        <v>1</v>
      </c>
      <c r="X45" s="40">
        <v>1</v>
      </c>
      <c r="Y45" s="40">
        <v>1</v>
      </c>
      <c r="Z45" s="40">
        <v>1</v>
      </c>
      <c r="AA45" s="40">
        <v>1</v>
      </c>
      <c r="AB45" s="40">
        <v>1</v>
      </c>
      <c r="AC45" s="40">
        <v>1</v>
      </c>
      <c r="AD45" s="40">
        <v>1</v>
      </c>
    </row>
    <row r="46" spans="17:30" x14ac:dyDescent="0.25">
      <c r="Q46" s="40">
        <v>1</v>
      </c>
      <c r="R46" s="40">
        <v>1</v>
      </c>
      <c r="S46" s="40">
        <v>1</v>
      </c>
      <c r="T46" s="40">
        <v>1</v>
      </c>
      <c r="U46" s="40">
        <v>1</v>
      </c>
      <c r="V46" s="40">
        <v>1</v>
      </c>
      <c r="W46" s="40">
        <v>1</v>
      </c>
      <c r="X46" s="40">
        <v>1</v>
      </c>
      <c r="Y46" s="40">
        <v>1</v>
      </c>
      <c r="Z46" s="40">
        <v>1</v>
      </c>
      <c r="AA46" s="40">
        <v>1</v>
      </c>
      <c r="AB46" s="40">
        <v>1</v>
      </c>
      <c r="AC46" s="40">
        <v>1</v>
      </c>
      <c r="AD46" s="40">
        <v>1</v>
      </c>
    </row>
    <row r="47" spans="17:30" x14ac:dyDescent="0.25">
      <c r="Q47" s="40">
        <v>1</v>
      </c>
      <c r="R47" s="40">
        <v>1</v>
      </c>
      <c r="S47" s="40">
        <v>1</v>
      </c>
      <c r="T47" s="40">
        <v>1</v>
      </c>
      <c r="U47" s="40">
        <v>1</v>
      </c>
      <c r="V47" s="40">
        <v>1</v>
      </c>
      <c r="W47" s="40">
        <v>1</v>
      </c>
      <c r="X47" s="40">
        <v>1</v>
      </c>
      <c r="Y47" s="40">
        <v>1</v>
      </c>
      <c r="AA47" s="40">
        <v>1</v>
      </c>
      <c r="AB47" s="40">
        <v>1</v>
      </c>
      <c r="AC47" s="40">
        <v>1</v>
      </c>
      <c r="AD47" s="40">
        <v>1</v>
      </c>
    </row>
    <row r="48" spans="17:30" x14ac:dyDescent="0.25">
      <c r="Q48" s="40">
        <v>1</v>
      </c>
      <c r="R48" s="40">
        <v>1</v>
      </c>
      <c r="S48" s="40">
        <v>1</v>
      </c>
      <c r="T48" s="40">
        <v>1</v>
      </c>
      <c r="U48" s="40">
        <v>1</v>
      </c>
      <c r="V48" s="40">
        <v>1</v>
      </c>
      <c r="W48" s="40">
        <v>1</v>
      </c>
      <c r="X48" s="40">
        <v>1</v>
      </c>
      <c r="Y48" s="40">
        <v>1</v>
      </c>
      <c r="Z48" s="40">
        <v>1</v>
      </c>
      <c r="AA48" s="40">
        <v>1</v>
      </c>
      <c r="AB48" s="40">
        <v>1</v>
      </c>
      <c r="AC48" s="40">
        <v>1</v>
      </c>
      <c r="AD48" s="40">
        <v>1</v>
      </c>
    </row>
    <row r="49" spans="10:30" x14ac:dyDescent="0.25">
      <c r="Q49" s="40">
        <v>1</v>
      </c>
      <c r="R49" s="40">
        <v>1</v>
      </c>
      <c r="S49" s="40">
        <v>1</v>
      </c>
      <c r="T49" s="40">
        <v>1</v>
      </c>
      <c r="U49" s="40">
        <v>1</v>
      </c>
      <c r="V49" s="40">
        <v>1</v>
      </c>
      <c r="W49" s="40">
        <v>1</v>
      </c>
      <c r="X49" s="40">
        <v>1</v>
      </c>
      <c r="Y49" s="40">
        <v>1</v>
      </c>
      <c r="Z49" s="40">
        <v>1</v>
      </c>
      <c r="AA49" s="40">
        <v>1</v>
      </c>
      <c r="AB49" s="40">
        <v>1</v>
      </c>
      <c r="AC49" s="40">
        <v>1</v>
      </c>
      <c r="AD49" s="40">
        <v>1</v>
      </c>
    </row>
    <row r="50" spans="10:30" x14ac:dyDescent="0.25">
      <c r="Q50" s="40">
        <v>1</v>
      </c>
      <c r="R50" s="40">
        <v>1</v>
      </c>
      <c r="S50" s="40">
        <v>1</v>
      </c>
      <c r="T50" s="40">
        <v>1</v>
      </c>
      <c r="U50" s="40">
        <v>1</v>
      </c>
      <c r="V50" s="40">
        <v>1</v>
      </c>
      <c r="W50" s="40">
        <v>1</v>
      </c>
      <c r="X50" s="40">
        <v>1</v>
      </c>
      <c r="Y50" s="40">
        <v>1</v>
      </c>
      <c r="AA50" s="40">
        <v>1</v>
      </c>
      <c r="AB50" s="40">
        <v>1</v>
      </c>
      <c r="AC50" s="40">
        <v>1</v>
      </c>
      <c r="AD50" s="40">
        <v>1</v>
      </c>
    </row>
    <row r="51" spans="10:30" x14ac:dyDescent="0.25">
      <c r="Q51" s="40">
        <v>1</v>
      </c>
      <c r="R51" s="40">
        <v>1</v>
      </c>
      <c r="S51" s="40">
        <v>1</v>
      </c>
      <c r="T51" s="40">
        <v>1</v>
      </c>
      <c r="U51" s="40">
        <v>1</v>
      </c>
      <c r="V51" s="40">
        <v>1</v>
      </c>
      <c r="W51" s="40">
        <v>1</v>
      </c>
      <c r="X51" s="40">
        <v>1</v>
      </c>
      <c r="Y51" s="40">
        <v>1</v>
      </c>
      <c r="AA51" s="40">
        <v>1</v>
      </c>
      <c r="AB51" s="40">
        <v>1</v>
      </c>
      <c r="AC51" s="40">
        <v>1</v>
      </c>
      <c r="AD51" s="40">
        <v>1</v>
      </c>
    </row>
    <row r="52" spans="10:30" x14ac:dyDescent="0.25">
      <c r="Q52" s="40">
        <v>1</v>
      </c>
      <c r="R52" s="40">
        <v>1</v>
      </c>
      <c r="S52" s="40">
        <v>1</v>
      </c>
      <c r="T52" s="40">
        <v>1</v>
      </c>
      <c r="U52" s="40">
        <v>1</v>
      </c>
      <c r="V52" s="40">
        <v>1</v>
      </c>
      <c r="W52" s="40">
        <v>1</v>
      </c>
      <c r="X52" s="40">
        <v>1</v>
      </c>
      <c r="Y52" s="40">
        <v>1</v>
      </c>
      <c r="AA52" s="40">
        <v>1</v>
      </c>
      <c r="AB52" s="40">
        <v>1</v>
      </c>
      <c r="AC52" s="40">
        <v>1</v>
      </c>
      <c r="AD52" s="40">
        <v>1</v>
      </c>
    </row>
    <row r="53" spans="10:30" x14ac:dyDescent="0.25">
      <c r="Q53" s="40">
        <v>1</v>
      </c>
      <c r="R53" s="40">
        <v>1</v>
      </c>
      <c r="S53" s="40">
        <v>1</v>
      </c>
      <c r="T53" s="40">
        <v>1</v>
      </c>
      <c r="U53" s="40">
        <v>1</v>
      </c>
      <c r="V53" s="40">
        <v>1</v>
      </c>
      <c r="W53" s="40">
        <v>1</v>
      </c>
      <c r="X53" s="40">
        <v>1</v>
      </c>
      <c r="Y53" s="40">
        <v>1</v>
      </c>
      <c r="Z53" s="40">
        <v>1</v>
      </c>
      <c r="AA53" s="40">
        <v>1</v>
      </c>
      <c r="AB53" s="40">
        <v>1</v>
      </c>
      <c r="AC53" s="40">
        <v>1</v>
      </c>
      <c r="AD53" s="40">
        <v>1</v>
      </c>
    </row>
    <row r="54" spans="10:30" x14ac:dyDescent="0.25">
      <c r="Q54" s="40">
        <v>1</v>
      </c>
      <c r="R54" s="40">
        <v>1</v>
      </c>
      <c r="S54" s="40">
        <v>1</v>
      </c>
      <c r="T54" s="40">
        <v>1</v>
      </c>
      <c r="U54" s="40">
        <v>1</v>
      </c>
      <c r="V54" s="40">
        <v>1</v>
      </c>
      <c r="W54" s="40">
        <v>1</v>
      </c>
      <c r="X54" s="40">
        <v>1</v>
      </c>
      <c r="Y54" s="40">
        <v>1</v>
      </c>
      <c r="Z54" s="40">
        <v>1</v>
      </c>
      <c r="AA54" s="40">
        <v>1</v>
      </c>
      <c r="AB54" s="40">
        <v>1</v>
      </c>
      <c r="AC54" s="40">
        <v>1</v>
      </c>
      <c r="AD54" s="40">
        <v>1</v>
      </c>
    </row>
    <row r="55" spans="10:30" x14ac:dyDescent="0.25">
      <c r="Q55" s="40">
        <v>1</v>
      </c>
      <c r="R55" s="40">
        <v>1</v>
      </c>
      <c r="S55" s="40">
        <v>1</v>
      </c>
      <c r="T55" s="40">
        <v>1</v>
      </c>
      <c r="U55" s="40">
        <v>1</v>
      </c>
      <c r="V55" s="40">
        <v>1</v>
      </c>
      <c r="W55" s="40">
        <v>1</v>
      </c>
      <c r="X55" s="40">
        <v>1</v>
      </c>
      <c r="Y55" s="40">
        <v>1</v>
      </c>
      <c r="Z55" s="40">
        <v>1</v>
      </c>
      <c r="AA55" s="40">
        <v>1</v>
      </c>
      <c r="AB55" s="40">
        <v>1</v>
      </c>
      <c r="AC55" s="40">
        <v>1</v>
      </c>
      <c r="AD55" s="40">
        <v>1</v>
      </c>
    </row>
    <row r="56" spans="10:30" x14ac:dyDescent="0.25">
      <c r="Q56" s="40">
        <v>1</v>
      </c>
      <c r="R56" s="40">
        <v>1</v>
      </c>
      <c r="S56" s="40">
        <v>1</v>
      </c>
      <c r="T56" s="40">
        <v>1</v>
      </c>
      <c r="U56" s="40">
        <v>1</v>
      </c>
      <c r="V56" s="40">
        <v>1</v>
      </c>
      <c r="W56" s="40">
        <v>1</v>
      </c>
      <c r="X56" s="40">
        <v>1</v>
      </c>
      <c r="Y56" s="40">
        <v>1</v>
      </c>
      <c r="Z56" s="40">
        <v>1</v>
      </c>
      <c r="AA56" s="40">
        <v>1</v>
      </c>
      <c r="AB56" s="40">
        <v>1</v>
      </c>
      <c r="AC56" s="40">
        <v>1</v>
      </c>
      <c r="AD56" s="40">
        <v>1</v>
      </c>
    </row>
    <row r="57" spans="10:30" x14ac:dyDescent="0.25">
      <c r="J57" s="40">
        <v>1</v>
      </c>
      <c r="K57" s="40">
        <v>1</v>
      </c>
      <c r="L57" s="40">
        <v>1</v>
      </c>
      <c r="M57" s="40">
        <v>1</v>
      </c>
      <c r="N57" s="40">
        <v>1</v>
      </c>
      <c r="O57" s="40">
        <v>1</v>
      </c>
      <c r="P57" s="40">
        <v>1</v>
      </c>
      <c r="Q57" s="40">
        <v>1</v>
      </c>
      <c r="R57" s="40">
        <v>1</v>
      </c>
      <c r="S57" s="40">
        <v>1</v>
      </c>
      <c r="T57" s="40">
        <v>1</v>
      </c>
      <c r="U57" s="40">
        <v>1</v>
      </c>
      <c r="V57" s="40">
        <v>1</v>
      </c>
      <c r="W57" s="40">
        <v>1</v>
      </c>
      <c r="X57" s="40">
        <v>1</v>
      </c>
      <c r="Y57" s="40">
        <v>1</v>
      </c>
      <c r="AA57" s="40">
        <v>1</v>
      </c>
      <c r="AB57" s="40">
        <v>1</v>
      </c>
      <c r="AC57" s="40">
        <v>1</v>
      </c>
      <c r="AD57" s="40">
        <v>1</v>
      </c>
    </row>
    <row r="58" spans="10:30" x14ac:dyDescent="0.25">
      <c r="J58" s="40">
        <v>1</v>
      </c>
      <c r="K58" s="40">
        <v>1</v>
      </c>
      <c r="L58" s="40">
        <v>1</v>
      </c>
      <c r="M58" s="40">
        <v>1</v>
      </c>
      <c r="N58" s="40">
        <v>1</v>
      </c>
      <c r="O58" s="40">
        <v>1</v>
      </c>
      <c r="P58" s="40">
        <v>1</v>
      </c>
      <c r="Q58" s="40">
        <v>1</v>
      </c>
      <c r="R58" s="40">
        <v>1</v>
      </c>
      <c r="S58" s="40">
        <v>1</v>
      </c>
      <c r="T58" s="40">
        <v>1</v>
      </c>
      <c r="U58" s="40">
        <v>1</v>
      </c>
      <c r="V58" s="40">
        <v>1</v>
      </c>
      <c r="W58" s="40">
        <v>1</v>
      </c>
      <c r="X58" s="40">
        <v>1</v>
      </c>
      <c r="Y58" s="40">
        <v>1</v>
      </c>
      <c r="AA58" s="40">
        <v>1</v>
      </c>
      <c r="AB58" s="40">
        <v>1</v>
      </c>
      <c r="AC58" s="40">
        <v>1</v>
      </c>
      <c r="AD58" s="40">
        <v>1</v>
      </c>
    </row>
    <row r="59" spans="10:30" x14ac:dyDescent="0.25">
      <c r="Q59" s="40">
        <v>1</v>
      </c>
      <c r="R59" s="40">
        <v>1</v>
      </c>
      <c r="S59" s="40">
        <v>1</v>
      </c>
      <c r="T59" s="40">
        <v>1</v>
      </c>
      <c r="U59" s="40">
        <v>1</v>
      </c>
      <c r="V59" s="40">
        <v>1</v>
      </c>
      <c r="W59" s="40">
        <v>1</v>
      </c>
      <c r="X59" s="40">
        <v>1</v>
      </c>
      <c r="Y59" s="40">
        <v>1</v>
      </c>
      <c r="AA59" s="40">
        <v>1</v>
      </c>
      <c r="AB59" s="40">
        <v>1</v>
      </c>
      <c r="AC59" s="40">
        <v>1</v>
      </c>
      <c r="AD59" s="40">
        <v>1</v>
      </c>
    </row>
    <row r="61" spans="10:30" x14ac:dyDescent="0.25">
      <c r="K61" s="40">
        <v>1</v>
      </c>
      <c r="R61" s="40">
        <v>1</v>
      </c>
      <c r="S61" s="40">
        <v>1</v>
      </c>
      <c r="T61" s="40">
        <v>1</v>
      </c>
      <c r="U61" s="40">
        <v>1</v>
      </c>
      <c r="V61" s="40">
        <v>1</v>
      </c>
    </row>
    <row r="62" spans="10:30" x14ac:dyDescent="0.25">
      <c r="J62" s="40">
        <v>1</v>
      </c>
      <c r="K62" s="40">
        <v>1</v>
      </c>
      <c r="L62" s="40">
        <v>1</v>
      </c>
      <c r="M62" s="40">
        <v>1</v>
      </c>
      <c r="N62" s="40">
        <v>1</v>
      </c>
      <c r="O62" s="40">
        <v>1</v>
      </c>
      <c r="P62" s="40">
        <v>1</v>
      </c>
      <c r="Q62" s="40">
        <v>1</v>
      </c>
      <c r="R62" s="40">
        <v>1</v>
      </c>
      <c r="S62" s="40">
        <v>1</v>
      </c>
      <c r="T62" s="40">
        <v>1</v>
      </c>
      <c r="U62" s="40">
        <v>1</v>
      </c>
      <c r="V62" s="40">
        <v>1</v>
      </c>
    </row>
    <row r="63" spans="10:30" x14ac:dyDescent="0.25">
      <c r="J63" s="40">
        <v>1</v>
      </c>
      <c r="K63" s="40">
        <v>1</v>
      </c>
      <c r="L63" s="40">
        <v>1</v>
      </c>
      <c r="M63" s="40">
        <v>1</v>
      </c>
      <c r="N63" s="40">
        <v>1</v>
      </c>
      <c r="O63" s="40">
        <v>1</v>
      </c>
      <c r="P63" s="40">
        <v>1</v>
      </c>
      <c r="Q63" s="40">
        <v>1</v>
      </c>
      <c r="R63" s="40">
        <v>1</v>
      </c>
      <c r="S63" s="40">
        <v>1</v>
      </c>
      <c r="T63" s="40">
        <v>1</v>
      </c>
      <c r="U63" s="40">
        <v>1</v>
      </c>
      <c r="V63" s="40">
        <v>1</v>
      </c>
    </row>
    <row r="64" spans="10:30" x14ac:dyDescent="0.25">
      <c r="J64" s="40">
        <v>1</v>
      </c>
      <c r="K64" s="40">
        <v>1</v>
      </c>
      <c r="L64" s="40">
        <v>1</v>
      </c>
      <c r="M64" s="40">
        <v>1</v>
      </c>
      <c r="N64" s="40">
        <v>1</v>
      </c>
      <c r="O64" s="40">
        <v>1</v>
      </c>
      <c r="P64" s="40">
        <v>1</v>
      </c>
      <c r="Q64" s="40">
        <v>1</v>
      </c>
      <c r="R64" s="40">
        <v>1</v>
      </c>
      <c r="S64" s="40">
        <v>1</v>
      </c>
      <c r="T64" s="40">
        <v>1</v>
      </c>
      <c r="U64" s="40">
        <v>1</v>
      </c>
      <c r="V64" s="40">
        <v>1</v>
      </c>
    </row>
    <row r="65" spans="10:30" x14ac:dyDescent="0.25">
      <c r="J65" s="40">
        <v>1</v>
      </c>
      <c r="K65" s="40">
        <v>1</v>
      </c>
      <c r="L65" s="40">
        <v>1</v>
      </c>
      <c r="M65" s="40">
        <v>1</v>
      </c>
      <c r="N65" s="40">
        <v>1</v>
      </c>
      <c r="O65" s="40">
        <v>1</v>
      </c>
      <c r="P65" s="40">
        <v>1</v>
      </c>
      <c r="Q65" s="40">
        <v>1</v>
      </c>
      <c r="R65" s="40">
        <v>1</v>
      </c>
      <c r="S65" s="40">
        <v>1</v>
      </c>
      <c r="T65" s="40">
        <v>1</v>
      </c>
      <c r="U65" s="40">
        <v>1</v>
      </c>
      <c r="V65" s="40">
        <v>1</v>
      </c>
    </row>
    <row r="67" spans="10:30" x14ac:dyDescent="0.25">
      <c r="Q67" s="40">
        <v>1</v>
      </c>
      <c r="R67" s="40">
        <v>1</v>
      </c>
      <c r="S67" s="40">
        <v>1</v>
      </c>
      <c r="T67" s="40">
        <v>1</v>
      </c>
      <c r="U67" s="40">
        <v>1</v>
      </c>
      <c r="V67" s="40">
        <v>1</v>
      </c>
      <c r="W67" s="40">
        <v>1</v>
      </c>
      <c r="X67" s="40">
        <v>1</v>
      </c>
      <c r="Y67" s="40">
        <v>1</v>
      </c>
      <c r="AA67" s="40">
        <v>1</v>
      </c>
      <c r="AB67" s="40">
        <v>1</v>
      </c>
      <c r="AC67" s="40">
        <v>1</v>
      </c>
      <c r="AD67" s="40">
        <v>1</v>
      </c>
    </row>
    <row r="68" spans="10:30" x14ac:dyDescent="0.25">
      <c r="Q68" s="40">
        <v>1</v>
      </c>
      <c r="R68" s="40">
        <v>1</v>
      </c>
      <c r="S68" s="40">
        <v>1</v>
      </c>
      <c r="T68" s="40">
        <v>1</v>
      </c>
      <c r="U68" s="40">
        <v>1</v>
      </c>
      <c r="V68" s="40">
        <v>1</v>
      </c>
      <c r="W68" s="40">
        <v>1</v>
      </c>
      <c r="X68" s="40">
        <v>1</v>
      </c>
      <c r="Y68" s="40">
        <v>1</v>
      </c>
      <c r="Z68" s="40">
        <v>1</v>
      </c>
      <c r="AA68" s="40">
        <v>1</v>
      </c>
      <c r="AB68" s="40">
        <v>1</v>
      </c>
      <c r="AC68" s="40">
        <v>1</v>
      </c>
      <c r="AD68" s="40">
        <v>1</v>
      </c>
    </row>
    <row r="69" spans="10:30" x14ac:dyDescent="0.25">
      <c r="Q69" s="40">
        <v>1</v>
      </c>
      <c r="R69" s="40">
        <v>1</v>
      </c>
      <c r="S69" s="40">
        <v>1</v>
      </c>
      <c r="T69" s="40">
        <v>1</v>
      </c>
      <c r="U69" s="40">
        <v>1</v>
      </c>
      <c r="V69" s="40">
        <v>1</v>
      </c>
      <c r="W69" s="40">
        <v>1</v>
      </c>
      <c r="X69" s="40">
        <v>1</v>
      </c>
      <c r="Y69" s="40">
        <v>1</v>
      </c>
      <c r="Z69" s="40">
        <v>1</v>
      </c>
      <c r="AA69" s="40">
        <v>1</v>
      </c>
      <c r="AB69" s="40">
        <v>1</v>
      </c>
      <c r="AC69" s="40">
        <v>1</v>
      </c>
      <c r="AD69" s="40">
        <v>1</v>
      </c>
    </row>
    <row r="70" spans="10:30" x14ac:dyDescent="0.25">
      <c r="Q70" s="40">
        <v>1</v>
      </c>
      <c r="R70" s="40">
        <v>1</v>
      </c>
      <c r="S70" s="40">
        <v>1</v>
      </c>
      <c r="T70" s="40">
        <v>1</v>
      </c>
      <c r="U70" s="40">
        <v>1</v>
      </c>
      <c r="V70" s="40">
        <v>1</v>
      </c>
      <c r="W70" s="40">
        <v>1</v>
      </c>
      <c r="X70" s="40">
        <v>1</v>
      </c>
      <c r="Y70" s="40">
        <v>1</v>
      </c>
      <c r="AA70" s="40">
        <v>1</v>
      </c>
      <c r="AB70" s="40">
        <v>1</v>
      </c>
      <c r="AC70" s="40">
        <v>1</v>
      </c>
      <c r="AD70" s="40">
        <v>1</v>
      </c>
    </row>
    <row r="71" spans="10:30" x14ac:dyDescent="0.25">
      <c r="Q71" s="40">
        <v>1</v>
      </c>
      <c r="R71" s="40">
        <v>1</v>
      </c>
      <c r="S71" s="40">
        <v>1</v>
      </c>
      <c r="T71" s="40">
        <v>1</v>
      </c>
      <c r="U71" s="40">
        <v>1</v>
      </c>
      <c r="V71" s="40">
        <v>1</v>
      </c>
      <c r="W71" s="40">
        <v>1</v>
      </c>
      <c r="Y71" s="40">
        <v>1</v>
      </c>
      <c r="AA71" s="40">
        <v>1</v>
      </c>
      <c r="AB71" s="40">
        <v>1</v>
      </c>
      <c r="AC71" s="40">
        <v>1</v>
      </c>
      <c r="AD71" s="40">
        <v>1</v>
      </c>
    </row>
    <row r="72" spans="10:30" x14ac:dyDescent="0.25">
      <c r="Q72" s="40">
        <v>1</v>
      </c>
      <c r="S72" s="40">
        <v>1</v>
      </c>
      <c r="T72" s="40">
        <v>1</v>
      </c>
      <c r="U72" s="40">
        <v>1</v>
      </c>
      <c r="V72" s="40">
        <v>1</v>
      </c>
      <c r="W72" s="40">
        <v>1</v>
      </c>
      <c r="X72" s="40">
        <v>1</v>
      </c>
      <c r="Y72" s="40">
        <v>1</v>
      </c>
      <c r="AA72" s="40">
        <v>1</v>
      </c>
      <c r="AB72" s="40">
        <v>1</v>
      </c>
      <c r="AC72" s="40">
        <v>1</v>
      </c>
    </row>
    <row r="73" spans="10:30" x14ac:dyDescent="0.25">
      <c r="Q73" s="40">
        <v>1</v>
      </c>
      <c r="R73" s="40">
        <v>1</v>
      </c>
      <c r="W73" s="40">
        <v>1</v>
      </c>
      <c r="X73" s="40">
        <v>1</v>
      </c>
      <c r="Y73" s="40">
        <v>1</v>
      </c>
      <c r="AA73" s="40">
        <v>1</v>
      </c>
      <c r="AC73" s="40">
        <v>1</v>
      </c>
      <c r="AD73" s="40">
        <v>1</v>
      </c>
    </row>
    <row r="74" spans="10:30" x14ac:dyDescent="0.25">
      <c r="Q74" s="40">
        <v>1</v>
      </c>
      <c r="R74" s="40">
        <v>1</v>
      </c>
      <c r="S74" s="40">
        <v>1</v>
      </c>
      <c r="T74" s="40">
        <v>1</v>
      </c>
      <c r="U74" s="40">
        <v>1</v>
      </c>
      <c r="V74" s="40">
        <v>1</v>
      </c>
      <c r="W74" s="40">
        <v>1</v>
      </c>
      <c r="X74" s="40">
        <v>1</v>
      </c>
      <c r="Y74" s="40">
        <v>1</v>
      </c>
      <c r="Z74" s="40">
        <v>1</v>
      </c>
      <c r="AA74" s="40">
        <v>1</v>
      </c>
      <c r="AB74" s="40">
        <v>1</v>
      </c>
      <c r="AC74" s="40">
        <v>1</v>
      </c>
      <c r="AD74" s="40">
        <v>1</v>
      </c>
    </row>
    <row r="75" spans="10:30" x14ac:dyDescent="0.25">
      <c r="Q75" s="40">
        <v>1</v>
      </c>
      <c r="R75" s="40">
        <v>1</v>
      </c>
      <c r="S75" s="40">
        <v>1</v>
      </c>
      <c r="T75" s="40">
        <v>1</v>
      </c>
      <c r="U75" s="40">
        <v>1</v>
      </c>
      <c r="V75" s="40">
        <v>1</v>
      </c>
      <c r="W75" s="40">
        <v>1</v>
      </c>
      <c r="X75" s="40">
        <v>1</v>
      </c>
      <c r="Y75" s="40">
        <v>1</v>
      </c>
      <c r="Z75" s="40">
        <v>1</v>
      </c>
      <c r="AA75" s="40">
        <v>1</v>
      </c>
      <c r="AB75" s="40">
        <v>1</v>
      </c>
      <c r="AC75" s="40">
        <v>1</v>
      </c>
      <c r="AD75" s="40">
        <v>1</v>
      </c>
    </row>
    <row r="76" spans="10:30" x14ac:dyDescent="0.25">
      <c r="Q76" s="40">
        <v>1</v>
      </c>
      <c r="R76" s="40">
        <v>1</v>
      </c>
      <c r="S76" s="40">
        <v>1</v>
      </c>
      <c r="T76" s="40">
        <v>1</v>
      </c>
      <c r="U76" s="40">
        <v>1</v>
      </c>
      <c r="V76" s="40">
        <v>1</v>
      </c>
      <c r="W76" s="40">
        <v>1</v>
      </c>
      <c r="X76" s="40">
        <v>1</v>
      </c>
      <c r="Y76" s="40">
        <v>1</v>
      </c>
      <c r="AA76" s="40">
        <v>1</v>
      </c>
      <c r="AB76" s="40">
        <v>1</v>
      </c>
      <c r="AC76" s="40">
        <v>1</v>
      </c>
      <c r="AD76" s="40">
        <v>1</v>
      </c>
    </row>
    <row r="77" spans="10:30" x14ac:dyDescent="0.25">
      <c r="Q77" s="40">
        <v>1</v>
      </c>
      <c r="R77" s="40">
        <v>1</v>
      </c>
      <c r="S77" s="40">
        <v>1</v>
      </c>
      <c r="T77" s="40">
        <v>1</v>
      </c>
      <c r="U77" s="40">
        <v>1</v>
      </c>
      <c r="V77" s="40">
        <v>1</v>
      </c>
      <c r="W77" s="40">
        <v>1</v>
      </c>
      <c r="X77" s="40">
        <v>1</v>
      </c>
      <c r="Y77" s="40">
        <v>1</v>
      </c>
      <c r="AA77" s="40">
        <v>1</v>
      </c>
      <c r="AB77" s="40">
        <v>1</v>
      </c>
      <c r="AC77" s="40">
        <v>1</v>
      </c>
      <c r="AD77" s="40">
        <v>1</v>
      </c>
    </row>
    <row r="78" spans="10:30" x14ac:dyDescent="0.25">
      <c r="Q78" s="40">
        <v>1</v>
      </c>
      <c r="R78" s="40">
        <v>1</v>
      </c>
      <c r="S78" s="40">
        <v>1</v>
      </c>
      <c r="T78" s="40">
        <v>1</v>
      </c>
      <c r="U78" s="40">
        <v>1</v>
      </c>
      <c r="V78" s="40">
        <v>1</v>
      </c>
      <c r="W78" s="40">
        <v>1</v>
      </c>
      <c r="X78" s="40">
        <v>1</v>
      </c>
      <c r="Y78" s="40">
        <v>1</v>
      </c>
      <c r="AA78" s="40">
        <v>1</v>
      </c>
      <c r="AB78" s="40">
        <v>1</v>
      </c>
      <c r="AC78" s="40">
        <v>1</v>
      </c>
      <c r="AD78" s="40">
        <v>1</v>
      </c>
    </row>
    <row r="80" spans="10:30" x14ac:dyDescent="0.25">
      <c r="J80" s="40">
        <v>1</v>
      </c>
      <c r="K80" s="40">
        <v>1</v>
      </c>
      <c r="L80" s="40">
        <v>1</v>
      </c>
      <c r="M80" s="40">
        <v>1</v>
      </c>
      <c r="N80" s="40">
        <v>1</v>
      </c>
      <c r="O80" s="40">
        <v>1</v>
      </c>
      <c r="P80" s="40">
        <v>1</v>
      </c>
      <c r="Q80" s="40">
        <v>1</v>
      </c>
      <c r="R80" s="40">
        <v>1</v>
      </c>
      <c r="T80" s="40">
        <v>1</v>
      </c>
      <c r="U80" s="40">
        <v>1</v>
      </c>
      <c r="V80" s="40">
        <v>1</v>
      </c>
      <c r="W80" s="40">
        <v>1</v>
      </c>
    </row>
    <row r="81" spans="10:23" x14ac:dyDescent="0.25">
      <c r="J81" s="40">
        <v>1</v>
      </c>
      <c r="K81" s="40">
        <v>1</v>
      </c>
      <c r="L81" s="40">
        <v>1</v>
      </c>
      <c r="M81" s="40">
        <v>1</v>
      </c>
      <c r="N81" s="40">
        <v>1</v>
      </c>
      <c r="O81" s="40">
        <v>1</v>
      </c>
      <c r="P81" s="40">
        <v>1</v>
      </c>
      <c r="Q81" s="40">
        <v>1</v>
      </c>
      <c r="R81" s="40">
        <v>1</v>
      </c>
      <c r="T81" s="40">
        <v>1</v>
      </c>
      <c r="U81" s="40">
        <v>1</v>
      </c>
      <c r="V81" s="40">
        <v>1</v>
      </c>
      <c r="W81" s="40">
        <v>1</v>
      </c>
    </row>
    <row r="82" spans="10:23" x14ac:dyDescent="0.25">
      <c r="J82" s="40">
        <v>1</v>
      </c>
      <c r="K82" s="40">
        <v>1</v>
      </c>
      <c r="L82" s="40">
        <v>1</v>
      </c>
      <c r="M82" s="40">
        <v>1</v>
      </c>
      <c r="N82" s="40">
        <v>1</v>
      </c>
      <c r="O82" s="40">
        <v>1</v>
      </c>
      <c r="P82" s="40">
        <v>1</v>
      </c>
      <c r="Q82" s="40">
        <v>1</v>
      </c>
      <c r="R82" s="40">
        <v>1</v>
      </c>
      <c r="T82" s="40">
        <v>1</v>
      </c>
      <c r="U82" s="40">
        <v>1</v>
      </c>
      <c r="V82" s="40">
        <v>1</v>
      </c>
      <c r="W82" s="40">
        <v>1</v>
      </c>
    </row>
    <row r="83" spans="10:23" x14ac:dyDescent="0.25">
      <c r="J83" s="40">
        <v>1</v>
      </c>
      <c r="K83" s="40">
        <v>1</v>
      </c>
      <c r="L83" s="40">
        <v>1</v>
      </c>
      <c r="M83" s="40">
        <v>1</v>
      </c>
      <c r="N83" s="40">
        <v>1</v>
      </c>
      <c r="O83" s="40">
        <v>1</v>
      </c>
      <c r="P83" s="40">
        <v>1</v>
      </c>
      <c r="Q83" s="40">
        <v>1</v>
      </c>
      <c r="R83" s="40">
        <v>1</v>
      </c>
      <c r="S83" s="40">
        <v>1</v>
      </c>
      <c r="T83" s="40">
        <v>1</v>
      </c>
      <c r="U83" s="40">
        <v>1</v>
      </c>
      <c r="V83" s="40">
        <v>1</v>
      </c>
      <c r="W83" s="40">
        <v>1</v>
      </c>
    </row>
    <row r="85" spans="10:23" x14ac:dyDescent="0.25">
      <c r="J85" s="40">
        <v>1</v>
      </c>
      <c r="K85" s="40">
        <v>1</v>
      </c>
      <c r="L85" s="40">
        <v>1</v>
      </c>
      <c r="M85" s="40">
        <v>1</v>
      </c>
      <c r="N85" s="40">
        <v>1</v>
      </c>
      <c r="O85" s="40">
        <v>1</v>
      </c>
      <c r="P85" s="40">
        <v>1</v>
      </c>
      <c r="Q85" s="40">
        <v>1</v>
      </c>
      <c r="R85" s="40">
        <v>1</v>
      </c>
      <c r="S85" s="40">
        <v>1</v>
      </c>
      <c r="T85" s="40">
        <v>1</v>
      </c>
      <c r="U85" s="40">
        <v>1</v>
      </c>
      <c r="V85" s="40">
        <v>1</v>
      </c>
      <c r="W85" s="40">
        <v>1</v>
      </c>
    </row>
    <row r="86" spans="10:23" x14ac:dyDescent="0.25">
      <c r="J86" s="40">
        <v>1</v>
      </c>
      <c r="K86" s="40">
        <v>1</v>
      </c>
      <c r="L86" s="40">
        <v>1</v>
      </c>
      <c r="M86" s="40">
        <v>1</v>
      </c>
      <c r="N86" s="40">
        <v>1</v>
      </c>
      <c r="O86" s="40">
        <v>1</v>
      </c>
      <c r="P86" s="40">
        <v>1</v>
      </c>
      <c r="Q86" s="40">
        <v>1</v>
      </c>
      <c r="R86" s="40">
        <v>1</v>
      </c>
      <c r="S86" s="40">
        <v>1</v>
      </c>
      <c r="T86" s="40">
        <v>1</v>
      </c>
      <c r="U86" s="40">
        <v>1</v>
      </c>
      <c r="V86" s="40">
        <v>1</v>
      </c>
      <c r="W86" s="40">
        <v>1</v>
      </c>
    </row>
    <row r="87" spans="10:23" x14ac:dyDescent="0.25">
      <c r="J87" s="40">
        <v>1</v>
      </c>
      <c r="K87" s="40">
        <v>1</v>
      </c>
      <c r="L87" s="40">
        <v>1</v>
      </c>
      <c r="M87" s="40">
        <v>1</v>
      </c>
      <c r="N87" s="40">
        <v>1</v>
      </c>
      <c r="O87" s="40">
        <v>1</v>
      </c>
      <c r="P87" s="40">
        <v>1</v>
      </c>
      <c r="Q87" s="40">
        <v>1</v>
      </c>
      <c r="R87" s="40">
        <v>1</v>
      </c>
      <c r="T87" s="40">
        <v>1</v>
      </c>
      <c r="U87" s="40">
        <v>1</v>
      </c>
      <c r="V87" s="40">
        <v>1</v>
      </c>
      <c r="W87" s="40">
        <v>1</v>
      </c>
    </row>
    <row r="89" spans="10:23" x14ac:dyDescent="0.25">
      <c r="J89" s="40">
        <v>1</v>
      </c>
      <c r="K89" s="40">
        <v>1</v>
      </c>
      <c r="L89" s="40">
        <v>1</v>
      </c>
      <c r="M89" s="40">
        <v>1</v>
      </c>
      <c r="N89" s="40">
        <v>1</v>
      </c>
      <c r="O89" s="40">
        <v>1</v>
      </c>
      <c r="P89" s="40">
        <v>1</v>
      </c>
      <c r="Q89" s="40">
        <v>1</v>
      </c>
      <c r="R89" s="40">
        <v>1</v>
      </c>
      <c r="T89" s="40">
        <v>1</v>
      </c>
      <c r="U89" s="40">
        <v>1</v>
      </c>
      <c r="V89" s="40">
        <v>1</v>
      </c>
      <c r="W89" s="40">
        <v>1</v>
      </c>
    </row>
    <row r="90" spans="10:23" x14ac:dyDescent="0.25">
      <c r="J90" s="40">
        <v>1</v>
      </c>
      <c r="K90" s="40">
        <v>1</v>
      </c>
      <c r="L90" s="40">
        <v>1</v>
      </c>
      <c r="M90" s="40">
        <v>1</v>
      </c>
      <c r="N90" s="40">
        <v>1</v>
      </c>
      <c r="O90" s="40">
        <v>1</v>
      </c>
      <c r="P90" s="40">
        <v>1</v>
      </c>
      <c r="Q90" s="40">
        <v>1</v>
      </c>
      <c r="R90" s="40">
        <v>1</v>
      </c>
      <c r="S90" s="40">
        <v>1</v>
      </c>
      <c r="T90" s="40">
        <v>1</v>
      </c>
      <c r="U90" s="40">
        <v>1</v>
      </c>
      <c r="V90" s="40">
        <v>1</v>
      </c>
      <c r="W90" s="40">
        <v>1</v>
      </c>
    </row>
    <row r="91" spans="10:23" x14ac:dyDescent="0.25">
      <c r="J91" s="40">
        <v>1</v>
      </c>
      <c r="K91" s="40">
        <v>1</v>
      </c>
      <c r="L91" s="40">
        <v>1</v>
      </c>
      <c r="M91" s="40">
        <v>1</v>
      </c>
      <c r="N91" s="40">
        <v>1</v>
      </c>
      <c r="O91" s="40">
        <v>1</v>
      </c>
      <c r="P91" s="40">
        <v>1</v>
      </c>
      <c r="Q91" s="40">
        <v>1</v>
      </c>
      <c r="R91" s="40">
        <v>1</v>
      </c>
      <c r="S91" s="40">
        <v>1</v>
      </c>
      <c r="T91" s="40">
        <v>1</v>
      </c>
      <c r="U91" s="40">
        <v>1</v>
      </c>
      <c r="V91" s="40">
        <v>1</v>
      </c>
      <c r="W91" s="40">
        <v>1</v>
      </c>
    </row>
    <row r="92" spans="10:23" x14ac:dyDescent="0.25">
      <c r="J92" s="40">
        <v>1</v>
      </c>
      <c r="K92" s="40">
        <v>1</v>
      </c>
      <c r="L92" s="40">
        <v>1</v>
      </c>
      <c r="M92" s="40">
        <v>1</v>
      </c>
      <c r="N92" s="40">
        <v>1</v>
      </c>
      <c r="O92" s="40">
        <v>1</v>
      </c>
      <c r="P92" s="40">
        <v>1</v>
      </c>
      <c r="Q92" s="40">
        <v>1</v>
      </c>
      <c r="R92" s="40">
        <v>1</v>
      </c>
      <c r="T92" s="40">
        <v>1</v>
      </c>
      <c r="U92" s="40">
        <v>1</v>
      </c>
      <c r="V92" s="40">
        <v>1</v>
      </c>
      <c r="W92" s="40">
        <v>1</v>
      </c>
    </row>
    <row r="93" spans="10:23" x14ac:dyDescent="0.25">
      <c r="J93" s="40">
        <v>1</v>
      </c>
      <c r="K93" s="40">
        <v>1</v>
      </c>
      <c r="L93" s="40">
        <v>1</v>
      </c>
      <c r="M93" s="40">
        <v>1</v>
      </c>
      <c r="N93" s="40">
        <v>1</v>
      </c>
      <c r="O93" s="40">
        <v>1</v>
      </c>
      <c r="P93" s="40">
        <v>1</v>
      </c>
      <c r="Q93" s="40">
        <v>1</v>
      </c>
      <c r="R93" s="40">
        <v>1</v>
      </c>
      <c r="T93" s="40">
        <v>1</v>
      </c>
      <c r="U93" s="40">
        <v>1</v>
      </c>
      <c r="V93" s="40">
        <v>1</v>
      </c>
      <c r="W93" s="40">
        <v>1</v>
      </c>
    </row>
    <row r="94" spans="10:23" x14ac:dyDescent="0.25">
      <c r="J94" s="40">
        <v>1</v>
      </c>
      <c r="K94" s="40">
        <v>1</v>
      </c>
      <c r="L94" s="40">
        <v>1</v>
      </c>
      <c r="M94" s="40">
        <v>1</v>
      </c>
      <c r="N94" s="40">
        <v>1</v>
      </c>
      <c r="O94" s="40">
        <v>1</v>
      </c>
      <c r="P94" s="40">
        <v>1</v>
      </c>
      <c r="Q94" s="40">
        <v>1</v>
      </c>
      <c r="R94" s="40">
        <v>1</v>
      </c>
      <c r="T94" s="40">
        <v>1</v>
      </c>
      <c r="U94" s="40">
        <v>1</v>
      </c>
      <c r="V94" s="40">
        <v>1</v>
      </c>
      <c r="W94" s="40">
        <v>1</v>
      </c>
    </row>
    <row r="95" spans="10:23" x14ac:dyDescent="0.25">
      <c r="J95" s="40">
        <v>1</v>
      </c>
      <c r="K95" s="40">
        <v>1</v>
      </c>
      <c r="L95" s="40">
        <v>1</v>
      </c>
      <c r="M95" s="40">
        <v>1</v>
      </c>
      <c r="N95" s="40">
        <v>1</v>
      </c>
      <c r="O95" s="40">
        <v>1</v>
      </c>
      <c r="P95" s="40">
        <v>1</v>
      </c>
      <c r="Q95" s="40">
        <v>1</v>
      </c>
      <c r="R95" s="40">
        <v>1</v>
      </c>
      <c r="T95" s="40">
        <v>1</v>
      </c>
      <c r="U95" s="40">
        <v>1</v>
      </c>
      <c r="V95" s="40">
        <v>1</v>
      </c>
      <c r="W95" s="40">
        <v>1</v>
      </c>
    </row>
    <row r="97" spans="10:22" x14ac:dyDescent="0.25">
      <c r="J97" s="40">
        <v>1</v>
      </c>
      <c r="K97" s="40">
        <v>1</v>
      </c>
      <c r="L97" s="40">
        <v>1</v>
      </c>
      <c r="M97" s="40">
        <v>1</v>
      </c>
      <c r="N97" s="40">
        <v>1</v>
      </c>
      <c r="O97" s="40">
        <v>1</v>
      </c>
      <c r="P97" s="40">
        <v>1</v>
      </c>
      <c r="Q97" s="40">
        <v>1</v>
      </c>
      <c r="R97" s="40">
        <v>1</v>
      </c>
      <c r="S97" s="40">
        <v>1</v>
      </c>
      <c r="T97" s="40">
        <v>1</v>
      </c>
      <c r="U97" s="40">
        <v>1</v>
      </c>
      <c r="V97" s="40">
        <v>1</v>
      </c>
    </row>
    <row r="98" spans="10:22" x14ac:dyDescent="0.25">
      <c r="J98" s="40">
        <v>1</v>
      </c>
      <c r="K98" s="40">
        <v>1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1</v>
      </c>
      <c r="V98" s="40">
        <v>1</v>
      </c>
    </row>
    <row r="99" spans="10:22" x14ac:dyDescent="0.25">
      <c r="J99" s="40">
        <v>1</v>
      </c>
      <c r="K99" s="40">
        <v>1</v>
      </c>
      <c r="L99" s="40">
        <v>1</v>
      </c>
      <c r="M99" s="40">
        <v>1</v>
      </c>
      <c r="N99" s="40">
        <v>1</v>
      </c>
      <c r="O99" s="40">
        <v>1</v>
      </c>
      <c r="P99" s="40">
        <v>1</v>
      </c>
      <c r="Q99" s="40">
        <v>1</v>
      </c>
      <c r="R99" s="40">
        <v>1</v>
      </c>
      <c r="S99" s="40">
        <v>1</v>
      </c>
      <c r="T99" s="40">
        <v>1</v>
      </c>
      <c r="U99" s="40">
        <v>1</v>
      </c>
      <c r="V99" s="40">
        <v>1</v>
      </c>
    </row>
    <row r="101" spans="10:22" x14ac:dyDescent="0.25">
      <c r="J101" s="40">
        <v>1</v>
      </c>
      <c r="K101" s="40">
        <v>1</v>
      </c>
      <c r="L101" s="40">
        <v>1</v>
      </c>
      <c r="M101" s="40">
        <v>1</v>
      </c>
      <c r="N101" s="40">
        <v>1</v>
      </c>
      <c r="O101" s="40">
        <v>1</v>
      </c>
      <c r="P101" s="40">
        <v>1</v>
      </c>
      <c r="Q101" s="40">
        <v>1</v>
      </c>
      <c r="R101" s="40">
        <v>1</v>
      </c>
      <c r="S101" s="40">
        <v>1</v>
      </c>
      <c r="T101" s="40">
        <v>1</v>
      </c>
      <c r="U101" s="40">
        <v>1</v>
      </c>
      <c r="V101" s="40">
        <v>1</v>
      </c>
    </row>
    <row r="103" spans="10:22" x14ac:dyDescent="0.25">
      <c r="J103" s="40">
        <v>1</v>
      </c>
      <c r="K103" s="40">
        <v>1</v>
      </c>
      <c r="L103" s="40">
        <v>1</v>
      </c>
      <c r="M103" s="40">
        <v>1</v>
      </c>
      <c r="N103" s="40">
        <v>1</v>
      </c>
      <c r="O103" s="40">
        <v>1</v>
      </c>
      <c r="P103" s="40">
        <v>1</v>
      </c>
      <c r="Q103" s="40">
        <v>1</v>
      </c>
      <c r="R103" s="40">
        <v>1</v>
      </c>
      <c r="S103" s="40">
        <v>1</v>
      </c>
      <c r="T103" s="40">
        <v>1</v>
      </c>
    </row>
    <row r="104" spans="10:22" x14ac:dyDescent="0.25">
      <c r="J104" s="40">
        <v>1</v>
      </c>
      <c r="K104" s="40">
        <v>1</v>
      </c>
      <c r="L104" s="40">
        <v>1</v>
      </c>
      <c r="M104" s="40">
        <v>1</v>
      </c>
      <c r="N104" s="40">
        <v>1</v>
      </c>
      <c r="O104" s="40">
        <v>1</v>
      </c>
      <c r="P104" s="40">
        <v>1</v>
      </c>
      <c r="Q104" s="40">
        <v>1</v>
      </c>
      <c r="R104" s="40">
        <v>1</v>
      </c>
      <c r="S104" s="40">
        <v>1</v>
      </c>
      <c r="T104" s="40">
        <v>1</v>
      </c>
    </row>
    <row r="106" spans="10:22" x14ac:dyDescent="0.25">
      <c r="J106" s="40">
        <v>1</v>
      </c>
      <c r="K106" s="40">
        <v>1</v>
      </c>
      <c r="L106" s="40">
        <v>1</v>
      </c>
      <c r="M106" s="40">
        <v>1</v>
      </c>
      <c r="N106" s="40">
        <v>1</v>
      </c>
      <c r="O106" s="40">
        <v>1</v>
      </c>
      <c r="P106" s="40">
        <v>1</v>
      </c>
      <c r="Q106" s="40">
        <v>1</v>
      </c>
      <c r="R106" s="40">
        <v>1</v>
      </c>
      <c r="S106" s="40">
        <v>1</v>
      </c>
      <c r="T106" s="40">
        <v>1</v>
      </c>
      <c r="U106" s="40">
        <v>1</v>
      </c>
    </row>
    <row r="108" spans="10:22" x14ac:dyDescent="0.25">
      <c r="J108" s="40">
        <v>1</v>
      </c>
      <c r="K108" s="40">
        <v>1</v>
      </c>
      <c r="L108" s="40">
        <v>1</v>
      </c>
      <c r="M108" s="40">
        <v>1</v>
      </c>
      <c r="N108" s="40">
        <v>1</v>
      </c>
      <c r="O108" s="40">
        <v>1</v>
      </c>
      <c r="P108" s="40">
        <v>1</v>
      </c>
      <c r="Q108" s="40">
        <v>1</v>
      </c>
      <c r="R108" s="40">
        <v>1</v>
      </c>
      <c r="S108" s="40">
        <v>1</v>
      </c>
      <c r="T108" s="40">
        <v>1</v>
      </c>
    </row>
    <row r="109" spans="10:22" x14ac:dyDescent="0.25">
      <c r="J109" s="40">
        <v>1</v>
      </c>
      <c r="K109" s="40">
        <v>1</v>
      </c>
      <c r="L109" s="40">
        <v>1</v>
      </c>
      <c r="M109" s="40">
        <v>1</v>
      </c>
      <c r="N109" s="40">
        <v>1</v>
      </c>
      <c r="O109" s="40">
        <v>1</v>
      </c>
      <c r="P109" s="40">
        <v>1</v>
      </c>
      <c r="Q109" s="40">
        <v>1</v>
      </c>
      <c r="R109" s="40">
        <v>1</v>
      </c>
      <c r="S109" s="40">
        <v>1</v>
      </c>
      <c r="T109" s="40">
        <v>1</v>
      </c>
    </row>
    <row r="110" spans="10:22" x14ac:dyDescent="0.25">
      <c r="J110" s="40">
        <v>1</v>
      </c>
      <c r="K110" s="40">
        <v>1</v>
      </c>
      <c r="L110" s="40">
        <v>1</v>
      </c>
      <c r="M110" s="40">
        <v>1</v>
      </c>
      <c r="N110" s="40">
        <v>1</v>
      </c>
      <c r="O110" s="40">
        <v>1</v>
      </c>
      <c r="P110" s="40">
        <v>1</v>
      </c>
      <c r="Q110" s="40">
        <v>1</v>
      </c>
      <c r="R110" s="40">
        <v>1</v>
      </c>
      <c r="S110" s="40">
        <v>1</v>
      </c>
      <c r="T110" s="40">
        <v>1</v>
      </c>
    </row>
    <row r="111" spans="10:22" x14ac:dyDescent="0.25">
      <c r="L111" s="40">
        <v>1</v>
      </c>
      <c r="M111" s="40">
        <v>1</v>
      </c>
      <c r="N111" s="40">
        <v>1</v>
      </c>
      <c r="O111" s="40">
        <v>1</v>
      </c>
      <c r="P111" s="40">
        <v>1</v>
      </c>
    </row>
    <row r="113" spans="10:28" x14ac:dyDescent="0.25">
      <c r="J113" s="40">
        <v>1</v>
      </c>
      <c r="K113" s="40">
        <v>1</v>
      </c>
      <c r="L113" s="40">
        <v>1</v>
      </c>
      <c r="M113" s="40">
        <v>1</v>
      </c>
      <c r="N113" s="40">
        <v>1</v>
      </c>
      <c r="O113" s="40">
        <v>1</v>
      </c>
      <c r="P113" s="40">
        <v>1</v>
      </c>
      <c r="Q113" s="40">
        <v>1</v>
      </c>
      <c r="R113" s="40">
        <v>1</v>
      </c>
      <c r="S113" s="40">
        <v>1</v>
      </c>
      <c r="T113" s="40">
        <v>1</v>
      </c>
    </row>
    <row r="115" spans="10:28" x14ac:dyDescent="0.25">
      <c r="J115" s="40">
        <v>1</v>
      </c>
      <c r="K115" s="40">
        <v>1</v>
      </c>
      <c r="L115" s="40">
        <v>1</v>
      </c>
      <c r="M115" s="40">
        <v>1</v>
      </c>
      <c r="N115" s="40">
        <v>1</v>
      </c>
      <c r="O115" s="40">
        <v>1</v>
      </c>
      <c r="P115" s="40">
        <v>1</v>
      </c>
      <c r="Q115" s="40">
        <v>1</v>
      </c>
      <c r="R115" s="40">
        <v>1</v>
      </c>
      <c r="S115" s="40">
        <v>1</v>
      </c>
      <c r="T115" s="40">
        <v>1</v>
      </c>
    </row>
    <row r="119" spans="10:28" x14ac:dyDescent="0.25">
      <c r="J119" s="40">
        <v>1</v>
      </c>
      <c r="K119" s="40">
        <v>1</v>
      </c>
      <c r="L119" s="40">
        <v>1</v>
      </c>
      <c r="M119" s="40">
        <v>1</v>
      </c>
      <c r="N119" s="40">
        <v>1</v>
      </c>
      <c r="O119" s="40">
        <v>1</v>
      </c>
      <c r="P119" s="40">
        <v>1</v>
      </c>
      <c r="Q119" s="40">
        <v>1</v>
      </c>
      <c r="R119" s="40">
        <v>1</v>
      </c>
      <c r="S119" s="40">
        <v>1</v>
      </c>
      <c r="T119" s="40">
        <v>1</v>
      </c>
      <c r="U119" s="40">
        <v>1</v>
      </c>
    </row>
    <row r="120" spans="10:28" x14ac:dyDescent="0.25">
      <c r="J120" s="40">
        <v>1</v>
      </c>
      <c r="K120" s="40">
        <v>1</v>
      </c>
      <c r="L120" s="40">
        <v>1</v>
      </c>
      <c r="M120" s="40">
        <v>1</v>
      </c>
      <c r="N120" s="40">
        <v>1</v>
      </c>
      <c r="O120" s="40">
        <v>1</v>
      </c>
      <c r="P120" s="40">
        <v>1</v>
      </c>
      <c r="Q120" s="40">
        <v>1</v>
      </c>
      <c r="R120" s="40">
        <v>1</v>
      </c>
      <c r="S120" s="40">
        <v>1</v>
      </c>
      <c r="T120" s="40">
        <v>1</v>
      </c>
      <c r="U120" s="40">
        <v>1</v>
      </c>
    </row>
    <row r="121" spans="10:28" x14ac:dyDescent="0.25">
      <c r="J121" s="40">
        <v>1</v>
      </c>
      <c r="K121" s="40">
        <v>1</v>
      </c>
      <c r="L121" s="40">
        <v>1</v>
      </c>
      <c r="M121" s="40">
        <v>1</v>
      </c>
      <c r="N121" s="40">
        <v>1</v>
      </c>
      <c r="O121" s="40">
        <v>1</v>
      </c>
      <c r="P121" s="40">
        <v>1</v>
      </c>
      <c r="Q121" s="40">
        <v>1</v>
      </c>
      <c r="R121" s="40">
        <v>1</v>
      </c>
      <c r="S121" s="40">
        <v>1</v>
      </c>
      <c r="T121" s="40">
        <v>1</v>
      </c>
      <c r="U121" s="40">
        <v>1</v>
      </c>
    </row>
    <row r="122" spans="10:28" x14ac:dyDescent="0.25">
      <c r="J122" s="40">
        <v>1</v>
      </c>
      <c r="K122" s="40">
        <v>1</v>
      </c>
      <c r="M122" s="40">
        <v>1</v>
      </c>
      <c r="O122" s="40">
        <v>1</v>
      </c>
      <c r="P122" s="40">
        <v>1</v>
      </c>
      <c r="Q122" s="40">
        <v>1</v>
      </c>
      <c r="R122" s="40">
        <v>1</v>
      </c>
      <c r="S122" s="40">
        <v>1</v>
      </c>
      <c r="T122" s="40">
        <v>1</v>
      </c>
      <c r="U122" s="40">
        <v>1</v>
      </c>
      <c r="V122" s="40">
        <v>1</v>
      </c>
      <c r="W122" s="40">
        <v>1</v>
      </c>
      <c r="X122" s="40">
        <v>1</v>
      </c>
      <c r="Y122" s="40">
        <v>1</v>
      </c>
      <c r="Z122" s="40">
        <v>1</v>
      </c>
      <c r="AA122" s="40">
        <v>1</v>
      </c>
      <c r="AB122" s="40">
        <v>1</v>
      </c>
    </row>
    <row r="124" spans="10:28" x14ac:dyDescent="0.25">
      <c r="J124" s="40">
        <v>1</v>
      </c>
      <c r="K124" s="40">
        <v>1</v>
      </c>
      <c r="N124" s="40">
        <v>1</v>
      </c>
    </row>
    <row r="126" spans="10:28" x14ac:dyDescent="0.25">
      <c r="J126" s="40">
        <v>1</v>
      </c>
      <c r="K126" s="40">
        <v>1</v>
      </c>
      <c r="L126" s="40">
        <v>1</v>
      </c>
      <c r="M126" s="40">
        <v>1</v>
      </c>
      <c r="N126" s="40">
        <v>1</v>
      </c>
      <c r="O126" s="40">
        <v>1</v>
      </c>
      <c r="P126" s="40">
        <v>1</v>
      </c>
      <c r="Q126" s="40">
        <v>1</v>
      </c>
      <c r="R126" s="40">
        <v>1</v>
      </c>
      <c r="S126" s="40">
        <v>1</v>
      </c>
      <c r="T126" s="40">
        <v>1</v>
      </c>
      <c r="U126" s="40">
        <v>1</v>
      </c>
      <c r="V126" s="40">
        <v>1</v>
      </c>
    </row>
    <row r="127" spans="10:28" x14ac:dyDescent="0.25">
      <c r="J127" s="40">
        <v>1</v>
      </c>
      <c r="K127" s="40">
        <v>1</v>
      </c>
      <c r="L127" s="40">
        <v>1</v>
      </c>
      <c r="M127" s="40">
        <v>1</v>
      </c>
      <c r="N127" s="40">
        <v>1</v>
      </c>
      <c r="O127" s="40">
        <v>1</v>
      </c>
      <c r="P127" s="40">
        <v>1</v>
      </c>
      <c r="Q127" s="40">
        <v>1</v>
      </c>
      <c r="R127" s="40">
        <v>1</v>
      </c>
      <c r="S127" s="40">
        <v>1</v>
      </c>
      <c r="U127" s="40">
        <v>1</v>
      </c>
      <c r="V127" s="40">
        <v>1</v>
      </c>
    </row>
    <row r="129" spans="10:15" x14ac:dyDescent="0.25">
      <c r="J129" s="40">
        <v>1</v>
      </c>
      <c r="K129" s="40">
        <v>1</v>
      </c>
      <c r="L129" s="40">
        <v>1</v>
      </c>
      <c r="M129" s="40">
        <v>1</v>
      </c>
      <c r="N129" s="40">
        <v>1</v>
      </c>
      <c r="O129" s="40">
        <v>1</v>
      </c>
    </row>
    <row r="130" spans="10:15" x14ac:dyDescent="0.25">
      <c r="J130" s="40">
        <v>1</v>
      </c>
      <c r="K130" s="40">
        <v>1</v>
      </c>
      <c r="L130" s="40">
        <v>1</v>
      </c>
      <c r="M130" s="40">
        <v>1</v>
      </c>
      <c r="N130" s="40">
        <v>1</v>
      </c>
      <c r="O130" s="40">
        <v>1</v>
      </c>
    </row>
    <row r="133" spans="10:15" x14ac:dyDescent="0.25">
      <c r="J133" s="4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oldToShipTo"/>
  <dimension ref="A1"/>
  <sheetViews>
    <sheetView workbookViewId="0"/>
  </sheetViews>
  <sheetFormatPr defaultRowHeight="15" x14ac:dyDescent="0.25"/>
  <sheetData/>
  <sheetProtection password="E42B" sheet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GlobalVariables"/>
  <dimension ref="A1:C202"/>
  <sheetViews>
    <sheetView workbookViewId="0"/>
  </sheetViews>
  <sheetFormatPr defaultRowHeight="15" x14ac:dyDescent="0.25"/>
  <sheetData>
    <row r="1" spans="1:2" x14ac:dyDescent="0.25">
      <c r="A1" s="1" t="s">
        <v>4708</v>
      </c>
      <c r="B1" s="1" t="s">
        <v>4709</v>
      </c>
    </row>
    <row r="15" spans="1:2" x14ac:dyDescent="0.25">
      <c r="A15" s="1" t="s">
        <v>4710</v>
      </c>
      <c r="B15" s="1" t="s">
        <v>4711</v>
      </c>
    </row>
    <row r="16" spans="1:2" x14ac:dyDescent="0.25">
      <c r="A16" s="1" t="s">
        <v>4712</v>
      </c>
      <c r="B16" s="1" t="s">
        <v>4713</v>
      </c>
    </row>
    <row r="17" spans="1:3" x14ac:dyDescent="0.25">
      <c r="A17" s="1" t="s">
        <v>4714</v>
      </c>
      <c r="B17" s="1" t="s">
        <v>4713</v>
      </c>
    </row>
    <row r="18" spans="1:3" x14ac:dyDescent="0.25">
      <c r="A18" s="1" t="s">
        <v>4715</v>
      </c>
      <c r="B18" s="1" t="s">
        <v>4713</v>
      </c>
    </row>
    <row r="19" spans="1:3" x14ac:dyDescent="0.25">
      <c r="B19" s="1" t="s">
        <v>4716</v>
      </c>
      <c r="C19" s="1" t="s">
        <v>4717</v>
      </c>
    </row>
    <row r="98" spans="1:2" x14ac:dyDescent="0.25">
      <c r="A98" s="1" t="s">
        <v>4718</v>
      </c>
      <c r="B98" s="1" t="s">
        <v>4719</v>
      </c>
    </row>
    <row r="99" spans="1:2" x14ac:dyDescent="0.25">
      <c r="B99" s="1" t="s">
        <v>9</v>
      </c>
    </row>
    <row r="100" spans="1:2" x14ac:dyDescent="0.25">
      <c r="A100" s="1" t="s">
        <v>4720</v>
      </c>
      <c r="B100" s="1" t="s">
        <v>4721</v>
      </c>
    </row>
    <row r="101" spans="1:2" x14ac:dyDescent="0.25">
      <c r="A101" s="1" t="s">
        <v>4722</v>
      </c>
      <c r="B101" s="1" t="s">
        <v>0</v>
      </c>
    </row>
    <row r="102" spans="1:2" x14ac:dyDescent="0.25">
      <c r="A102" s="1" t="s">
        <v>4723</v>
      </c>
      <c r="B102" s="1" t="s">
        <v>145</v>
      </c>
    </row>
    <row r="103" spans="1:2" x14ac:dyDescent="0.25">
      <c r="A103" s="1" t="s">
        <v>4724</v>
      </c>
      <c r="B103" s="1" t="s">
        <v>4716</v>
      </c>
    </row>
    <row r="200" spans="2:3" hidden="1" x14ac:dyDescent="0.25">
      <c r="B200" s="1" t="s">
        <v>4725</v>
      </c>
      <c r="C200" s="1" t="s">
        <v>4726</v>
      </c>
    </row>
    <row r="201" spans="2:3" x14ac:dyDescent="0.25">
      <c r="C201" s="1" t="s">
        <v>4727</v>
      </c>
    </row>
    <row r="202" spans="2:3" x14ac:dyDescent="0.25">
      <c r="B202" s="75" t="s">
        <v>4728</v>
      </c>
    </row>
  </sheetData>
  <sheetProtection password="E42B" sheet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31"/>
  <sheetViews>
    <sheetView workbookViewId="0"/>
  </sheetViews>
  <sheetFormatPr defaultColWidth="9" defaultRowHeight="12" x14ac:dyDescent="0.2"/>
  <cols>
    <col min="1" max="1" width="92.42578125" style="30" bestFit="1" customWidth="1"/>
    <col min="2" max="2" width="9" style="3" customWidth="1"/>
    <col min="3" max="16384" width="9" style="3"/>
  </cols>
  <sheetData>
    <row r="1" spans="1:1" x14ac:dyDescent="0.2">
      <c r="A1" s="25" t="s">
        <v>216</v>
      </c>
    </row>
    <row r="2" spans="1:1" x14ac:dyDescent="0.2">
      <c r="A2" s="26" t="s">
        <v>217</v>
      </c>
    </row>
    <row r="3" spans="1:1" x14ac:dyDescent="0.2">
      <c r="A3" s="27"/>
    </row>
    <row r="4" spans="1:1" x14ac:dyDescent="0.2">
      <c r="A4" s="27"/>
    </row>
    <row r="5" spans="1:1" x14ac:dyDescent="0.2">
      <c r="A5" s="27"/>
    </row>
    <row r="6" spans="1:1" x14ac:dyDescent="0.2">
      <c r="A6" s="27"/>
    </row>
    <row r="7" spans="1:1" x14ac:dyDescent="0.2">
      <c r="A7" s="27"/>
    </row>
    <row r="8" spans="1:1" x14ac:dyDescent="0.2">
      <c r="A8" s="27"/>
    </row>
    <row r="9" spans="1:1" x14ac:dyDescent="0.2">
      <c r="A9" s="27"/>
    </row>
    <row r="10" spans="1:1" x14ac:dyDescent="0.2">
      <c r="A10" s="27"/>
    </row>
    <row r="11" spans="1:1" x14ac:dyDescent="0.2">
      <c r="A11" s="28"/>
    </row>
    <row r="12" spans="1:1" x14ac:dyDescent="0.2">
      <c r="A12" s="29"/>
    </row>
    <row r="13" spans="1:1" x14ac:dyDescent="0.2">
      <c r="A13" s="27"/>
    </row>
    <row r="14" spans="1:1" x14ac:dyDescent="0.2">
      <c r="A14" s="27"/>
    </row>
    <row r="15" spans="1:1" x14ac:dyDescent="0.2">
      <c r="A15" s="27"/>
    </row>
    <row r="16" spans="1:1" x14ac:dyDescent="0.2">
      <c r="A16" s="27"/>
    </row>
    <row r="17" spans="1:1" x14ac:dyDescent="0.2">
      <c r="A17" s="27"/>
    </row>
    <row r="18" spans="1:1" x14ac:dyDescent="0.2">
      <c r="A18" s="27"/>
    </row>
    <row r="19" spans="1:1" x14ac:dyDescent="0.2">
      <c r="A19" s="27"/>
    </row>
    <row r="20" spans="1:1" x14ac:dyDescent="0.2">
      <c r="A20" s="27"/>
    </row>
    <row r="21" spans="1:1" x14ac:dyDescent="0.2">
      <c r="A21" s="27"/>
    </row>
    <row r="22" spans="1:1" x14ac:dyDescent="0.2">
      <c r="A22" s="27"/>
    </row>
    <row r="23" spans="1:1" x14ac:dyDescent="0.2">
      <c r="A23" s="27"/>
    </row>
    <row r="24" spans="1:1" x14ac:dyDescent="0.2">
      <c r="A24" s="27"/>
    </row>
    <row r="25" spans="1:1" x14ac:dyDescent="0.2">
      <c r="A25" s="27"/>
    </row>
    <row r="26" spans="1:1" x14ac:dyDescent="0.2">
      <c r="A26" s="27"/>
    </row>
    <row r="27" spans="1:1" x14ac:dyDescent="0.2">
      <c r="A27" s="27"/>
    </row>
    <row r="28" spans="1:1" x14ac:dyDescent="0.2">
      <c r="A28" s="27"/>
    </row>
    <row r="29" spans="1:1" x14ac:dyDescent="0.2">
      <c r="A29" s="27"/>
    </row>
    <row r="30" spans="1:1" x14ac:dyDescent="0.2">
      <c r="A30" s="27"/>
    </row>
    <row r="31" spans="1:1" x14ac:dyDescent="0.2">
      <c r="A31" s="27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W60"/>
  <sheetViews>
    <sheetView showGridLines="0" workbookViewId="0">
      <selection activeCell="C12" sqref="C12"/>
    </sheetView>
  </sheetViews>
  <sheetFormatPr defaultColWidth="3.85546875" defaultRowHeight="12" x14ac:dyDescent="0.2"/>
  <cols>
    <col min="1" max="1" width="3.85546875" style="9" customWidth="1"/>
    <col min="2" max="2" width="10" style="9" customWidth="1"/>
    <col min="3" max="3" width="11.85546875" style="9" customWidth="1"/>
    <col min="4" max="4" width="14.85546875" style="9" customWidth="1"/>
    <col min="5" max="5" width="15" style="9" customWidth="1"/>
    <col min="6" max="6" width="9.85546875" style="9" customWidth="1"/>
    <col min="7" max="7" width="9.42578125" style="9" customWidth="1"/>
    <col min="8" max="8" width="11.5703125" style="9" customWidth="1"/>
    <col min="9" max="10" width="3.85546875" style="9" customWidth="1"/>
    <col min="11" max="11" width="4.7109375" style="9" customWidth="1"/>
    <col min="12" max="13" width="3.85546875" style="9" customWidth="1"/>
    <col min="14" max="16384" width="3.85546875" style="9"/>
  </cols>
  <sheetData>
    <row r="1" spans="1:9" x14ac:dyDescent="0.2">
      <c r="A1" s="4"/>
      <c r="B1" s="4"/>
      <c r="C1" s="4"/>
      <c r="D1" s="4"/>
      <c r="E1" s="4"/>
      <c r="F1" s="4"/>
      <c r="G1" s="4"/>
      <c r="H1" s="4"/>
      <c r="I1" s="4"/>
    </row>
    <row r="2" spans="1:9" x14ac:dyDescent="0.2">
      <c r="A2" s="4"/>
      <c r="B2" s="10" t="s">
        <v>201</v>
      </c>
      <c r="C2" s="10"/>
      <c r="D2" s="10"/>
      <c r="E2" s="82" t="s">
        <v>0</v>
      </c>
      <c r="F2" s="82"/>
      <c r="G2" s="82"/>
      <c r="H2" s="10"/>
      <c r="I2" s="4"/>
    </row>
    <row r="3" spans="1:9" x14ac:dyDescent="0.2">
      <c r="A3" s="4"/>
      <c r="B3" s="4"/>
      <c r="C3" s="4"/>
      <c r="D3" s="4"/>
      <c r="E3" s="4"/>
      <c r="F3" s="11"/>
      <c r="G3" s="11"/>
      <c r="H3" s="11"/>
      <c r="I3" s="4"/>
    </row>
    <row r="4" spans="1:9" x14ac:dyDescent="0.2">
      <c r="A4" s="4"/>
      <c r="B4" s="4"/>
      <c r="C4" s="4"/>
      <c r="D4" s="4"/>
      <c r="E4" s="4"/>
      <c r="F4" s="4"/>
      <c r="G4" s="4"/>
      <c r="H4" s="4"/>
      <c r="I4" s="4"/>
    </row>
    <row r="5" spans="1:9" x14ac:dyDescent="0.2">
      <c r="A5" s="4"/>
      <c r="B5" s="4"/>
      <c r="C5" s="4"/>
      <c r="D5" s="4"/>
      <c r="E5" s="4"/>
      <c r="F5" s="4"/>
      <c r="G5" s="4"/>
      <c r="H5" s="4"/>
      <c r="I5" s="4"/>
    </row>
    <row r="6" spans="1:9" x14ac:dyDescent="0.2">
      <c r="A6" s="4"/>
      <c r="B6" s="4" t="s">
        <v>202</v>
      </c>
      <c r="C6" s="81"/>
      <c r="D6" s="81"/>
      <c r="E6" s="81"/>
      <c r="F6" s="4"/>
      <c r="G6" s="4" t="s">
        <v>203</v>
      </c>
      <c r="H6" s="12"/>
      <c r="I6" s="4"/>
    </row>
    <row r="7" spans="1:9" x14ac:dyDescent="0.2">
      <c r="A7" s="4"/>
      <c r="B7" s="4"/>
      <c r="C7" s="4"/>
      <c r="D7" s="4"/>
      <c r="E7" s="4"/>
      <c r="F7" s="4"/>
      <c r="G7" s="4"/>
      <c r="H7" s="4"/>
      <c r="I7" s="4"/>
    </row>
    <row r="8" spans="1:9" x14ac:dyDescent="0.2">
      <c r="A8" s="4"/>
      <c r="B8" s="4" t="s">
        <v>204</v>
      </c>
      <c r="C8" s="13">
        <f>SUM(G25:G25)</f>
        <v>0</v>
      </c>
      <c r="D8" s="4"/>
      <c r="E8" s="4"/>
      <c r="F8" s="4"/>
      <c r="G8" s="4"/>
      <c r="H8" s="4"/>
      <c r="I8" s="4"/>
    </row>
    <row r="9" spans="1:9" x14ac:dyDescent="0.2">
      <c r="A9" s="4"/>
      <c r="B9" s="4"/>
      <c r="C9" s="4"/>
      <c r="D9" s="4"/>
      <c r="E9" s="4"/>
      <c r="F9" s="4"/>
      <c r="G9" s="4"/>
      <c r="H9" s="4"/>
      <c r="I9" s="4"/>
    </row>
    <row r="10" spans="1:9" x14ac:dyDescent="0.2">
      <c r="A10" s="4"/>
      <c r="B10" s="4" t="s">
        <v>205</v>
      </c>
      <c r="C10" s="14">
        <f>SUM(H25:H25)</f>
        <v>0</v>
      </c>
      <c r="D10" s="4"/>
      <c r="E10" s="4"/>
      <c r="F10" s="4"/>
      <c r="G10" s="4"/>
      <c r="H10" s="4"/>
      <c r="I10" s="4"/>
    </row>
    <row r="11" spans="1:9" x14ac:dyDescent="0.2">
      <c r="A11" s="4"/>
      <c r="B11" s="4"/>
      <c r="C11" s="4"/>
      <c r="D11" s="4"/>
      <c r="E11" s="4"/>
      <c r="F11" s="4"/>
      <c r="G11" s="4"/>
      <c r="H11" s="4"/>
      <c r="I11" s="4"/>
    </row>
    <row r="12" spans="1:9" x14ac:dyDescent="0.2">
      <c r="A12" s="4"/>
      <c r="B12" s="4" t="s">
        <v>206</v>
      </c>
      <c r="C12" s="5" t="str">
        <f>'09Mar2026'!D5</f>
        <v>10193767</v>
      </c>
      <c r="D12" s="4"/>
      <c r="E12" s="4" t="s">
        <v>207</v>
      </c>
      <c r="F12" s="89"/>
      <c r="G12" s="89"/>
      <c r="H12" s="89"/>
      <c r="I12" s="4"/>
    </row>
    <row r="13" spans="1:9" x14ac:dyDescent="0.2">
      <c r="A13" s="4"/>
      <c r="B13" s="4"/>
      <c r="C13" s="4"/>
      <c r="D13" s="4"/>
      <c r="E13" s="4"/>
      <c r="F13" s="89"/>
      <c r="G13" s="89"/>
      <c r="H13" s="89"/>
      <c r="I13" s="4"/>
    </row>
    <row r="14" spans="1:9" x14ac:dyDescent="0.2">
      <c r="A14" s="4"/>
      <c r="B14" s="4"/>
      <c r="C14" s="4"/>
      <c r="D14" s="4"/>
      <c r="E14" s="4"/>
      <c r="F14" s="89"/>
      <c r="G14" s="89"/>
      <c r="H14" s="89"/>
      <c r="I14" s="4"/>
    </row>
    <row r="15" spans="1:9" x14ac:dyDescent="0.2">
      <c r="A15" s="4"/>
      <c r="B15" s="4"/>
      <c r="C15" s="4"/>
      <c r="D15" s="4"/>
      <c r="E15" s="4"/>
      <c r="F15" s="89"/>
      <c r="G15" s="89"/>
      <c r="H15" s="89"/>
      <c r="I15" s="4"/>
    </row>
    <row r="16" spans="1:9" x14ac:dyDescent="0.2">
      <c r="A16" s="4"/>
      <c r="B16" s="4"/>
      <c r="C16" s="4"/>
      <c r="D16" s="4"/>
      <c r="E16" s="4"/>
      <c r="F16" s="4"/>
      <c r="G16" s="4"/>
      <c r="H16" s="4"/>
      <c r="I16" s="4"/>
    </row>
    <row r="17" spans="1:23" x14ac:dyDescent="0.2">
      <c r="A17" s="4"/>
      <c r="B17" s="4" t="s">
        <v>208</v>
      </c>
      <c r="C17" s="5">
        <f>'09Mar2026'!D6</f>
        <v>0</v>
      </c>
      <c r="D17" s="4"/>
      <c r="E17" s="4" t="s">
        <v>209</v>
      </c>
      <c r="F17" s="89"/>
      <c r="G17" s="89"/>
      <c r="H17" s="89"/>
      <c r="I17" s="4"/>
    </row>
    <row r="18" spans="1:23" x14ac:dyDescent="0.2">
      <c r="A18" s="4"/>
      <c r="B18" s="4"/>
      <c r="C18" s="4"/>
      <c r="D18" s="4"/>
      <c r="E18" s="4"/>
      <c r="F18" s="89"/>
      <c r="G18" s="89"/>
      <c r="H18" s="89"/>
      <c r="I18" s="4"/>
    </row>
    <row r="19" spans="1:23" x14ac:dyDescent="0.2">
      <c r="A19" s="4"/>
      <c r="B19" s="4"/>
      <c r="C19" s="4"/>
      <c r="D19" s="4"/>
      <c r="E19" s="4"/>
      <c r="F19" s="89"/>
      <c r="G19" s="89"/>
      <c r="H19" s="89"/>
      <c r="I19" s="4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</row>
    <row r="20" spans="1:23" x14ac:dyDescent="0.2">
      <c r="A20" s="4"/>
      <c r="B20" s="4"/>
      <c r="C20" s="4"/>
      <c r="D20" s="4"/>
      <c r="E20" s="4"/>
      <c r="F20" s="89"/>
      <c r="G20" s="89"/>
      <c r="H20" s="89"/>
      <c r="I20" s="4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</row>
    <row r="21" spans="1:23" ht="4.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</row>
    <row r="22" spans="1:23" x14ac:dyDescent="0.2">
      <c r="A22" s="4"/>
      <c r="B22" s="10" t="s">
        <v>210</v>
      </c>
      <c r="C22" s="10"/>
      <c r="D22" s="10"/>
      <c r="E22" s="4"/>
      <c r="F22" s="16">
        <f>SUM(F25:F30)</f>
        <v>0</v>
      </c>
      <c r="G22" s="16">
        <f>SUM(G25:G30)</f>
        <v>0</v>
      </c>
      <c r="H22" s="17">
        <f>SUM(H25:H30)</f>
        <v>0</v>
      </c>
      <c r="I22" s="4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</row>
    <row r="23" spans="1:23" ht="4.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</row>
    <row r="24" spans="1:23" x14ac:dyDescent="0.2">
      <c r="A24" s="4"/>
      <c r="B24" s="84" t="s">
        <v>211</v>
      </c>
      <c r="C24" s="84"/>
      <c r="D24" s="31" t="s">
        <v>191</v>
      </c>
      <c r="E24" s="31" t="s">
        <v>212</v>
      </c>
      <c r="F24" s="31" t="s">
        <v>213</v>
      </c>
      <c r="G24" s="31" t="s">
        <v>194</v>
      </c>
      <c r="H24" s="31" t="s">
        <v>195</v>
      </c>
      <c r="I24" s="4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</row>
    <row r="25" spans="1:23" x14ac:dyDescent="0.2">
      <c r="A25" s="4"/>
      <c r="B25" s="87">
        <f>'09Mar2026'!D7</f>
        <v>0</v>
      </c>
      <c r="C25" s="87"/>
      <c r="D25" s="18">
        <f>'09Mar2026'!D8</f>
        <v>46090</v>
      </c>
      <c r="E25" s="18">
        <f>'09Mar2026'!D9</f>
        <v>46120</v>
      </c>
      <c r="F25" s="19">
        <f>COUNTIFS('09Mar2026'!$H$13:$H$15000,"&gt;0", '09Mar2026'!$G$13:$G$15000,"&lt;&gt;SUBTOTAL")</f>
        <v>0</v>
      </c>
      <c r="G25" s="19">
        <f>'09Mar2026'!H11</f>
        <v>0</v>
      </c>
      <c r="H25" s="20">
        <f>'09Mar2026'!I11</f>
        <v>0</v>
      </c>
      <c r="I25" s="4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</row>
    <row r="26" spans="1:23" x14ac:dyDescent="0.2">
      <c r="A26" s="4"/>
      <c r="B26" s="88"/>
      <c r="C26" s="88"/>
      <c r="D26" s="21"/>
      <c r="E26" s="21"/>
      <c r="F26" s="22"/>
      <c r="G26" s="22"/>
      <c r="H26" s="23"/>
      <c r="I26" s="4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</row>
    <row r="27" spans="1:23" x14ac:dyDescent="0.2">
      <c r="A27" s="4"/>
      <c r="B27" s="86"/>
      <c r="C27" s="86"/>
      <c r="D27" s="18"/>
      <c r="E27" s="18"/>
      <c r="F27" s="19"/>
      <c r="G27" s="19"/>
      <c r="H27" s="20"/>
      <c r="I27" s="4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</row>
    <row r="28" spans="1:23" x14ac:dyDescent="0.2">
      <c r="A28" s="4"/>
      <c r="B28" s="83"/>
      <c r="C28" s="83"/>
      <c r="D28" s="21"/>
      <c r="E28" s="21"/>
      <c r="F28" s="22"/>
      <c r="G28" s="22"/>
      <c r="H28" s="23"/>
      <c r="I28" s="4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</row>
    <row r="29" spans="1:23" x14ac:dyDescent="0.2">
      <c r="A29" s="4"/>
      <c r="B29" s="86"/>
      <c r="C29" s="86"/>
      <c r="D29" s="18"/>
      <c r="E29" s="18"/>
      <c r="F29" s="19"/>
      <c r="G29" s="19"/>
      <c r="H29" s="20"/>
      <c r="I29" s="4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</row>
    <row r="30" spans="1:23" x14ac:dyDescent="0.2">
      <c r="A30" s="4"/>
      <c r="B30" s="83"/>
      <c r="C30" s="83"/>
      <c r="D30" s="21"/>
      <c r="E30" s="21"/>
      <c r="F30" s="22"/>
      <c r="G30" s="22"/>
      <c r="H30" s="23"/>
      <c r="I30" s="4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</row>
    <row r="31" spans="1:23" ht="12.75" customHeight="1" x14ac:dyDescent="0.2">
      <c r="A31" s="4"/>
      <c r="B31" s="80"/>
      <c r="C31" s="80"/>
      <c r="D31" s="4"/>
      <c r="E31" s="4"/>
      <c r="F31" s="4"/>
      <c r="G31" s="4"/>
      <c r="H31" s="4"/>
      <c r="I31" s="4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</row>
    <row r="32" spans="1:23" ht="12.75" customHeight="1" x14ac:dyDescent="0.2">
      <c r="A32" s="4"/>
      <c r="B32" s="83"/>
      <c r="C32" s="83"/>
      <c r="D32" s="24"/>
      <c r="E32" s="24"/>
      <c r="F32" s="24"/>
      <c r="G32" s="24"/>
      <c r="H32" s="24"/>
      <c r="I32" s="4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ht="12.7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</row>
    <row r="34" spans="1:23" x14ac:dyDescent="0.2">
      <c r="A34" s="4"/>
      <c r="B34" s="10" t="s">
        <v>214</v>
      </c>
      <c r="C34" s="10"/>
      <c r="D34" s="10"/>
      <c r="E34" s="4"/>
      <c r="F34" s="16">
        <f>SUM(F37:F50)</f>
        <v>0</v>
      </c>
      <c r="G34" s="16">
        <f>SUM(G37:G50)</f>
        <v>0</v>
      </c>
      <c r="H34" s="17">
        <f>SUM(H37:H50)</f>
        <v>0</v>
      </c>
      <c r="I34" s="4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</row>
    <row r="35" spans="1:23" ht="4.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</row>
    <row r="36" spans="1:23" x14ac:dyDescent="0.2">
      <c r="A36" s="4"/>
      <c r="B36" s="85" t="s">
        <v>215</v>
      </c>
      <c r="C36" s="85"/>
      <c r="D36" s="85"/>
      <c r="E36" s="85"/>
      <c r="F36" s="31" t="s">
        <v>213</v>
      </c>
      <c r="G36" s="31" t="s">
        <v>194</v>
      </c>
      <c r="H36" s="31" t="s">
        <v>195</v>
      </c>
      <c r="I36" s="4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</row>
    <row r="37" spans="1:23" x14ac:dyDescent="0.2">
      <c r="A37" s="4"/>
      <c r="B37" s="78"/>
      <c r="C37" s="78"/>
      <c r="D37" s="78"/>
      <c r="E37" s="78"/>
      <c r="F37" s="19"/>
      <c r="G37" s="19"/>
      <c r="H37" s="20"/>
      <c r="I37" s="4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</row>
    <row r="38" spans="1:23" x14ac:dyDescent="0.2">
      <c r="A38" s="4"/>
      <c r="B38" s="79"/>
      <c r="C38" s="79"/>
      <c r="D38" s="79"/>
      <c r="E38" s="79"/>
      <c r="F38" s="22"/>
      <c r="G38" s="22"/>
      <c r="H38" s="23"/>
      <c r="I38" s="4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</row>
    <row r="39" spans="1:23" x14ac:dyDescent="0.2">
      <c r="A39" s="4"/>
      <c r="B39" s="78"/>
      <c r="C39" s="78"/>
      <c r="D39" s="78"/>
      <c r="E39" s="78"/>
      <c r="F39" s="19"/>
      <c r="G39" s="19"/>
      <c r="H39" s="20"/>
      <c r="I39" s="4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</row>
    <row r="40" spans="1:23" x14ac:dyDescent="0.2">
      <c r="A40" s="4"/>
      <c r="B40" s="79"/>
      <c r="C40" s="79"/>
      <c r="D40" s="79"/>
      <c r="E40" s="79"/>
      <c r="F40" s="22"/>
      <c r="G40" s="22"/>
      <c r="H40" s="23"/>
      <c r="I40" s="4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</row>
    <row r="41" spans="1:23" x14ac:dyDescent="0.2">
      <c r="A41" s="4"/>
      <c r="B41" s="78"/>
      <c r="C41" s="78"/>
      <c r="D41" s="78"/>
      <c r="E41" s="78"/>
      <c r="F41" s="19"/>
      <c r="G41" s="19"/>
      <c r="H41" s="20"/>
      <c r="I41" s="4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</row>
    <row r="42" spans="1:23" x14ac:dyDescent="0.2">
      <c r="A42" s="4"/>
      <c r="B42" s="79"/>
      <c r="C42" s="79"/>
      <c r="D42" s="79"/>
      <c r="E42" s="79"/>
      <c r="F42" s="22"/>
      <c r="G42" s="22"/>
      <c r="H42" s="23"/>
      <c r="I42" s="4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</row>
    <row r="43" spans="1:23" x14ac:dyDescent="0.2">
      <c r="A43" s="4"/>
      <c r="B43" s="78"/>
      <c r="C43" s="78"/>
      <c r="D43" s="78"/>
      <c r="E43" s="78"/>
      <c r="F43" s="19"/>
      <c r="G43" s="19"/>
      <c r="H43" s="20"/>
      <c r="I43" s="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</row>
    <row r="44" spans="1:23" x14ac:dyDescent="0.2">
      <c r="A44" s="4"/>
      <c r="B44" s="79"/>
      <c r="C44" s="79"/>
      <c r="D44" s="79"/>
      <c r="E44" s="79"/>
      <c r="F44" s="22"/>
      <c r="G44" s="22"/>
      <c r="H44" s="23"/>
      <c r="I44" s="4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</row>
    <row r="45" spans="1:23" x14ac:dyDescent="0.2">
      <c r="A45" s="4"/>
      <c r="B45" s="78"/>
      <c r="C45" s="78"/>
      <c r="D45" s="78"/>
      <c r="E45" s="78"/>
      <c r="F45" s="19"/>
      <c r="G45" s="19"/>
      <c r="H45" s="20"/>
      <c r="I45" s="4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</row>
    <row r="46" spans="1:23" x14ac:dyDescent="0.2">
      <c r="A46" s="4"/>
      <c r="B46" s="79"/>
      <c r="C46" s="79"/>
      <c r="D46" s="79"/>
      <c r="E46" s="79"/>
      <c r="F46" s="22"/>
      <c r="G46" s="22"/>
      <c r="H46" s="23"/>
      <c r="I46" s="4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</row>
    <row r="47" spans="1:23" x14ac:dyDescent="0.2">
      <c r="A47" s="4"/>
      <c r="B47" s="78"/>
      <c r="C47" s="78"/>
      <c r="D47" s="78"/>
      <c r="E47" s="78"/>
      <c r="F47" s="19"/>
      <c r="G47" s="19"/>
      <c r="H47" s="20"/>
      <c r="I47" s="4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</row>
    <row r="48" spans="1:23" x14ac:dyDescent="0.2">
      <c r="A48" s="4"/>
      <c r="B48" s="79"/>
      <c r="C48" s="79"/>
      <c r="D48" s="79"/>
      <c r="E48" s="79"/>
      <c r="F48" s="22"/>
      <c r="G48" s="22"/>
      <c r="H48" s="23"/>
      <c r="I48" s="4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</row>
    <row r="49" spans="1:23" x14ac:dyDescent="0.2">
      <c r="A49" s="4"/>
      <c r="B49" s="78"/>
      <c r="C49" s="78"/>
      <c r="D49" s="78"/>
      <c r="E49" s="78"/>
      <c r="F49" s="19"/>
      <c r="G49" s="19"/>
      <c r="H49" s="20"/>
      <c r="I49" s="4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</row>
    <row r="50" spans="1:23" x14ac:dyDescent="0.2">
      <c r="A50" s="4"/>
      <c r="B50" s="79"/>
      <c r="C50" s="79"/>
      <c r="D50" s="79"/>
      <c r="E50" s="79"/>
      <c r="F50" s="22"/>
      <c r="G50" s="22"/>
      <c r="H50" s="23"/>
      <c r="I50" s="4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</row>
    <row r="51" spans="1:23" x14ac:dyDescent="0.2">
      <c r="A51" s="4"/>
      <c r="B51" s="80"/>
      <c r="C51" s="80"/>
      <c r="D51" s="80"/>
      <c r="E51" s="80"/>
      <c r="F51" s="4"/>
      <c r="G51" s="4"/>
      <c r="H51" s="4"/>
      <c r="I51" s="4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</row>
    <row r="52" spans="1:23" x14ac:dyDescent="0.2"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</row>
    <row r="53" spans="1:23" x14ac:dyDescent="0.2"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</row>
    <row r="54" spans="1:23" x14ac:dyDescent="0.2"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</row>
    <row r="55" spans="1:23" x14ac:dyDescent="0.2"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</row>
    <row r="56" spans="1:23" x14ac:dyDescent="0.2"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</row>
    <row r="57" spans="1:23" x14ac:dyDescent="0.2"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</row>
    <row r="58" spans="1:23" x14ac:dyDescent="0.2"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</row>
    <row r="59" spans="1:23" x14ac:dyDescent="0.2"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</row>
    <row r="60" spans="1:23" x14ac:dyDescent="0.2"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</row>
  </sheetData>
  <sheetProtection password="E42B" sheet="1"/>
  <mergeCells count="35">
    <mergeCell ref="F18:H18"/>
    <mergeCell ref="F19:H19"/>
    <mergeCell ref="F20:H20"/>
    <mergeCell ref="F12:H12"/>
    <mergeCell ref="F13:H13"/>
    <mergeCell ref="F14:H14"/>
    <mergeCell ref="F15:H15"/>
    <mergeCell ref="F17:H17"/>
    <mergeCell ref="B29:C29"/>
    <mergeCell ref="B30:C30"/>
    <mergeCell ref="B27:C27"/>
    <mergeCell ref="B28:C28"/>
    <mergeCell ref="B25:C25"/>
    <mergeCell ref="B26:C26"/>
    <mergeCell ref="B47:E47"/>
    <mergeCell ref="B48:E48"/>
    <mergeCell ref="B42:E42"/>
    <mergeCell ref="B43:E43"/>
    <mergeCell ref="B44:E44"/>
    <mergeCell ref="B49:E49"/>
    <mergeCell ref="B50:E50"/>
    <mergeCell ref="B51:E51"/>
    <mergeCell ref="C6:E6"/>
    <mergeCell ref="E2:G2"/>
    <mergeCell ref="B31:C31"/>
    <mergeCell ref="B32:C32"/>
    <mergeCell ref="B24:C24"/>
    <mergeCell ref="B36:E36"/>
    <mergeCell ref="B37:E37"/>
    <mergeCell ref="B38:E38"/>
    <mergeCell ref="B39:E39"/>
    <mergeCell ref="B40:E40"/>
    <mergeCell ref="B41:E41"/>
    <mergeCell ref="B45:E45"/>
    <mergeCell ref="B46:E46"/>
  </mergeCells>
  <phoneticPr fontId="2" type="noConversion"/>
  <pageMargins left="0.7" right="0.7" top="0.75" bottom="0.75" header="0.3" footer="0.3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AH2000"/>
  <sheetViews>
    <sheetView showGridLines="0" workbookViewId="0">
      <selection activeCell="B3" sqref="B3:D3"/>
    </sheetView>
  </sheetViews>
  <sheetFormatPr defaultColWidth="7.7109375" defaultRowHeight="12" x14ac:dyDescent="0.2"/>
  <cols>
    <col min="1" max="1" width="3.85546875" style="8" customWidth="1"/>
    <col min="2" max="26" width="4.42578125" style="8" customWidth="1"/>
    <col min="27" max="27" width="3.85546875" style="8" customWidth="1"/>
    <col min="28" max="29" width="7.7109375" style="6" customWidth="1"/>
    <col min="30" max="16384" width="7.7109375" style="6"/>
  </cols>
  <sheetData>
    <row r="1" spans="1:34" x14ac:dyDescent="0.2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5"/>
    </row>
    <row r="2" spans="1:34" x14ac:dyDescent="0.2">
      <c r="A2" s="4"/>
      <c r="B2" s="98" t="s">
        <v>191</v>
      </c>
      <c r="C2" s="98"/>
      <c r="D2" s="98"/>
      <c r="E2" s="98" t="s">
        <v>192</v>
      </c>
      <c r="F2" s="98"/>
      <c r="G2" s="98"/>
      <c r="H2" s="98" t="s">
        <v>193</v>
      </c>
      <c r="I2" s="98"/>
      <c r="J2" s="98"/>
      <c r="K2" s="98"/>
      <c r="L2" s="98"/>
      <c r="M2" s="98"/>
      <c r="N2" s="98" t="s">
        <v>12</v>
      </c>
      <c r="O2" s="98"/>
      <c r="P2" s="98"/>
      <c r="Q2" s="98"/>
      <c r="R2" s="98"/>
      <c r="S2" s="98"/>
      <c r="T2" s="98"/>
      <c r="U2" s="98"/>
      <c r="V2" s="84" t="s">
        <v>194</v>
      </c>
      <c r="W2" s="84"/>
      <c r="X2" s="84" t="s">
        <v>195</v>
      </c>
      <c r="Y2" s="84"/>
      <c r="Z2" s="84"/>
      <c r="AA2" s="4"/>
      <c r="AB2" s="5"/>
    </row>
    <row r="3" spans="1:34" x14ac:dyDescent="0.2">
      <c r="A3" s="4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5"/>
      <c r="O3" s="95"/>
      <c r="P3" s="95"/>
      <c r="Q3" s="95"/>
      <c r="R3" s="95"/>
      <c r="S3" s="95"/>
      <c r="T3" s="95"/>
      <c r="U3" s="95"/>
      <c r="V3" s="96"/>
      <c r="W3" s="96"/>
      <c r="X3" s="97"/>
      <c r="Y3" s="97"/>
      <c r="Z3" s="97"/>
      <c r="AA3" s="4"/>
      <c r="AB3" s="5"/>
      <c r="AG3" s="7" t="s">
        <v>196</v>
      </c>
      <c r="AH3" s="7">
        <f ca="1">SUMIF($H:$M,"* ASHER*",$V:$W)</f>
        <v>0</v>
      </c>
    </row>
    <row r="4" spans="1:34" x14ac:dyDescent="0.2">
      <c r="A4" s="4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1"/>
      <c r="O4" s="91"/>
      <c r="P4" s="91"/>
      <c r="Q4" s="91"/>
      <c r="R4" s="91"/>
      <c r="S4" s="91"/>
      <c r="T4" s="91"/>
      <c r="U4" s="91"/>
      <c r="V4" s="92"/>
      <c r="W4" s="92"/>
      <c r="X4" s="93"/>
      <c r="Y4" s="93"/>
      <c r="Z4" s="93"/>
      <c r="AA4" s="4"/>
      <c r="AB4" s="5"/>
      <c r="AG4" s="7" t="s">
        <v>197</v>
      </c>
      <c r="AH4" s="7">
        <f ca="1">SUMIF($H:$M,"* ATWOOD*",$V:$W)</f>
        <v>0</v>
      </c>
    </row>
    <row r="5" spans="1:34" x14ac:dyDescent="0.2">
      <c r="A5" s="4"/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5"/>
      <c r="O5" s="95"/>
      <c r="P5" s="95"/>
      <c r="Q5" s="95"/>
      <c r="R5" s="95"/>
      <c r="S5" s="95"/>
      <c r="T5" s="95"/>
      <c r="U5" s="95"/>
      <c r="V5" s="96"/>
      <c r="W5" s="96"/>
      <c r="X5" s="97"/>
      <c r="Y5" s="97"/>
      <c r="Z5" s="97"/>
      <c r="AA5" s="4"/>
      <c r="AB5" s="5"/>
      <c r="AG5" s="7" t="s">
        <v>198</v>
      </c>
      <c r="AH5" s="7">
        <f ca="1">SUMIF($H:$M,"* DOHENY*",$V:$W)</f>
        <v>0</v>
      </c>
    </row>
    <row r="6" spans="1:34" x14ac:dyDescent="0.2">
      <c r="A6" s="4"/>
      <c r="B6" s="90"/>
      <c r="C6" s="90"/>
      <c r="D6" s="90"/>
      <c r="E6" s="90"/>
      <c r="F6" s="90"/>
      <c r="G6" s="90"/>
      <c r="H6" s="90"/>
      <c r="I6" s="90"/>
      <c r="J6" s="90"/>
      <c r="K6" s="90"/>
      <c r="L6" s="90"/>
      <c r="M6" s="90"/>
      <c r="N6" s="91"/>
      <c r="O6" s="91"/>
      <c r="P6" s="91"/>
      <c r="Q6" s="91"/>
      <c r="R6" s="91"/>
      <c r="S6" s="91"/>
      <c r="T6" s="91"/>
      <c r="U6" s="91"/>
      <c r="V6" s="92"/>
      <c r="W6" s="92"/>
      <c r="X6" s="93"/>
      <c r="Y6" s="93"/>
      <c r="Z6" s="93"/>
      <c r="AA6" s="4"/>
      <c r="AB6" s="5"/>
      <c r="AG6" s="7" t="s">
        <v>199</v>
      </c>
      <c r="AH6" s="7">
        <f ca="1">SUMIF($H:$M,"* WARD*",$V:$W)-AH7</f>
        <v>0</v>
      </c>
    </row>
    <row r="7" spans="1:34" x14ac:dyDescent="0.2">
      <c r="A7" s="4"/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5"/>
      <c r="O7" s="95"/>
      <c r="P7" s="95"/>
      <c r="Q7" s="95"/>
      <c r="R7" s="95"/>
      <c r="S7" s="95"/>
      <c r="T7" s="95"/>
      <c r="U7" s="95"/>
      <c r="V7" s="96"/>
      <c r="W7" s="96"/>
      <c r="X7" s="97"/>
      <c r="Y7" s="97"/>
      <c r="Z7" s="97"/>
      <c r="AA7" s="4"/>
      <c r="AB7" s="5"/>
      <c r="AG7" s="7" t="s">
        <v>200</v>
      </c>
      <c r="AH7" s="7">
        <f ca="1">SUMIF($H:$M,"* WARD HI*",$V:$W)</f>
        <v>0</v>
      </c>
    </row>
    <row r="8" spans="1:34" x14ac:dyDescent="0.2">
      <c r="A8" s="4"/>
      <c r="B8" s="90"/>
      <c r="C8" s="90"/>
      <c r="D8" s="90"/>
      <c r="E8" s="90"/>
      <c r="F8" s="90"/>
      <c r="G8" s="90"/>
      <c r="H8" s="90"/>
      <c r="I8" s="90"/>
      <c r="J8" s="90"/>
      <c r="K8" s="90"/>
      <c r="L8" s="90"/>
      <c r="M8" s="90"/>
      <c r="N8" s="91"/>
      <c r="O8" s="91"/>
      <c r="P8" s="91"/>
      <c r="Q8" s="91"/>
      <c r="R8" s="91"/>
      <c r="S8" s="91"/>
      <c r="T8" s="91"/>
      <c r="U8" s="91"/>
      <c r="V8" s="92"/>
      <c r="W8" s="92"/>
      <c r="X8" s="93"/>
      <c r="Y8" s="93"/>
      <c r="Z8" s="93"/>
      <c r="AA8" s="4"/>
      <c r="AB8" s="5"/>
    </row>
    <row r="9" spans="1:34" x14ac:dyDescent="0.2">
      <c r="A9" s="4"/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5"/>
      <c r="O9" s="95"/>
      <c r="P9" s="95"/>
      <c r="Q9" s="95"/>
      <c r="R9" s="95"/>
      <c r="S9" s="95"/>
      <c r="T9" s="95"/>
      <c r="U9" s="95"/>
      <c r="V9" s="96"/>
      <c r="W9" s="96"/>
      <c r="X9" s="97"/>
      <c r="Y9" s="97"/>
      <c r="Z9" s="97"/>
      <c r="AA9" s="4"/>
      <c r="AB9" s="5"/>
    </row>
    <row r="10" spans="1:34" x14ac:dyDescent="0.2">
      <c r="A10" s="4"/>
      <c r="B10" s="90"/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1"/>
      <c r="O10" s="91"/>
      <c r="P10" s="91"/>
      <c r="Q10" s="91"/>
      <c r="R10" s="91"/>
      <c r="S10" s="91"/>
      <c r="T10" s="91"/>
      <c r="U10" s="91"/>
      <c r="V10" s="92"/>
      <c r="W10" s="92"/>
      <c r="X10" s="93"/>
      <c r="Y10" s="93"/>
      <c r="Z10" s="93"/>
      <c r="AA10" s="4"/>
      <c r="AB10" s="5"/>
    </row>
    <row r="11" spans="1:34" x14ac:dyDescent="0.2">
      <c r="A11" s="4"/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5"/>
      <c r="O11" s="95"/>
      <c r="P11" s="95"/>
      <c r="Q11" s="95"/>
      <c r="R11" s="95"/>
      <c r="S11" s="95"/>
      <c r="T11" s="95"/>
      <c r="U11" s="95"/>
      <c r="V11" s="96"/>
      <c r="W11" s="96"/>
      <c r="X11" s="97"/>
      <c r="Y11" s="97"/>
      <c r="Z11" s="97"/>
      <c r="AA11" s="4"/>
      <c r="AB11" s="5"/>
    </row>
    <row r="12" spans="1:34" x14ac:dyDescent="0.2">
      <c r="A12" s="4"/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91"/>
      <c r="T12" s="91"/>
      <c r="U12" s="91"/>
      <c r="V12" s="92"/>
      <c r="W12" s="92"/>
      <c r="X12" s="93"/>
      <c r="Y12" s="93"/>
      <c r="Z12" s="93"/>
      <c r="AA12" s="4"/>
      <c r="AB12" s="5"/>
    </row>
    <row r="13" spans="1:34" x14ac:dyDescent="0.2">
      <c r="A13" s="4"/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5"/>
      <c r="O13" s="95"/>
      <c r="P13" s="95"/>
      <c r="Q13" s="95"/>
      <c r="R13" s="95"/>
      <c r="S13" s="95"/>
      <c r="T13" s="95"/>
      <c r="U13" s="95"/>
      <c r="V13" s="96"/>
      <c r="W13" s="96"/>
      <c r="X13" s="97"/>
      <c r="Y13" s="97"/>
      <c r="Z13" s="97"/>
      <c r="AA13" s="4"/>
      <c r="AB13" s="5"/>
    </row>
    <row r="14" spans="1:34" x14ac:dyDescent="0.2">
      <c r="A14" s="4"/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1"/>
      <c r="O14" s="91"/>
      <c r="P14" s="91"/>
      <c r="Q14" s="91"/>
      <c r="R14" s="91"/>
      <c r="S14" s="91"/>
      <c r="T14" s="91"/>
      <c r="U14" s="91"/>
      <c r="V14" s="92"/>
      <c r="W14" s="92"/>
      <c r="X14" s="93"/>
      <c r="Y14" s="93"/>
      <c r="Z14" s="93"/>
      <c r="AA14" s="4"/>
      <c r="AB14" s="5"/>
    </row>
    <row r="15" spans="1:34" x14ac:dyDescent="0.2">
      <c r="A15" s="4"/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5"/>
      <c r="O15" s="95"/>
      <c r="P15" s="95"/>
      <c r="Q15" s="95"/>
      <c r="R15" s="95"/>
      <c r="S15" s="95"/>
      <c r="T15" s="95"/>
      <c r="U15" s="95"/>
      <c r="V15" s="96"/>
      <c r="W15" s="96"/>
      <c r="X15" s="97"/>
      <c r="Y15" s="97"/>
      <c r="Z15" s="97"/>
      <c r="AA15" s="4"/>
      <c r="AB15" s="5"/>
    </row>
    <row r="16" spans="1:34" x14ac:dyDescent="0.2">
      <c r="A16" s="4"/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1"/>
      <c r="O16" s="91"/>
      <c r="P16" s="91"/>
      <c r="Q16" s="91"/>
      <c r="R16" s="91"/>
      <c r="S16" s="91"/>
      <c r="T16" s="91"/>
      <c r="U16" s="91"/>
      <c r="V16" s="92"/>
      <c r="W16" s="92"/>
      <c r="X16" s="93"/>
      <c r="Y16" s="93"/>
      <c r="Z16" s="93"/>
      <c r="AA16" s="4"/>
      <c r="AB16" s="5"/>
    </row>
    <row r="17" spans="1:28" x14ac:dyDescent="0.2">
      <c r="A17" s="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5"/>
      <c r="O17" s="95"/>
      <c r="P17" s="95"/>
      <c r="Q17" s="95"/>
      <c r="R17" s="95"/>
      <c r="S17" s="95"/>
      <c r="T17" s="95"/>
      <c r="U17" s="95"/>
      <c r="V17" s="96"/>
      <c r="W17" s="96"/>
      <c r="X17" s="97"/>
      <c r="Y17" s="97"/>
      <c r="Z17" s="97"/>
      <c r="AA17" s="4"/>
      <c r="AB17" s="5"/>
    </row>
    <row r="18" spans="1:28" x14ac:dyDescent="0.2">
      <c r="A18" s="4"/>
      <c r="B18" s="90"/>
      <c r="C18" s="90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1"/>
      <c r="O18" s="91"/>
      <c r="P18" s="91"/>
      <c r="Q18" s="91"/>
      <c r="R18" s="91"/>
      <c r="S18" s="91"/>
      <c r="T18" s="91"/>
      <c r="U18" s="91"/>
      <c r="V18" s="92"/>
      <c r="W18" s="92"/>
      <c r="X18" s="93"/>
      <c r="Y18" s="93"/>
      <c r="Z18" s="93"/>
      <c r="AA18" s="4"/>
      <c r="AB18" s="5"/>
    </row>
    <row r="19" spans="1:28" x14ac:dyDescent="0.2">
      <c r="A19" s="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5"/>
      <c r="O19" s="95"/>
      <c r="P19" s="95"/>
      <c r="Q19" s="95"/>
      <c r="R19" s="95"/>
      <c r="S19" s="95"/>
      <c r="T19" s="95"/>
      <c r="U19" s="95"/>
      <c r="V19" s="96"/>
      <c r="W19" s="96"/>
      <c r="X19" s="97"/>
      <c r="Y19" s="97"/>
      <c r="Z19" s="97"/>
      <c r="AA19" s="4"/>
      <c r="AB19" s="5"/>
    </row>
    <row r="20" spans="1:28" x14ac:dyDescent="0.2">
      <c r="A20" s="4"/>
      <c r="B20" s="90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1"/>
      <c r="O20" s="91"/>
      <c r="P20" s="91"/>
      <c r="Q20" s="91"/>
      <c r="R20" s="91"/>
      <c r="S20" s="91"/>
      <c r="T20" s="91"/>
      <c r="U20" s="91"/>
      <c r="V20" s="92"/>
      <c r="W20" s="92"/>
      <c r="X20" s="93"/>
      <c r="Y20" s="93"/>
      <c r="Z20" s="93"/>
      <c r="AA20" s="4"/>
      <c r="AB20" s="5"/>
    </row>
    <row r="21" spans="1:28" x14ac:dyDescent="0.2">
      <c r="A21" s="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5"/>
      <c r="O21" s="95"/>
      <c r="P21" s="95"/>
      <c r="Q21" s="95"/>
      <c r="R21" s="95"/>
      <c r="S21" s="95"/>
      <c r="T21" s="95"/>
      <c r="U21" s="95"/>
      <c r="V21" s="96"/>
      <c r="W21" s="96"/>
      <c r="X21" s="97"/>
      <c r="Y21" s="97"/>
      <c r="Z21" s="97"/>
      <c r="AA21" s="4"/>
      <c r="AB21" s="5"/>
    </row>
    <row r="22" spans="1:28" x14ac:dyDescent="0.2">
      <c r="A22" s="4"/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1"/>
      <c r="O22" s="91"/>
      <c r="P22" s="91"/>
      <c r="Q22" s="91"/>
      <c r="R22" s="91"/>
      <c r="S22" s="91"/>
      <c r="T22" s="91"/>
      <c r="U22" s="91"/>
      <c r="V22" s="92"/>
      <c r="W22" s="92"/>
      <c r="X22" s="93"/>
      <c r="Y22" s="93"/>
      <c r="Z22" s="93"/>
      <c r="AA22" s="4"/>
      <c r="AB22" s="5"/>
    </row>
    <row r="23" spans="1:28" x14ac:dyDescent="0.2">
      <c r="A23" s="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5"/>
      <c r="O23" s="95"/>
      <c r="P23" s="95"/>
      <c r="Q23" s="95"/>
      <c r="R23" s="95"/>
      <c r="S23" s="95"/>
      <c r="T23" s="95"/>
      <c r="U23" s="95"/>
      <c r="V23" s="96"/>
      <c r="W23" s="96"/>
      <c r="X23" s="97"/>
      <c r="Y23" s="97"/>
      <c r="Z23" s="97"/>
      <c r="AA23" s="4"/>
      <c r="AB23" s="5"/>
    </row>
    <row r="24" spans="1:28" x14ac:dyDescent="0.2">
      <c r="A24" s="4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1"/>
      <c r="O24" s="91"/>
      <c r="P24" s="91"/>
      <c r="Q24" s="91"/>
      <c r="R24" s="91"/>
      <c r="S24" s="91"/>
      <c r="T24" s="91"/>
      <c r="U24" s="91"/>
      <c r="V24" s="92"/>
      <c r="W24" s="92"/>
      <c r="X24" s="93"/>
      <c r="Y24" s="93"/>
      <c r="Z24" s="93"/>
      <c r="AA24" s="4"/>
      <c r="AB24" s="5"/>
    </row>
    <row r="25" spans="1:28" x14ac:dyDescent="0.2">
      <c r="A25" s="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5"/>
      <c r="O25" s="95"/>
      <c r="P25" s="95"/>
      <c r="Q25" s="95"/>
      <c r="R25" s="95"/>
      <c r="S25" s="95"/>
      <c r="T25" s="95"/>
      <c r="U25" s="95"/>
      <c r="V25" s="96"/>
      <c r="W25" s="96"/>
      <c r="X25" s="97"/>
      <c r="Y25" s="97"/>
      <c r="Z25" s="97"/>
      <c r="AA25" s="4"/>
      <c r="AB25" s="5"/>
    </row>
    <row r="26" spans="1:28" x14ac:dyDescent="0.2">
      <c r="A26" s="4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1"/>
      <c r="O26" s="91"/>
      <c r="P26" s="91"/>
      <c r="Q26" s="91"/>
      <c r="R26" s="91"/>
      <c r="S26" s="91"/>
      <c r="T26" s="91"/>
      <c r="U26" s="91"/>
      <c r="V26" s="92"/>
      <c r="W26" s="92"/>
      <c r="X26" s="93"/>
      <c r="Y26" s="93"/>
      <c r="Z26" s="93"/>
      <c r="AA26" s="4"/>
      <c r="AB26" s="5"/>
    </row>
    <row r="27" spans="1:28" x14ac:dyDescent="0.2">
      <c r="A27" s="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5"/>
      <c r="O27" s="95"/>
      <c r="P27" s="95"/>
      <c r="Q27" s="95"/>
      <c r="R27" s="95"/>
      <c r="S27" s="95"/>
      <c r="T27" s="95"/>
      <c r="U27" s="95"/>
      <c r="V27" s="96"/>
      <c r="W27" s="96"/>
      <c r="X27" s="97"/>
      <c r="Y27" s="97"/>
      <c r="Z27" s="97"/>
      <c r="AA27" s="4"/>
      <c r="AB27" s="5"/>
    </row>
    <row r="28" spans="1:28" x14ac:dyDescent="0.2">
      <c r="A28" s="4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1"/>
      <c r="O28" s="91"/>
      <c r="P28" s="91"/>
      <c r="Q28" s="91"/>
      <c r="R28" s="91"/>
      <c r="S28" s="91"/>
      <c r="T28" s="91"/>
      <c r="U28" s="91"/>
      <c r="V28" s="92"/>
      <c r="W28" s="92"/>
      <c r="X28" s="93"/>
      <c r="Y28" s="93"/>
      <c r="Z28" s="93"/>
      <c r="AA28" s="4"/>
      <c r="AB28" s="5"/>
    </row>
    <row r="29" spans="1:28" x14ac:dyDescent="0.2">
      <c r="A29" s="4"/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5"/>
      <c r="O29" s="95"/>
      <c r="P29" s="95"/>
      <c r="Q29" s="95"/>
      <c r="R29" s="95"/>
      <c r="S29" s="95"/>
      <c r="T29" s="95"/>
      <c r="U29" s="95"/>
      <c r="V29" s="96"/>
      <c r="W29" s="96"/>
      <c r="X29" s="97"/>
      <c r="Y29" s="97"/>
      <c r="Z29" s="97"/>
      <c r="AA29" s="4"/>
      <c r="AB29" s="5"/>
    </row>
    <row r="30" spans="1:28" x14ac:dyDescent="0.2">
      <c r="A30" s="4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1"/>
      <c r="O30" s="91"/>
      <c r="P30" s="91"/>
      <c r="Q30" s="91"/>
      <c r="R30" s="91"/>
      <c r="S30" s="91"/>
      <c r="T30" s="91"/>
      <c r="U30" s="91"/>
      <c r="V30" s="92"/>
      <c r="W30" s="92"/>
      <c r="X30" s="93"/>
      <c r="Y30" s="93"/>
      <c r="Z30" s="93"/>
      <c r="AA30" s="4"/>
      <c r="AB30" s="5"/>
    </row>
    <row r="31" spans="1:28" x14ac:dyDescent="0.2">
      <c r="A31" s="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5"/>
      <c r="O31" s="95"/>
      <c r="P31" s="95"/>
      <c r="Q31" s="95"/>
      <c r="R31" s="95"/>
      <c r="S31" s="95"/>
      <c r="T31" s="95"/>
      <c r="U31" s="95"/>
      <c r="V31" s="96"/>
      <c r="W31" s="96"/>
      <c r="X31" s="97"/>
      <c r="Y31" s="97"/>
      <c r="Z31" s="97"/>
      <c r="AA31" s="4"/>
      <c r="AB31" s="5"/>
    </row>
    <row r="32" spans="1:28" x14ac:dyDescent="0.2">
      <c r="A32" s="4"/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1"/>
      <c r="O32" s="91"/>
      <c r="P32" s="91"/>
      <c r="Q32" s="91"/>
      <c r="R32" s="91"/>
      <c r="S32" s="91"/>
      <c r="T32" s="91"/>
      <c r="U32" s="91"/>
      <c r="V32" s="92"/>
      <c r="W32" s="92"/>
      <c r="X32" s="93"/>
      <c r="Y32" s="93"/>
      <c r="Z32" s="93"/>
      <c r="AA32" s="4"/>
      <c r="AB32" s="5"/>
    </row>
    <row r="33" spans="1:28" x14ac:dyDescent="0.2">
      <c r="A33" s="4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5"/>
      <c r="O33" s="95"/>
      <c r="P33" s="95"/>
      <c r="Q33" s="95"/>
      <c r="R33" s="95"/>
      <c r="S33" s="95"/>
      <c r="T33" s="95"/>
      <c r="U33" s="95"/>
      <c r="V33" s="96"/>
      <c r="W33" s="96"/>
      <c r="X33" s="97"/>
      <c r="Y33" s="97"/>
      <c r="Z33" s="97"/>
      <c r="AA33" s="4"/>
      <c r="AB33" s="5"/>
    </row>
    <row r="34" spans="1:28" x14ac:dyDescent="0.2">
      <c r="A34" s="4"/>
      <c r="B34" s="90"/>
      <c r="C34" s="90"/>
      <c r="D34" s="90"/>
      <c r="E34" s="90"/>
      <c r="F34" s="90"/>
      <c r="G34" s="90"/>
      <c r="H34" s="90"/>
      <c r="I34" s="90"/>
      <c r="J34" s="90"/>
      <c r="K34" s="90"/>
      <c r="L34" s="90"/>
      <c r="M34" s="90"/>
      <c r="N34" s="91"/>
      <c r="O34" s="91"/>
      <c r="P34" s="91"/>
      <c r="Q34" s="91"/>
      <c r="R34" s="91"/>
      <c r="S34" s="91"/>
      <c r="T34" s="91"/>
      <c r="U34" s="91"/>
      <c r="V34" s="92"/>
      <c r="W34" s="92"/>
      <c r="X34" s="93"/>
      <c r="Y34" s="93"/>
      <c r="Z34" s="93"/>
      <c r="AA34" s="4"/>
      <c r="AB34" s="5"/>
    </row>
    <row r="35" spans="1:28" x14ac:dyDescent="0.2">
      <c r="A35" s="4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5"/>
      <c r="O35" s="95"/>
      <c r="P35" s="95"/>
      <c r="Q35" s="95"/>
      <c r="R35" s="95"/>
      <c r="S35" s="95"/>
      <c r="T35" s="95"/>
      <c r="U35" s="95"/>
      <c r="V35" s="96"/>
      <c r="W35" s="96"/>
      <c r="X35" s="97"/>
      <c r="Y35" s="97"/>
      <c r="Z35" s="97"/>
      <c r="AA35" s="4"/>
      <c r="AB35" s="5"/>
    </row>
    <row r="36" spans="1:28" x14ac:dyDescent="0.2">
      <c r="A36" s="4"/>
      <c r="B36" s="90"/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91"/>
      <c r="O36" s="91"/>
      <c r="P36" s="91"/>
      <c r="Q36" s="91"/>
      <c r="R36" s="91"/>
      <c r="S36" s="91"/>
      <c r="T36" s="91"/>
      <c r="U36" s="91"/>
      <c r="V36" s="92"/>
      <c r="W36" s="92"/>
      <c r="X36" s="93"/>
      <c r="Y36" s="93"/>
      <c r="Z36" s="93"/>
      <c r="AA36" s="4"/>
      <c r="AB36" s="5"/>
    </row>
    <row r="37" spans="1:28" x14ac:dyDescent="0.2">
      <c r="A37" s="4"/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5"/>
      <c r="O37" s="95"/>
      <c r="P37" s="95"/>
      <c r="Q37" s="95"/>
      <c r="R37" s="95"/>
      <c r="S37" s="95"/>
      <c r="T37" s="95"/>
      <c r="U37" s="95"/>
      <c r="V37" s="96"/>
      <c r="W37" s="96"/>
      <c r="X37" s="97"/>
      <c r="Y37" s="97"/>
      <c r="Z37" s="97"/>
      <c r="AA37" s="4"/>
      <c r="AB37" s="5"/>
    </row>
    <row r="38" spans="1:28" x14ac:dyDescent="0.2">
      <c r="A38" s="4"/>
      <c r="B38" s="90"/>
      <c r="C38" s="90"/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1"/>
      <c r="O38" s="91"/>
      <c r="P38" s="91"/>
      <c r="Q38" s="91"/>
      <c r="R38" s="91"/>
      <c r="S38" s="91"/>
      <c r="T38" s="91"/>
      <c r="U38" s="91"/>
      <c r="V38" s="92"/>
      <c r="W38" s="92"/>
      <c r="X38" s="93"/>
      <c r="Y38" s="93"/>
      <c r="Z38" s="93"/>
      <c r="AA38" s="4"/>
      <c r="AB38" s="5"/>
    </row>
    <row r="39" spans="1:28" x14ac:dyDescent="0.2">
      <c r="A39" s="4"/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5"/>
      <c r="O39" s="95"/>
      <c r="P39" s="95"/>
      <c r="Q39" s="95"/>
      <c r="R39" s="95"/>
      <c r="S39" s="95"/>
      <c r="T39" s="95"/>
      <c r="U39" s="95"/>
      <c r="V39" s="96"/>
      <c r="W39" s="96"/>
      <c r="X39" s="97"/>
      <c r="Y39" s="97"/>
      <c r="Z39" s="97"/>
      <c r="AA39" s="4"/>
      <c r="AB39" s="5"/>
    </row>
    <row r="40" spans="1:28" x14ac:dyDescent="0.2">
      <c r="A40" s="4"/>
      <c r="B40" s="90"/>
      <c r="C40" s="90"/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1"/>
      <c r="O40" s="91"/>
      <c r="P40" s="91"/>
      <c r="Q40" s="91"/>
      <c r="R40" s="91"/>
      <c r="S40" s="91"/>
      <c r="T40" s="91"/>
      <c r="U40" s="91"/>
      <c r="V40" s="92"/>
      <c r="W40" s="92"/>
      <c r="X40" s="93"/>
      <c r="Y40" s="93"/>
      <c r="Z40" s="93"/>
      <c r="AA40" s="4"/>
      <c r="AB40" s="5"/>
    </row>
    <row r="41" spans="1:28" x14ac:dyDescent="0.2">
      <c r="A41" s="4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5"/>
      <c r="O41" s="95"/>
      <c r="P41" s="95"/>
      <c r="Q41" s="95"/>
      <c r="R41" s="95"/>
      <c r="S41" s="95"/>
      <c r="T41" s="95"/>
      <c r="U41" s="95"/>
      <c r="V41" s="96"/>
      <c r="W41" s="96"/>
      <c r="X41" s="97"/>
      <c r="Y41" s="97"/>
      <c r="Z41" s="97"/>
      <c r="AA41" s="4"/>
      <c r="AB41" s="5"/>
    </row>
    <row r="42" spans="1:28" x14ac:dyDescent="0.2">
      <c r="A42" s="4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90"/>
      <c r="N42" s="91"/>
      <c r="O42" s="91"/>
      <c r="P42" s="91"/>
      <c r="Q42" s="91"/>
      <c r="R42" s="91"/>
      <c r="S42" s="91"/>
      <c r="T42" s="91"/>
      <c r="U42" s="91"/>
      <c r="V42" s="92"/>
      <c r="W42" s="92"/>
      <c r="X42" s="93"/>
      <c r="Y42" s="93"/>
      <c r="Z42" s="93"/>
      <c r="AA42" s="4"/>
      <c r="AB42" s="5"/>
    </row>
    <row r="43" spans="1:28" x14ac:dyDescent="0.2">
      <c r="A43" s="4"/>
      <c r="B43" s="94"/>
      <c r="C43" s="94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5"/>
      <c r="O43" s="95"/>
      <c r="P43" s="95"/>
      <c r="Q43" s="95"/>
      <c r="R43" s="95"/>
      <c r="S43" s="95"/>
      <c r="T43" s="95"/>
      <c r="U43" s="95"/>
      <c r="V43" s="96"/>
      <c r="W43" s="96"/>
      <c r="X43" s="97"/>
      <c r="Y43" s="97"/>
      <c r="Z43" s="97"/>
      <c r="AA43" s="4"/>
      <c r="AB43" s="5"/>
    </row>
    <row r="44" spans="1:28" x14ac:dyDescent="0.2">
      <c r="A44" s="4"/>
      <c r="B44" s="90"/>
      <c r="C44" s="90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1"/>
      <c r="O44" s="91"/>
      <c r="P44" s="91"/>
      <c r="Q44" s="91"/>
      <c r="R44" s="91"/>
      <c r="S44" s="91"/>
      <c r="T44" s="91"/>
      <c r="U44" s="91"/>
      <c r="V44" s="92"/>
      <c r="W44" s="92"/>
      <c r="X44" s="93"/>
      <c r="Y44" s="93"/>
      <c r="Z44" s="93"/>
      <c r="AA44" s="4"/>
      <c r="AB44" s="5"/>
    </row>
    <row r="45" spans="1:28" x14ac:dyDescent="0.2">
      <c r="A45" s="4"/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5"/>
      <c r="O45" s="95"/>
      <c r="P45" s="95"/>
      <c r="Q45" s="95"/>
      <c r="R45" s="95"/>
      <c r="S45" s="95"/>
      <c r="T45" s="95"/>
      <c r="U45" s="95"/>
      <c r="V45" s="96"/>
      <c r="W45" s="96"/>
      <c r="X45" s="97"/>
      <c r="Y45" s="97"/>
      <c r="Z45" s="97"/>
      <c r="AA45" s="4"/>
      <c r="AB45" s="5"/>
    </row>
    <row r="46" spans="1:28" x14ac:dyDescent="0.2">
      <c r="A46" s="4"/>
      <c r="B46" s="90"/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1"/>
      <c r="O46" s="91"/>
      <c r="P46" s="91"/>
      <c r="Q46" s="91"/>
      <c r="R46" s="91"/>
      <c r="S46" s="91"/>
      <c r="T46" s="91"/>
      <c r="U46" s="91"/>
      <c r="V46" s="92"/>
      <c r="W46" s="92"/>
      <c r="X46" s="93"/>
      <c r="Y46" s="93"/>
      <c r="Z46" s="93"/>
      <c r="AA46" s="4"/>
      <c r="AB46" s="5"/>
    </row>
    <row r="47" spans="1:28" x14ac:dyDescent="0.2">
      <c r="A47" s="4"/>
      <c r="B47" s="9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5"/>
      <c r="O47" s="95"/>
      <c r="P47" s="95"/>
      <c r="Q47" s="95"/>
      <c r="R47" s="95"/>
      <c r="S47" s="95"/>
      <c r="T47" s="95"/>
      <c r="U47" s="95"/>
      <c r="V47" s="96"/>
      <c r="W47" s="96"/>
      <c r="X47" s="97"/>
      <c r="Y47" s="97"/>
      <c r="Z47" s="97"/>
      <c r="AA47" s="4"/>
      <c r="AB47" s="5"/>
    </row>
    <row r="48" spans="1:28" x14ac:dyDescent="0.2">
      <c r="A48" s="4"/>
      <c r="B48" s="90"/>
      <c r="C48" s="90"/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1"/>
      <c r="O48" s="91"/>
      <c r="P48" s="91"/>
      <c r="Q48" s="91"/>
      <c r="R48" s="91"/>
      <c r="S48" s="91"/>
      <c r="T48" s="91"/>
      <c r="U48" s="91"/>
      <c r="V48" s="92"/>
      <c r="W48" s="92"/>
      <c r="X48" s="93"/>
      <c r="Y48" s="93"/>
      <c r="Z48" s="93"/>
      <c r="AA48" s="4"/>
      <c r="AB48" s="5"/>
    </row>
    <row r="49" spans="1:28" x14ac:dyDescent="0.2">
      <c r="A49" s="4"/>
      <c r="B49" s="94"/>
      <c r="C49" s="94"/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5"/>
      <c r="O49" s="95"/>
      <c r="P49" s="95"/>
      <c r="Q49" s="95"/>
      <c r="R49" s="95"/>
      <c r="S49" s="95"/>
      <c r="T49" s="95"/>
      <c r="U49" s="95"/>
      <c r="V49" s="96"/>
      <c r="W49" s="96"/>
      <c r="X49" s="97"/>
      <c r="Y49" s="97"/>
      <c r="Z49" s="97"/>
      <c r="AA49" s="4"/>
      <c r="AB49" s="5"/>
    </row>
    <row r="50" spans="1:28" x14ac:dyDescent="0.2">
      <c r="A50" s="4"/>
      <c r="B50" s="90"/>
      <c r="C50" s="90"/>
      <c r="D50" s="90"/>
      <c r="E50" s="90"/>
      <c r="F50" s="90"/>
      <c r="G50" s="90"/>
      <c r="H50" s="90"/>
      <c r="I50" s="90"/>
      <c r="J50" s="90"/>
      <c r="K50" s="90"/>
      <c r="L50" s="90"/>
      <c r="M50" s="90"/>
      <c r="N50" s="91"/>
      <c r="O50" s="91"/>
      <c r="P50" s="91"/>
      <c r="Q50" s="91"/>
      <c r="R50" s="91"/>
      <c r="S50" s="91"/>
      <c r="T50" s="91"/>
      <c r="U50" s="91"/>
      <c r="V50" s="92"/>
      <c r="W50" s="92"/>
      <c r="X50" s="93"/>
      <c r="Y50" s="93"/>
      <c r="Z50" s="93"/>
      <c r="AA50" s="4"/>
      <c r="AB50" s="5"/>
    </row>
    <row r="51" spans="1:28" x14ac:dyDescent="0.2">
      <c r="A51" s="4"/>
      <c r="B51" s="94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5"/>
      <c r="O51" s="95"/>
      <c r="P51" s="95"/>
      <c r="Q51" s="95"/>
      <c r="R51" s="95"/>
      <c r="S51" s="95"/>
      <c r="T51" s="95"/>
      <c r="U51" s="95"/>
      <c r="V51" s="96"/>
      <c r="W51" s="96"/>
      <c r="X51" s="97"/>
      <c r="Y51" s="97"/>
      <c r="Z51" s="97"/>
      <c r="AA51" s="4"/>
      <c r="AB51" s="5"/>
    </row>
    <row r="52" spans="1:28" x14ac:dyDescent="0.2">
      <c r="A52" s="4"/>
      <c r="B52" s="90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1"/>
      <c r="O52" s="91"/>
      <c r="P52" s="91"/>
      <c r="Q52" s="91"/>
      <c r="R52" s="91"/>
      <c r="S52" s="91"/>
      <c r="T52" s="91"/>
      <c r="U52" s="91"/>
      <c r="V52" s="92"/>
      <c r="W52" s="92"/>
      <c r="X52" s="93"/>
      <c r="Y52" s="93"/>
      <c r="Z52" s="93"/>
      <c r="AA52" s="4"/>
      <c r="AB52" s="5"/>
    </row>
    <row r="53" spans="1:28" x14ac:dyDescent="0.2">
      <c r="A53" s="4"/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5"/>
      <c r="O53" s="95"/>
      <c r="P53" s="95"/>
      <c r="Q53" s="95"/>
      <c r="R53" s="95"/>
      <c r="S53" s="95"/>
      <c r="T53" s="95"/>
      <c r="U53" s="95"/>
      <c r="V53" s="96"/>
      <c r="W53" s="96"/>
      <c r="X53" s="97"/>
      <c r="Y53" s="97"/>
      <c r="Z53" s="97"/>
      <c r="AA53" s="4"/>
      <c r="AB53" s="5"/>
    </row>
    <row r="54" spans="1:28" x14ac:dyDescent="0.2">
      <c r="A54" s="4"/>
      <c r="B54" s="90"/>
      <c r="C54" s="90"/>
      <c r="D54" s="90"/>
      <c r="E54" s="90"/>
      <c r="F54" s="90"/>
      <c r="G54" s="90"/>
      <c r="H54" s="90"/>
      <c r="I54" s="90"/>
      <c r="J54" s="90"/>
      <c r="K54" s="90"/>
      <c r="L54" s="90"/>
      <c r="M54" s="90"/>
      <c r="N54" s="91"/>
      <c r="O54" s="91"/>
      <c r="P54" s="91"/>
      <c r="Q54" s="91"/>
      <c r="R54" s="91"/>
      <c r="S54" s="91"/>
      <c r="T54" s="91"/>
      <c r="U54" s="91"/>
      <c r="V54" s="92"/>
      <c r="W54" s="92"/>
      <c r="X54" s="93"/>
      <c r="Y54" s="93"/>
      <c r="Z54" s="93"/>
      <c r="AA54" s="4"/>
      <c r="AB54" s="5"/>
    </row>
    <row r="55" spans="1:28" x14ac:dyDescent="0.2">
      <c r="A55" s="4"/>
      <c r="B55" s="94"/>
      <c r="C55" s="94"/>
      <c r="D55" s="94"/>
      <c r="E55" s="94"/>
      <c r="F55" s="94"/>
      <c r="G55" s="94"/>
      <c r="H55" s="94"/>
      <c r="I55" s="94"/>
      <c r="J55" s="94"/>
      <c r="K55" s="94"/>
      <c r="L55" s="94"/>
      <c r="M55" s="94"/>
      <c r="N55" s="95"/>
      <c r="O55" s="95"/>
      <c r="P55" s="95"/>
      <c r="Q55" s="95"/>
      <c r="R55" s="95"/>
      <c r="S55" s="95"/>
      <c r="T55" s="95"/>
      <c r="U55" s="95"/>
      <c r="V55" s="96"/>
      <c r="W55" s="96"/>
      <c r="X55" s="97"/>
      <c r="Y55" s="97"/>
      <c r="Z55" s="97"/>
      <c r="AA55" s="4"/>
      <c r="AB55" s="5"/>
    </row>
    <row r="56" spans="1:28" x14ac:dyDescent="0.2">
      <c r="A56" s="4"/>
      <c r="B56" s="90"/>
      <c r="C56" s="90"/>
      <c r="D56" s="90"/>
      <c r="E56" s="90"/>
      <c r="F56" s="90"/>
      <c r="G56" s="90"/>
      <c r="H56" s="90"/>
      <c r="I56" s="90"/>
      <c r="J56" s="90"/>
      <c r="K56" s="90"/>
      <c r="L56" s="90"/>
      <c r="M56" s="90"/>
      <c r="N56" s="91"/>
      <c r="O56" s="91"/>
      <c r="P56" s="91"/>
      <c r="Q56" s="91"/>
      <c r="R56" s="91"/>
      <c r="S56" s="91"/>
      <c r="T56" s="91"/>
      <c r="U56" s="91"/>
      <c r="V56" s="92"/>
      <c r="W56" s="92"/>
      <c r="X56" s="93"/>
      <c r="Y56" s="93"/>
      <c r="Z56" s="93"/>
      <c r="AA56" s="4"/>
      <c r="AB56" s="5"/>
    </row>
    <row r="57" spans="1:28" x14ac:dyDescent="0.2">
      <c r="A57" s="4"/>
      <c r="B57" s="94"/>
      <c r="C57" s="94"/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5"/>
      <c r="O57" s="95"/>
      <c r="P57" s="95"/>
      <c r="Q57" s="95"/>
      <c r="R57" s="95"/>
      <c r="S57" s="95"/>
      <c r="T57" s="95"/>
      <c r="U57" s="95"/>
      <c r="V57" s="96"/>
      <c r="W57" s="96"/>
      <c r="X57" s="97"/>
      <c r="Y57" s="97"/>
      <c r="Z57" s="97"/>
      <c r="AA57" s="4"/>
      <c r="AB57" s="5"/>
    </row>
    <row r="58" spans="1:28" x14ac:dyDescent="0.2">
      <c r="A58" s="4"/>
      <c r="B58" s="90"/>
      <c r="C58" s="90"/>
      <c r="D58" s="90"/>
      <c r="E58" s="90"/>
      <c r="F58" s="90"/>
      <c r="G58" s="90"/>
      <c r="H58" s="90"/>
      <c r="I58" s="90"/>
      <c r="J58" s="90"/>
      <c r="K58" s="90"/>
      <c r="L58" s="90"/>
      <c r="M58" s="90"/>
      <c r="N58" s="91"/>
      <c r="O58" s="91"/>
      <c r="P58" s="91"/>
      <c r="Q58" s="91"/>
      <c r="R58" s="91"/>
      <c r="S58" s="91"/>
      <c r="T58" s="91"/>
      <c r="U58" s="91"/>
      <c r="V58" s="92"/>
      <c r="W58" s="92"/>
      <c r="X58" s="93"/>
      <c r="Y58" s="93"/>
      <c r="Z58" s="93"/>
      <c r="AA58" s="4"/>
      <c r="AB58" s="5"/>
    </row>
    <row r="59" spans="1:28" x14ac:dyDescent="0.2">
      <c r="A59" s="4"/>
      <c r="B59" s="94"/>
      <c r="C59" s="94"/>
      <c r="D59" s="94"/>
      <c r="E59" s="94"/>
      <c r="F59" s="94"/>
      <c r="G59" s="94"/>
      <c r="H59" s="94"/>
      <c r="I59" s="94"/>
      <c r="J59" s="94"/>
      <c r="K59" s="94"/>
      <c r="L59" s="94"/>
      <c r="M59" s="94"/>
      <c r="N59" s="95"/>
      <c r="O59" s="95"/>
      <c r="P59" s="95"/>
      <c r="Q59" s="95"/>
      <c r="R59" s="95"/>
      <c r="S59" s="95"/>
      <c r="T59" s="95"/>
      <c r="U59" s="95"/>
      <c r="V59" s="96"/>
      <c r="W59" s="96"/>
      <c r="X59" s="97"/>
      <c r="Y59" s="97"/>
      <c r="Z59" s="97"/>
      <c r="AA59" s="4"/>
      <c r="AB59" s="5"/>
    </row>
    <row r="60" spans="1:28" x14ac:dyDescent="0.2">
      <c r="A60" s="4"/>
      <c r="B60" s="90"/>
      <c r="C60" s="90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91"/>
      <c r="O60" s="91"/>
      <c r="P60" s="91"/>
      <c r="Q60" s="91"/>
      <c r="R60" s="91"/>
      <c r="S60" s="91"/>
      <c r="T60" s="91"/>
      <c r="U60" s="91"/>
      <c r="V60" s="92"/>
      <c r="W60" s="92"/>
      <c r="X60" s="93"/>
      <c r="Y60" s="93"/>
      <c r="Z60" s="93"/>
      <c r="AA60" s="4"/>
      <c r="AB60" s="5"/>
    </row>
    <row r="61" spans="1:28" x14ac:dyDescent="0.2">
      <c r="A61" s="4"/>
      <c r="B61" s="94"/>
      <c r="C61" s="94"/>
      <c r="D61" s="94"/>
      <c r="E61" s="94"/>
      <c r="F61" s="94"/>
      <c r="G61" s="94"/>
      <c r="H61" s="94"/>
      <c r="I61" s="94"/>
      <c r="J61" s="94"/>
      <c r="K61" s="94"/>
      <c r="L61" s="94"/>
      <c r="M61" s="94"/>
      <c r="N61" s="95"/>
      <c r="O61" s="95"/>
      <c r="P61" s="95"/>
      <c r="Q61" s="95"/>
      <c r="R61" s="95"/>
      <c r="S61" s="95"/>
      <c r="T61" s="95"/>
      <c r="U61" s="95"/>
      <c r="V61" s="96"/>
      <c r="W61" s="96"/>
      <c r="X61" s="97"/>
      <c r="Y61" s="97"/>
      <c r="Z61" s="97"/>
      <c r="AA61" s="4"/>
      <c r="AB61" s="5"/>
    </row>
    <row r="62" spans="1:28" x14ac:dyDescent="0.2">
      <c r="A62" s="4"/>
      <c r="B62" s="90"/>
      <c r="C62" s="90"/>
      <c r="D62" s="90"/>
      <c r="E62" s="90"/>
      <c r="F62" s="90"/>
      <c r="G62" s="90"/>
      <c r="H62" s="90"/>
      <c r="I62" s="90"/>
      <c r="J62" s="90"/>
      <c r="K62" s="90"/>
      <c r="L62" s="90"/>
      <c r="M62" s="90"/>
      <c r="N62" s="91"/>
      <c r="O62" s="91"/>
      <c r="P62" s="91"/>
      <c r="Q62" s="91"/>
      <c r="R62" s="91"/>
      <c r="S62" s="91"/>
      <c r="T62" s="91"/>
      <c r="U62" s="91"/>
      <c r="V62" s="92"/>
      <c r="W62" s="92"/>
      <c r="X62" s="93"/>
      <c r="Y62" s="93"/>
      <c r="Z62" s="93"/>
      <c r="AA62" s="4"/>
      <c r="AB62" s="5"/>
    </row>
    <row r="63" spans="1:28" x14ac:dyDescent="0.2">
      <c r="A63" s="4"/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5"/>
      <c r="O63" s="95"/>
      <c r="P63" s="95"/>
      <c r="Q63" s="95"/>
      <c r="R63" s="95"/>
      <c r="S63" s="95"/>
      <c r="T63" s="95"/>
      <c r="U63" s="95"/>
      <c r="V63" s="96"/>
      <c r="W63" s="96"/>
      <c r="X63" s="97"/>
      <c r="Y63" s="97"/>
      <c r="Z63" s="97"/>
      <c r="AA63" s="4"/>
      <c r="AB63" s="5"/>
    </row>
    <row r="64" spans="1:28" x14ac:dyDescent="0.2">
      <c r="A64" s="4"/>
      <c r="B64" s="90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1"/>
      <c r="O64" s="91"/>
      <c r="P64" s="91"/>
      <c r="Q64" s="91"/>
      <c r="R64" s="91"/>
      <c r="S64" s="91"/>
      <c r="T64" s="91"/>
      <c r="U64" s="91"/>
      <c r="V64" s="92"/>
      <c r="W64" s="92"/>
      <c r="X64" s="93"/>
      <c r="Y64" s="93"/>
      <c r="Z64" s="93"/>
      <c r="AA64" s="4"/>
      <c r="AB64" s="5"/>
    </row>
    <row r="65" spans="1:28" x14ac:dyDescent="0.2">
      <c r="A65" s="4"/>
      <c r="B65" s="94"/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5"/>
      <c r="O65" s="95"/>
      <c r="P65" s="95"/>
      <c r="Q65" s="95"/>
      <c r="R65" s="95"/>
      <c r="S65" s="95"/>
      <c r="T65" s="95"/>
      <c r="U65" s="95"/>
      <c r="V65" s="96"/>
      <c r="W65" s="96"/>
      <c r="X65" s="97"/>
      <c r="Y65" s="97"/>
      <c r="Z65" s="97"/>
      <c r="AA65" s="4"/>
      <c r="AB65" s="5"/>
    </row>
    <row r="66" spans="1:28" x14ac:dyDescent="0.2">
      <c r="A66" s="4"/>
      <c r="B66" s="90"/>
      <c r="C66" s="90"/>
      <c r="D66" s="90"/>
      <c r="E66" s="90"/>
      <c r="F66" s="90"/>
      <c r="G66" s="90"/>
      <c r="H66" s="90"/>
      <c r="I66" s="90"/>
      <c r="J66" s="90"/>
      <c r="K66" s="90"/>
      <c r="L66" s="90"/>
      <c r="M66" s="90"/>
      <c r="N66" s="91"/>
      <c r="O66" s="91"/>
      <c r="P66" s="91"/>
      <c r="Q66" s="91"/>
      <c r="R66" s="91"/>
      <c r="S66" s="91"/>
      <c r="T66" s="91"/>
      <c r="U66" s="91"/>
      <c r="V66" s="92"/>
      <c r="W66" s="92"/>
      <c r="X66" s="93"/>
      <c r="Y66" s="93"/>
      <c r="Z66" s="93"/>
      <c r="AA66" s="4"/>
      <c r="AB66" s="5"/>
    </row>
    <row r="67" spans="1:28" x14ac:dyDescent="0.2">
      <c r="A67" s="4"/>
      <c r="B67" s="94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5"/>
      <c r="O67" s="95"/>
      <c r="P67" s="95"/>
      <c r="Q67" s="95"/>
      <c r="R67" s="95"/>
      <c r="S67" s="95"/>
      <c r="T67" s="95"/>
      <c r="U67" s="95"/>
      <c r="V67" s="96"/>
      <c r="W67" s="96"/>
      <c r="X67" s="97"/>
      <c r="Y67" s="97"/>
      <c r="Z67" s="97"/>
      <c r="AA67" s="4"/>
      <c r="AB67" s="5"/>
    </row>
    <row r="68" spans="1:28" x14ac:dyDescent="0.2">
      <c r="A68" s="4"/>
      <c r="B68" s="90"/>
      <c r="C68" s="90"/>
      <c r="D68" s="90"/>
      <c r="E68" s="90"/>
      <c r="F68" s="90"/>
      <c r="G68" s="90"/>
      <c r="H68" s="90"/>
      <c r="I68" s="90"/>
      <c r="J68" s="90"/>
      <c r="K68" s="90"/>
      <c r="L68" s="90"/>
      <c r="M68" s="90"/>
      <c r="N68" s="91"/>
      <c r="O68" s="91"/>
      <c r="P68" s="91"/>
      <c r="Q68" s="91"/>
      <c r="R68" s="91"/>
      <c r="S68" s="91"/>
      <c r="T68" s="91"/>
      <c r="U68" s="91"/>
      <c r="V68" s="92"/>
      <c r="W68" s="92"/>
      <c r="X68" s="93"/>
      <c r="Y68" s="93"/>
      <c r="Z68" s="93"/>
      <c r="AA68" s="4"/>
      <c r="AB68" s="5"/>
    </row>
    <row r="69" spans="1:28" x14ac:dyDescent="0.2">
      <c r="A69" s="4"/>
      <c r="B69" s="94"/>
      <c r="C69" s="94"/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5"/>
      <c r="O69" s="95"/>
      <c r="P69" s="95"/>
      <c r="Q69" s="95"/>
      <c r="R69" s="95"/>
      <c r="S69" s="95"/>
      <c r="T69" s="95"/>
      <c r="U69" s="95"/>
      <c r="V69" s="96"/>
      <c r="W69" s="96"/>
      <c r="X69" s="97"/>
      <c r="Y69" s="97"/>
      <c r="Z69" s="97"/>
      <c r="AA69" s="4"/>
      <c r="AB69" s="5"/>
    </row>
    <row r="70" spans="1:28" x14ac:dyDescent="0.2">
      <c r="A70" s="4"/>
      <c r="B70" s="90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1"/>
      <c r="O70" s="91"/>
      <c r="P70" s="91"/>
      <c r="Q70" s="91"/>
      <c r="R70" s="91"/>
      <c r="S70" s="91"/>
      <c r="T70" s="91"/>
      <c r="U70" s="91"/>
      <c r="V70" s="92"/>
      <c r="W70" s="92"/>
      <c r="X70" s="93"/>
      <c r="Y70" s="93"/>
      <c r="Z70" s="93"/>
      <c r="AA70" s="4"/>
      <c r="AB70" s="5"/>
    </row>
    <row r="71" spans="1:28" x14ac:dyDescent="0.2">
      <c r="A71" s="4"/>
      <c r="B71" s="94"/>
      <c r="C71" s="94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5"/>
      <c r="O71" s="95"/>
      <c r="P71" s="95"/>
      <c r="Q71" s="95"/>
      <c r="R71" s="95"/>
      <c r="S71" s="95"/>
      <c r="T71" s="95"/>
      <c r="U71" s="95"/>
      <c r="V71" s="96"/>
      <c r="W71" s="96"/>
      <c r="X71" s="97"/>
      <c r="Y71" s="97"/>
      <c r="Z71" s="97"/>
      <c r="AA71" s="4"/>
      <c r="AB71" s="5"/>
    </row>
    <row r="72" spans="1:28" x14ac:dyDescent="0.2">
      <c r="A72" s="4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1"/>
      <c r="O72" s="91"/>
      <c r="P72" s="91"/>
      <c r="Q72" s="91"/>
      <c r="R72" s="91"/>
      <c r="S72" s="91"/>
      <c r="T72" s="91"/>
      <c r="U72" s="91"/>
      <c r="V72" s="92"/>
      <c r="W72" s="92"/>
      <c r="X72" s="93"/>
      <c r="Y72" s="93"/>
      <c r="Z72" s="93"/>
      <c r="AA72" s="4"/>
      <c r="AB72" s="5"/>
    </row>
    <row r="73" spans="1:28" x14ac:dyDescent="0.2">
      <c r="A73" s="4"/>
      <c r="B73" s="94"/>
      <c r="C73" s="94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5"/>
      <c r="O73" s="95"/>
      <c r="P73" s="95"/>
      <c r="Q73" s="95"/>
      <c r="R73" s="95"/>
      <c r="S73" s="95"/>
      <c r="T73" s="95"/>
      <c r="U73" s="95"/>
      <c r="V73" s="96"/>
      <c r="W73" s="96"/>
      <c r="X73" s="97"/>
      <c r="Y73" s="97"/>
      <c r="Z73" s="97"/>
      <c r="AA73" s="4"/>
      <c r="AB73" s="5"/>
    </row>
    <row r="74" spans="1:28" x14ac:dyDescent="0.2">
      <c r="A74" s="4"/>
      <c r="B74" s="90"/>
      <c r="C74" s="90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1"/>
      <c r="O74" s="91"/>
      <c r="P74" s="91"/>
      <c r="Q74" s="91"/>
      <c r="R74" s="91"/>
      <c r="S74" s="91"/>
      <c r="T74" s="91"/>
      <c r="U74" s="91"/>
      <c r="V74" s="92"/>
      <c r="W74" s="92"/>
      <c r="X74" s="93"/>
      <c r="Y74" s="93"/>
      <c r="Z74" s="93"/>
      <c r="AA74" s="4"/>
      <c r="AB74" s="5"/>
    </row>
    <row r="75" spans="1:28" x14ac:dyDescent="0.2">
      <c r="A75" s="4"/>
      <c r="B75" s="94"/>
      <c r="C75" s="94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5"/>
      <c r="O75" s="95"/>
      <c r="P75" s="95"/>
      <c r="Q75" s="95"/>
      <c r="R75" s="95"/>
      <c r="S75" s="95"/>
      <c r="T75" s="95"/>
      <c r="U75" s="95"/>
      <c r="V75" s="96"/>
      <c r="W75" s="96"/>
      <c r="X75" s="97"/>
      <c r="Y75" s="97"/>
      <c r="Z75" s="97"/>
      <c r="AA75" s="4"/>
      <c r="AB75" s="5"/>
    </row>
    <row r="76" spans="1:28" x14ac:dyDescent="0.2">
      <c r="A76" s="4"/>
      <c r="B76" s="90"/>
      <c r="C76" s="90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1"/>
      <c r="O76" s="91"/>
      <c r="P76" s="91"/>
      <c r="Q76" s="91"/>
      <c r="R76" s="91"/>
      <c r="S76" s="91"/>
      <c r="T76" s="91"/>
      <c r="U76" s="91"/>
      <c r="V76" s="92"/>
      <c r="W76" s="92"/>
      <c r="X76" s="93"/>
      <c r="Y76" s="93"/>
      <c r="Z76" s="93"/>
      <c r="AA76" s="4"/>
      <c r="AB76" s="5"/>
    </row>
    <row r="77" spans="1:28" x14ac:dyDescent="0.2">
      <c r="A77" s="4"/>
      <c r="B77" s="94"/>
      <c r="C77" s="94"/>
      <c r="D77" s="94"/>
      <c r="E77" s="94"/>
      <c r="F77" s="94"/>
      <c r="G77" s="94"/>
      <c r="H77" s="94"/>
      <c r="I77" s="94"/>
      <c r="J77" s="94"/>
      <c r="K77" s="94"/>
      <c r="L77" s="94"/>
      <c r="M77" s="94"/>
      <c r="N77" s="95"/>
      <c r="O77" s="95"/>
      <c r="P77" s="95"/>
      <c r="Q77" s="95"/>
      <c r="R77" s="95"/>
      <c r="S77" s="95"/>
      <c r="T77" s="95"/>
      <c r="U77" s="95"/>
      <c r="V77" s="96"/>
      <c r="W77" s="96"/>
      <c r="X77" s="97"/>
      <c r="Y77" s="97"/>
      <c r="Z77" s="97"/>
      <c r="AA77" s="4"/>
      <c r="AB77" s="5"/>
    </row>
    <row r="78" spans="1:28" x14ac:dyDescent="0.2">
      <c r="A78" s="4"/>
      <c r="B78" s="90"/>
      <c r="C78" s="90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1"/>
      <c r="O78" s="91"/>
      <c r="P78" s="91"/>
      <c r="Q78" s="91"/>
      <c r="R78" s="91"/>
      <c r="S78" s="91"/>
      <c r="T78" s="91"/>
      <c r="U78" s="91"/>
      <c r="V78" s="92"/>
      <c r="W78" s="92"/>
      <c r="X78" s="93"/>
      <c r="Y78" s="93"/>
      <c r="Z78" s="93"/>
      <c r="AA78" s="4"/>
      <c r="AB78" s="5"/>
    </row>
    <row r="79" spans="1:28" x14ac:dyDescent="0.2">
      <c r="A79" s="4"/>
      <c r="B79" s="94"/>
      <c r="C79" s="94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5"/>
      <c r="O79" s="95"/>
      <c r="P79" s="95"/>
      <c r="Q79" s="95"/>
      <c r="R79" s="95"/>
      <c r="S79" s="95"/>
      <c r="T79" s="95"/>
      <c r="U79" s="95"/>
      <c r="V79" s="96"/>
      <c r="W79" s="96"/>
      <c r="X79" s="97"/>
      <c r="Y79" s="97"/>
      <c r="Z79" s="97"/>
      <c r="AA79" s="4"/>
      <c r="AB79" s="5"/>
    </row>
    <row r="80" spans="1:28" x14ac:dyDescent="0.2">
      <c r="A80" s="4"/>
      <c r="B80" s="90"/>
      <c r="C80" s="90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1"/>
      <c r="O80" s="91"/>
      <c r="P80" s="91"/>
      <c r="Q80" s="91"/>
      <c r="R80" s="91"/>
      <c r="S80" s="91"/>
      <c r="T80" s="91"/>
      <c r="U80" s="91"/>
      <c r="V80" s="92"/>
      <c r="W80" s="92"/>
      <c r="X80" s="93"/>
      <c r="Y80" s="93"/>
      <c r="Z80" s="93"/>
      <c r="AA80" s="4"/>
      <c r="AB80" s="5"/>
    </row>
    <row r="81" spans="1:28" x14ac:dyDescent="0.2">
      <c r="A81" s="4"/>
      <c r="B81" s="94"/>
      <c r="C81" s="94"/>
      <c r="D81" s="94"/>
      <c r="E81" s="94"/>
      <c r="F81" s="94"/>
      <c r="G81" s="94"/>
      <c r="H81" s="94"/>
      <c r="I81" s="94"/>
      <c r="J81" s="94"/>
      <c r="K81" s="94"/>
      <c r="L81" s="94"/>
      <c r="M81" s="94"/>
      <c r="N81" s="95"/>
      <c r="O81" s="95"/>
      <c r="P81" s="95"/>
      <c r="Q81" s="95"/>
      <c r="R81" s="95"/>
      <c r="S81" s="95"/>
      <c r="T81" s="95"/>
      <c r="U81" s="95"/>
      <c r="V81" s="96"/>
      <c r="W81" s="96"/>
      <c r="X81" s="97"/>
      <c r="Y81" s="97"/>
      <c r="Z81" s="97"/>
      <c r="AA81" s="4"/>
      <c r="AB81" s="5"/>
    </row>
    <row r="82" spans="1:28" x14ac:dyDescent="0.2">
      <c r="A82" s="4"/>
      <c r="B82" s="90"/>
      <c r="C82" s="90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1"/>
      <c r="O82" s="91"/>
      <c r="P82" s="91"/>
      <c r="Q82" s="91"/>
      <c r="R82" s="91"/>
      <c r="S82" s="91"/>
      <c r="T82" s="91"/>
      <c r="U82" s="91"/>
      <c r="V82" s="92"/>
      <c r="W82" s="92"/>
      <c r="X82" s="93"/>
      <c r="Y82" s="93"/>
      <c r="Z82" s="93"/>
      <c r="AA82" s="4"/>
      <c r="AB82" s="5"/>
    </row>
    <row r="83" spans="1:28" x14ac:dyDescent="0.2">
      <c r="A83" s="4"/>
      <c r="B83" s="94"/>
      <c r="C83" s="94"/>
      <c r="D83" s="94"/>
      <c r="E83" s="94"/>
      <c r="F83" s="94"/>
      <c r="G83" s="94"/>
      <c r="H83" s="94"/>
      <c r="I83" s="94"/>
      <c r="J83" s="94"/>
      <c r="K83" s="94"/>
      <c r="L83" s="94"/>
      <c r="M83" s="94"/>
      <c r="N83" s="95"/>
      <c r="O83" s="95"/>
      <c r="P83" s="95"/>
      <c r="Q83" s="95"/>
      <c r="R83" s="95"/>
      <c r="S83" s="95"/>
      <c r="T83" s="95"/>
      <c r="U83" s="95"/>
      <c r="V83" s="96"/>
      <c r="W83" s="96"/>
      <c r="X83" s="97"/>
      <c r="Y83" s="97"/>
      <c r="Z83" s="97"/>
      <c r="AA83" s="4"/>
      <c r="AB83" s="5"/>
    </row>
    <row r="84" spans="1:28" x14ac:dyDescent="0.2">
      <c r="A84" s="4"/>
      <c r="B84" s="90"/>
      <c r="C84" s="90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1"/>
      <c r="O84" s="91"/>
      <c r="P84" s="91"/>
      <c r="Q84" s="91"/>
      <c r="R84" s="91"/>
      <c r="S84" s="91"/>
      <c r="T84" s="91"/>
      <c r="U84" s="91"/>
      <c r="V84" s="92"/>
      <c r="W84" s="92"/>
      <c r="X84" s="93"/>
      <c r="Y84" s="93"/>
      <c r="Z84" s="93"/>
      <c r="AA84" s="4"/>
      <c r="AB84" s="5"/>
    </row>
    <row r="85" spans="1:28" x14ac:dyDescent="0.2">
      <c r="A85" s="4"/>
      <c r="B85" s="94"/>
      <c r="C85" s="94"/>
      <c r="D85" s="94"/>
      <c r="E85" s="94"/>
      <c r="F85" s="94"/>
      <c r="G85" s="94"/>
      <c r="H85" s="94"/>
      <c r="I85" s="94"/>
      <c r="J85" s="94"/>
      <c r="K85" s="94"/>
      <c r="L85" s="94"/>
      <c r="M85" s="94"/>
      <c r="N85" s="95"/>
      <c r="O85" s="95"/>
      <c r="P85" s="95"/>
      <c r="Q85" s="95"/>
      <c r="R85" s="95"/>
      <c r="S85" s="95"/>
      <c r="T85" s="95"/>
      <c r="U85" s="95"/>
      <c r="V85" s="96"/>
      <c r="W85" s="96"/>
      <c r="X85" s="97"/>
      <c r="Y85" s="97"/>
      <c r="Z85" s="97"/>
      <c r="AA85" s="4"/>
      <c r="AB85" s="5"/>
    </row>
    <row r="86" spans="1:28" x14ac:dyDescent="0.2">
      <c r="A86" s="4"/>
      <c r="B86" s="90"/>
      <c r="C86" s="90"/>
      <c r="D86" s="90"/>
      <c r="E86" s="90"/>
      <c r="F86" s="90"/>
      <c r="G86" s="90"/>
      <c r="H86" s="90"/>
      <c r="I86" s="90"/>
      <c r="J86" s="90"/>
      <c r="K86" s="90"/>
      <c r="L86" s="90"/>
      <c r="M86" s="90"/>
      <c r="N86" s="91"/>
      <c r="O86" s="91"/>
      <c r="P86" s="91"/>
      <c r="Q86" s="91"/>
      <c r="R86" s="91"/>
      <c r="S86" s="91"/>
      <c r="T86" s="91"/>
      <c r="U86" s="91"/>
      <c r="V86" s="92"/>
      <c r="W86" s="92"/>
      <c r="X86" s="93"/>
      <c r="Y86" s="93"/>
      <c r="Z86" s="93"/>
      <c r="AA86" s="4"/>
      <c r="AB86" s="5"/>
    </row>
    <row r="87" spans="1:28" x14ac:dyDescent="0.2">
      <c r="A87" s="4"/>
      <c r="B87" s="94"/>
      <c r="C87" s="94"/>
      <c r="D87" s="94"/>
      <c r="E87" s="94"/>
      <c r="F87" s="94"/>
      <c r="G87" s="94"/>
      <c r="H87" s="94"/>
      <c r="I87" s="94"/>
      <c r="J87" s="94"/>
      <c r="K87" s="94"/>
      <c r="L87" s="94"/>
      <c r="M87" s="94"/>
      <c r="N87" s="95"/>
      <c r="O87" s="95"/>
      <c r="P87" s="95"/>
      <c r="Q87" s="95"/>
      <c r="R87" s="95"/>
      <c r="S87" s="95"/>
      <c r="T87" s="95"/>
      <c r="U87" s="95"/>
      <c r="V87" s="96"/>
      <c r="W87" s="96"/>
      <c r="X87" s="97"/>
      <c r="Y87" s="97"/>
      <c r="Z87" s="97"/>
      <c r="AA87" s="4"/>
      <c r="AB87" s="5"/>
    </row>
    <row r="88" spans="1:28" x14ac:dyDescent="0.2">
      <c r="A88" s="4"/>
      <c r="B88" s="90"/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1"/>
      <c r="O88" s="91"/>
      <c r="P88" s="91"/>
      <c r="Q88" s="91"/>
      <c r="R88" s="91"/>
      <c r="S88" s="91"/>
      <c r="T88" s="91"/>
      <c r="U88" s="91"/>
      <c r="V88" s="92"/>
      <c r="W88" s="92"/>
      <c r="X88" s="93"/>
      <c r="Y88" s="93"/>
      <c r="Z88" s="93"/>
      <c r="AA88" s="4"/>
      <c r="AB88" s="5"/>
    </row>
    <row r="89" spans="1:28" x14ac:dyDescent="0.2">
      <c r="A89" s="4"/>
      <c r="B89" s="94"/>
      <c r="C89" s="94"/>
      <c r="D89" s="94"/>
      <c r="E89" s="94"/>
      <c r="F89" s="94"/>
      <c r="G89" s="94"/>
      <c r="H89" s="94"/>
      <c r="I89" s="94"/>
      <c r="J89" s="94"/>
      <c r="K89" s="94"/>
      <c r="L89" s="94"/>
      <c r="M89" s="94"/>
      <c r="N89" s="95"/>
      <c r="O89" s="95"/>
      <c r="P89" s="95"/>
      <c r="Q89" s="95"/>
      <c r="R89" s="95"/>
      <c r="S89" s="95"/>
      <c r="T89" s="95"/>
      <c r="U89" s="95"/>
      <c r="V89" s="96"/>
      <c r="W89" s="96"/>
      <c r="X89" s="97"/>
      <c r="Y89" s="97"/>
      <c r="Z89" s="97"/>
      <c r="AA89" s="4"/>
      <c r="AB89" s="5"/>
    </row>
    <row r="90" spans="1:28" x14ac:dyDescent="0.2">
      <c r="A90" s="4"/>
      <c r="B90" s="90"/>
      <c r="C90" s="90"/>
      <c r="D90" s="90"/>
      <c r="E90" s="90"/>
      <c r="F90" s="90"/>
      <c r="G90" s="90"/>
      <c r="H90" s="90"/>
      <c r="I90" s="90"/>
      <c r="J90" s="90"/>
      <c r="K90" s="90"/>
      <c r="L90" s="90"/>
      <c r="M90" s="90"/>
      <c r="N90" s="91"/>
      <c r="O90" s="91"/>
      <c r="P90" s="91"/>
      <c r="Q90" s="91"/>
      <c r="R90" s="91"/>
      <c r="S90" s="91"/>
      <c r="T90" s="91"/>
      <c r="U90" s="91"/>
      <c r="V90" s="92"/>
      <c r="W90" s="92"/>
      <c r="X90" s="93"/>
      <c r="Y90" s="93"/>
      <c r="Z90" s="93"/>
      <c r="AA90" s="4"/>
      <c r="AB90" s="5"/>
    </row>
    <row r="91" spans="1:28" x14ac:dyDescent="0.2">
      <c r="A91" s="4"/>
      <c r="B91" s="94"/>
      <c r="C91" s="94"/>
      <c r="D91" s="94"/>
      <c r="E91" s="94"/>
      <c r="F91" s="94"/>
      <c r="G91" s="94"/>
      <c r="H91" s="94"/>
      <c r="I91" s="94"/>
      <c r="J91" s="94"/>
      <c r="K91" s="94"/>
      <c r="L91" s="94"/>
      <c r="M91" s="94"/>
      <c r="N91" s="95"/>
      <c r="O91" s="95"/>
      <c r="P91" s="95"/>
      <c r="Q91" s="95"/>
      <c r="R91" s="95"/>
      <c r="S91" s="95"/>
      <c r="T91" s="95"/>
      <c r="U91" s="95"/>
      <c r="V91" s="96"/>
      <c r="W91" s="96"/>
      <c r="X91" s="97"/>
      <c r="Y91" s="97"/>
      <c r="Z91" s="97"/>
      <c r="AA91" s="4"/>
      <c r="AB91" s="5"/>
    </row>
    <row r="92" spans="1:28" x14ac:dyDescent="0.2">
      <c r="A92" s="4"/>
      <c r="B92" s="90"/>
      <c r="C92" s="90"/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1"/>
      <c r="O92" s="91"/>
      <c r="P92" s="91"/>
      <c r="Q92" s="91"/>
      <c r="R92" s="91"/>
      <c r="S92" s="91"/>
      <c r="T92" s="91"/>
      <c r="U92" s="91"/>
      <c r="V92" s="92"/>
      <c r="W92" s="92"/>
      <c r="X92" s="93"/>
      <c r="Y92" s="93"/>
      <c r="Z92" s="93"/>
      <c r="AA92" s="4"/>
      <c r="AB92" s="5"/>
    </row>
    <row r="93" spans="1:28" x14ac:dyDescent="0.2">
      <c r="A93" s="4"/>
      <c r="B93" s="94"/>
      <c r="C93" s="94"/>
      <c r="D93" s="94"/>
      <c r="E93" s="94"/>
      <c r="F93" s="94"/>
      <c r="G93" s="94"/>
      <c r="H93" s="94"/>
      <c r="I93" s="94"/>
      <c r="J93" s="94"/>
      <c r="K93" s="94"/>
      <c r="L93" s="94"/>
      <c r="M93" s="94"/>
      <c r="N93" s="95"/>
      <c r="O93" s="95"/>
      <c r="P93" s="95"/>
      <c r="Q93" s="95"/>
      <c r="R93" s="95"/>
      <c r="S93" s="95"/>
      <c r="T93" s="95"/>
      <c r="U93" s="95"/>
      <c r="V93" s="96"/>
      <c r="W93" s="96"/>
      <c r="X93" s="97"/>
      <c r="Y93" s="97"/>
      <c r="Z93" s="97"/>
      <c r="AA93" s="4"/>
      <c r="AB93" s="5"/>
    </row>
    <row r="94" spans="1:28" x14ac:dyDescent="0.2">
      <c r="A94" s="4"/>
      <c r="B94" s="90"/>
      <c r="C94" s="90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1"/>
      <c r="O94" s="91"/>
      <c r="P94" s="91"/>
      <c r="Q94" s="91"/>
      <c r="R94" s="91"/>
      <c r="S94" s="91"/>
      <c r="T94" s="91"/>
      <c r="U94" s="91"/>
      <c r="V94" s="92"/>
      <c r="W94" s="92"/>
      <c r="X94" s="93"/>
      <c r="Y94" s="93"/>
      <c r="Z94" s="93"/>
      <c r="AA94" s="4"/>
      <c r="AB94" s="5"/>
    </row>
    <row r="95" spans="1:28" x14ac:dyDescent="0.2">
      <c r="A95" s="4"/>
      <c r="B95" s="94"/>
      <c r="C95" s="94"/>
      <c r="D95" s="94"/>
      <c r="E95" s="94"/>
      <c r="F95" s="94"/>
      <c r="G95" s="94"/>
      <c r="H95" s="94"/>
      <c r="I95" s="94"/>
      <c r="J95" s="94"/>
      <c r="K95" s="94"/>
      <c r="L95" s="94"/>
      <c r="M95" s="94"/>
      <c r="N95" s="95"/>
      <c r="O95" s="95"/>
      <c r="P95" s="95"/>
      <c r="Q95" s="95"/>
      <c r="R95" s="95"/>
      <c r="S95" s="95"/>
      <c r="T95" s="95"/>
      <c r="U95" s="95"/>
      <c r="V95" s="96"/>
      <c r="W95" s="96"/>
      <c r="X95" s="97"/>
      <c r="Y95" s="97"/>
      <c r="Z95" s="97"/>
      <c r="AA95" s="4"/>
      <c r="AB95" s="5"/>
    </row>
    <row r="96" spans="1:28" x14ac:dyDescent="0.2">
      <c r="A96" s="4"/>
      <c r="B96" s="90"/>
      <c r="C96" s="90"/>
      <c r="D96" s="90"/>
      <c r="E96" s="90"/>
      <c r="F96" s="90"/>
      <c r="G96" s="90"/>
      <c r="H96" s="90"/>
      <c r="I96" s="90"/>
      <c r="J96" s="90"/>
      <c r="K96" s="90"/>
      <c r="L96" s="90"/>
      <c r="M96" s="90"/>
      <c r="N96" s="91"/>
      <c r="O96" s="91"/>
      <c r="P96" s="91"/>
      <c r="Q96" s="91"/>
      <c r="R96" s="91"/>
      <c r="S96" s="91"/>
      <c r="T96" s="91"/>
      <c r="U96" s="91"/>
      <c r="V96" s="92"/>
      <c r="W96" s="92"/>
      <c r="X96" s="93"/>
      <c r="Y96" s="93"/>
      <c r="Z96" s="93"/>
      <c r="AA96" s="4"/>
      <c r="AB96" s="5"/>
    </row>
    <row r="97" spans="1:28" x14ac:dyDescent="0.2">
      <c r="A97" s="4"/>
      <c r="B97" s="94"/>
      <c r="C97" s="94"/>
      <c r="D97" s="94"/>
      <c r="E97" s="94"/>
      <c r="F97" s="94"/>
      <c r="G97" s="94"/>
      <c r="H97" s="94"/>
      <c r="I97" s="94"/>
      <c r="J97" s="94"/>
      <c r="K97" s="94"/>
      <c r="L97" s="94"/>
      <c r="M97" s="94"/>
      <c r="N97" s="95"/>
      <c r="O97" s="95"/>
      <c r="P97" s="95"/>
      <c r="Q97" s="95"/>
      <c r="R97" s="95"/>
      <c r="S97" s="95"/>
      <c r="T97" s="95"/>
      <c r="U97" s="95"/>
      <c r="V97" s="96"/>
      <c r="W97" s="96"/>
      <c r="X97" s="97"/>
      <c r="Y97" s="97"/>
      <c r="Z97" s="97"/>
      <c r="AA97" s="4"/>
      <c r="AB97" s="5"/>
    </row>
    <row r="98" spans="1:28" x14ac:dyDescent="0.2">
      <c r="A98" s="4"/>
      <c r="B98" s="90"/>
      <c r="C98" s="90"/>
      <c r="D98" s="90"/>
      <c r="E98" s="90"/>
      <c r="F98" s="90"/>
      <c r="G98" s="90"/>
      <c r="H98" s="90"/>
      <c r="I98" s="90"/>
      <c r="J98" s="90"/>
      <c r="K98" s="90"/>
      <c r="L98" s="90"/>
      <c r="M98" s="90"/>
      <c r="N98" s="91"/>
      <c r="O98" s="91"/>
      <c r="P98" s="91"/>
      <c r="Q98" s="91"/>
      <c r="R98" s="91"/>
      <c r="S98" s="91"/>
      <c r="T98" s="91"/>
      <c r="U98" s="91"/>
      <c r="V98" s="92"/>
      <c r="W98" s="92"/>
      <c r="X98" s="93"/>
      <c r="Y98" s="93"/>
      <c r="Z98" s="93"/>
      <c r="AA98" s="4"/>
      <c r="AB98" s="5"/>
    </row>
    <row r="99" spans="1:28" x14ac:dyDescent="0.2">
      <c r="A99" s="4"/>
      <c r="B99" s="94"/>
      <c r="C99" s="94"/>
      <c r="D99" s="94"/>
      <c r="E99" s="94"/>
      <c r="F99" s="94"/>
      <c r="G99" s="94"/>
      <c r="H99" s="94"/>
      <c r="I99" s="94"/>
      <c r="J99" s="94"/>
      <c r="K99" s="94"/>
      <c r="L99" s="94"/>
      <c r="M99" s="94"/>
      <c r="N99" s="95"/>
      <c r="O99" s="95"/>
      <c r="P99" s="95"/>
      <c r="Q99" s="95"/>
      <c r="R99" s="95"/>
      <c r="S99" s="95"/>
      <c r="T99" s="95"/>
      <c r="U99" s="95"/>
      <c r="V99" s="96"/>
      <c r="W99" s="96"/>
      <c r="X99" s="97"/>
      <c r="Y99" s="97"/>
      <c r="Z99" s="97"/>
      <c r="AA99" s="4"/>
      <c r="AB99" s="5"/>
    </row>
    <row r="100" spans="1:28" x14ac:dyDescent="0.2">
      <c r="A100" s="4"/>
      <c r="B100" s="90"/>
      <c r="C100" s="90"/>
      <c r="D100" s="90"/>
      <c r="E100" s="90"/>
      <c r="F100" s="90"/>
      <c r="G100" s="90"/>
      <c r="H100" s="90"/>
      <c r="I100" s="90"/>
      <c r="J100" s="90"/>
      <c r="K100" s="90"/>
      <c r="L100" s="90"/>
      <c r="M100" s="90"/>
      <c r="N100" s="91"/>
      <c r="O100" s="91"/>
      <c r="P100" s="91"/>
      <c r="Q100" s="91"/>
      <c r="R100" s="91"/>
      <c r="S100" s="91"/>
      <c r="T100" s="91"/>
      <c r="U100" s="91"/>
      <c r="V100" s="92"/>
      <c r="W100" s="92"/>
      <c r="X100" s="93"/>
      <c r="Y100" s="93"/>
      <c r="Z100" s="93"/>
      <c r="AA100" s="4"/>
      <c r="AB100" s="5"/>
    </row>
    <row r="101" spans="1:28" x14ac:dyDescent="0.2">
      <c r="A101" s="4"/>
      <c r="B101" s="94"/>
      <c r="C101" s="94"/>
      <c r="D101" s="94"/>
      <c r="E101" s="94"/>
      <c r="F101" s="94"/>
      <c r="G101" s="94"/>
      <c r="H101" s="94"/>
      <c r="I101" s="94"/>
      <c r="J101" s="94"/>
      <c r="K101" s="94"/>
      <c r="L101" s="94"/>
      <c r="M101" s="94"/>
      <c r="N101" s="95"/>
      <c r="O101" s="95"/>
      <c r="P101" s="95"/>
      <c r="Q101" s="95"/>
      <c r="R101" s="95"/>
      <c r="S101" s="95"/>
      <c r="T101" s="95"/>
      <c r="U101" s="95"/>
      <c r="V101" s="96"/>
      <c r="W101" s="96"/>
      <c r="X101" s="97"/>
      <c r="Y101" s="97"/>
      <c r="Z101" s="97"/>
      <c r="AA101" s="4"/>
      <c r="AB101" s="5"/>
    </row>
    <row r="102" spans="1:28" x14ac:dyDescent="0.2">
      <c r="A102" s="4"/>
      <c r="B102" s="90"/>
      <c r="C102" s="90"/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1"/>
      <c r="O102" s="91"/>
      <c r="P102" s="91"/>
      <c r="Q102" s="91"/>
      <c r="R102" s="91"/>
      <c r="S102" s="91"/>
      <c r="T102" s="91"/>
      <c r="U102" s="91"/>
      <c r="V102" s="92"/>
      <c r="W102" s="92"/>
      <c r="X102" s="93"/>
      <c r="Y102" s="93"/>
      <c r="Z102" s="93"/>
      <c r="AA102" s="4"/>
      <c r="AB102" s="5"/>
    </row>
    <row r="103" spans="1:28" x14ac:dyDescent="0.2">
      <c r="A103" s="4"/>
      <c r="B103" s="94"/>
      <c r="C103" s="94"/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5"/>
      <c r="O103" s="95"/>
      <c r="P103" s="95"/>
      <c r="Q103" s="95"/>
      <c r="R103" s="95"/>
      <c r="S103" s="95"/>
      <c r="T103" s="95"/>
      <c r="U103" s="95"/>
      <c r="V103" s="96"/>
      <c r="W103" s="96"/>
      <c r="X103" s="97"/>
      <c r="Y103" s="97"/>
      <c r="Z103" s="97"/>
      <c r="AA103" s="4"/>
      <c r="AB103" s="5"/>
    </row>
    <row r="104" spans="1:28" x14ac:dyDescent="0.2">
      <c r="A104" s="4"/>
      <c r="B104" s="90"/>
      <c r="C104" s="90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1"/>
      <c r="O104" s="91"/>
      <c r="P104" s="91"/>
      <c r="Q104" s="91"/>
      <c r="R104" s="91"/>
      <c r="S104" s="91"/>
      <c r="T104" s="91"/>
      <c r="U104" s="91"/>
      <c r="V104" s="92"/>
      <c r="W104" s="92"/>
      <c r="X104" s="93"/>
      <c r="Y104" s="93"/>
      <c r="Z104" s="93"/>
      <c r="AA104" s="4"/>
      <c r="AB104" s="5"/>
    </row>
    <row r="105" spans="1:28" x14ac:dyDescent="0.2">
      <c r="A105" s="4"/>
      <c r="B105" s="94"/>
      <c r="C105" s="94"/>
      <c r="D105" s="94"/>
      <c r="E105" s="94"/>
      <c r="F105" s="94"/>
      <c r="G105" s="94"/>
      <c r="H105" s="94"/>
      <c r="I105" s="94"/>
      <c r="J105" s="94"/>
      <c r="K105" s="94"/>
      <c r="L105" s="94"/>
      <c r="M105" s="94"/>
      <c r="N105" s="95"/>
      <c r="O105" s="95"/>
      <c r="P105" s="95"/>
      <c r="Q105" s="95"/>
      <c r="R105" s="95"/>
      <c r="S105" s="95"/>
      <c r="T105" s="95"/>
      <c r="U105" s="95"/>
      <c r="V105" s="96"/>
      <c r="W105" s="96"/>
      <c r="X105" s="97"/>
      <c r="Y105" s="97"/>
      <c r="Z105" s="97"/>
      <c r="AA105" s="4"/>
      <c r="AB105" s="5"/>
    </row>
    <row r="106" spans="1:28" x14ac:dyDescent="0.2">
      <c r="A106" s="4"/>
      <c r="B106" s="90"/>
      <c r="C106" s="90"/>
      <c r="D106" s="90"/>
      <c r="E106" s="90"/>
      <c r="F106" s="90"/>
      <c r="G106" s="90"/>
      <c r="H106" s="90"/>
      <c r="I106" s="90"/>
      <c r="J106" s="90"/>
      <c r="K106" s="90"/>
      <c r="L106" s="90"/>
      <c r="M106" s="90"/>
      <c r="N106" s="91"/>
      <c r="O106" s="91"/>
      <c r="P106" s="91"/>
      <c r="Q106" s="91"/>
      <c r="R106" s="91"/>
      <c r="S106" s="91"/>
      <c r="T106" s="91"/>
      <c r="U106" s="91"/>
      <c r="V106" s="92"/>
      <c r="W106" s="92"/>
      <c r="X106" s="93"/>
      <c r="Y106" s="93"/>
      <c r="Z106" s="93"/>
      <c r="AA106" s="4"/>
      <c r="AB106" s="5"/>
    </row>
    <row r="107" spans="1:28" x14ac:dyDescent="0.2">
      <c r="A107" s="4"/>
      <c r="B107" s="94"/>
      <c r="C107" s="94"/>
      <c r="D107" s="94"/>
      <c r="E107" s="94"/>
      <c r="F107" s="94"/>
      <c r="G107" s="94"/>
      <c r="H107" s="94"/>
      <c r="I107" s="94"/>
      <c r="J107" s="94"/>
      <c r="K107" s="94"/>
      <c r="L107" s="94"/>
      <c r="M107" s="94"/>
      <c r="N107" s="95"/>
      <c r="O107" s="95"/>
      <c r="P107" s="95"/>
      <c r="Q107" s="95"/>
      <c r="R107" s="95"/>
      <c r="S107" s="95"/>
      <c r="T107" s="95"/>
      <c r="U107" s="95"/>
      <c r="V107" s="96"/>
      <c r="W107" s="96"/>
      <c r="X107" s="97"/>
      <c r="Y107" s="97"/>
      <c r="Z107" s="97"/>
      <c r="AA107" s="4"/>
      <c r="AB107" s="5"/>
    </row>
    <row r="108" spans="1:28" x14ac:dyDescent="0.2">
      <c r="A108" s="4"/>
      <c r="B108" s="90"/>
      <c r="C108" s="90"/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1"/>
      <c r="O108" s="91"/>
      <c r="P108" s="91"/>
      <c r="Q108" s="91"/>
      <c r="R108" s="91"/>
      <c r="S108" s="91"/>
      <c r="T108" s="91"/>
      <c r="U108" s="91"/>
      <c r="V108" s="92"/>
      <c r="W108" s="92"/>
      <c r="X108" s="93"/>
      <c r="Y108" s="93"/>
      <c r="Z108" s="93"/>
      <c r="AA108" s="4"/>
      <c r="AB108" s="5"/>
    </row>
    <row r="109" spans="1:28" x14ac:dyDescent="0.2">
      <c r="A109" s="4"/>
      <c r="B109" s="94"/>
      <c r="C109" s="94"/>
      <c r="D109" s="94"/>
      <c r="E109" s="94"/>
      <c r="F109" s="94"/>
      <c r="G109" s="94"/>
      <c r="H109" s="94"/>
      <c r="I109" s="94"/>
      <c r="J109" s="94"/>
      <c r="K109" s="94"/>
      <c r="L109" s="94"/>
      <c r="M109" s="94"/>
      <c r="N109" s="95"/>
      <c r="O109" s="95"/>
      <c r="P109" s="95"/>
      <c r="Q109" s="95"/>
      <c r="R109" s="95"/>
      <c r="S109" s="95"/>
      <c r="T109" s="95"/>
      <c r="U109" s="95"/>
      <c r="V109" s="96"/>
      <c r="W109" s="96"/>
      <c r="X109" s="97"/>
      <c r="Y109" s="97"/>
      <c r="Z109" s="97"/>
      <c r="AA109" s="4"/>
      <c r="AB109" s="5"/>
    </row>
    <row r="110" spans="1:28" x14ac:dyDescent="0.2">
      <c r="A110" s="4"/>
      <c r="B110" s="90"/>
      <c r="C110" s="90"/>
      <c r="D110" s="90"/>
      <c r="E110" s="90"/>
      <c r="F110" s="90"/>
      <c r="G110" s="90"/>
      <c r="H110" s="90"/>
      <c r="I110" s="90"/>
      <c r="J110" s="90"/>
      <c r="K110" s="90"/>
      <c r="L110" s="90"/>
      <c r="M110" s="90"/>
      <c r="N110" s="91"/>
      <c r="O110" s="91"/>
      <c r="P110" s="91"/>
      <c r="Q110" s="91"/>
      <c r="R110" s="91"/>
      <c r="S110" s="91"/>
      <c r="T110" s="91"/>
      <c r="U110" s="91"/>
      <c r="V110" s="92"/>
      <c r="W110" s="92"/>
      <c r="X110" s="93"/>
      <c r="Y110" s="93"/>
      <c r="Z110" s="93"/>
      <c r="AA110" s="4"/>
      <c r="AB110" s="5"/>
    </row>
    <row r="111" spans="1:28" x14ac:dyDescent="0.2">
      <c r="A111" s="4"/>
      <c r="B111" s="94"/>
      <c r="C111" s="94"/>
      <c r="D111" s="94"/>
      <c r="E111" s="94"/>
      <c r="F111" s="94"/>
      <c r="G111" s="94"/>
      <c r="H111" s="94"/>
      <c r="I111" s="94"/>
      <c r="J111" s="94"/>
      <c r="K111" s="94"/>
      <c r="L111" s="94"/>
      <c r="M111" s="94"/>
      <c r="N111" s="95"/>
      <c r="O111" s="95"/>
      <c r="P111" s="95"/>
      <c r="Q111" s="95"/>
      <c r="R111" s="95"/>
      <c r="S111" s="95"/>
      <c r="T111" s="95"/>
      <c r="U111" s="95"/>
      <c r="V111" s="96"/>
      <c r="W111" s="96"/>
      <c r="X111" s="97"/>
      <c r="Y111" s="97"/>
      <c r="Z111" s="97"/>
      <c r="AA111" s="4"/>
      <c r="AB111" s="5"/>
    </row>
    <row r="112" spans="1:28" x14ac:dyDescent="0.2">
      <c r="A112" s="4"/>
      <c r="B112" s="90"/>
      <c r="C112" s="90"/>
      <c r="D112" s="90"/>
      <c r="E112" s="90"/>
      <c r="F112" s="90"/>
      <c r="G112" s="90"/>
      <c r="H112" s="90"/>
      <c r="I112" s="90"/>
      <c r="J112" s="90"/>
      <c r="K112" s="90"/>
      <c r="L112" s="90"/>
      <c r="M112" s="90"/>
      <c r="N112" s="91"/>
      <c r="O112" s="91"/>
      <c r="P112" s="91"/>
      <c r="Q112" s="91"/>
      <c r="R112" s="91"/>
      <c r="S112" s="91"/>
      <c r="T112" s="91"/>
      <c r="U112" s="91"/>
      <c r="V112" s="92"/>
      <c r="W112" s="92"/>
      <c r="X112" s="93"/>
      <c r="Y112" s="93"/>
      <c r="Z112" s="93"/>
      <c r="AA112" s="4"/>
      <c r="AB112" s="5"/>
    </row>
    <row r="113" spans="1:28" x14ac:dyDescent="0.2">
      <c r="A113" s="4"/>
      <c r="B113" s="94"/>
      <c r="C113" s="94"/>
      <c r="D113" s="94"/>
      <c r="E113" s="94"/>
      <c r="F113" s="94"/>
      <c r="G113" s="94"/>
      <c r="H113" s="94"/>
      <c r="I113" s="94"/>
      <c r="J113" s="94"/>
      <c r="K113" s="94"/>
      <c r="L113" s="94"/>
      <c r="M113" s="94"/>
      <c r="N113" s="95"/>
      <c r="O113" s="95"/>
      <c r="P113" s="95"/>
      <c r="Q113" s="95"/>
      <c r="R113" s="95"/>
      <c r="S113" s="95"/>
      <c r="T113" s="95"/>
      <c r="U113" s="95"/>
      <c r="V113" s="96"/>
      <c r="W113" s="96"/>
      <c r="X113" s="97"/>
      <c r="Y113" s="97"/>
      <c r="Z113" s="97"/>
      <c r="AA113" s="4"/>
      <c r="AB113" s="5"/>
    </row>
    <row r="114" spans="1:28" x14ac:dyDescent="0.2">
      <c r="A114" s="4"/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0"/>
      <c r="M114" s="90"/>
      <c r="N114" s="91"/>
      <c r="O114" s="91"/>
      <c r="P114" s="91"/>
      <c r="Q114" s="91"/>
      <c r="R114" s="91"/>
      <c r="S114" s="91"/>
      <c r="T114" s="91"/>
      <c r="U114" s="91"/>
      <c r="V114" s="92"/>
      <c r="W114" s="92"/>
      <c r="X114" s="93"/>
      <c r="Y114" s="93"/>
      <c r="Z114" s="93"/>
      <c r="AA114" s="4"/>
      <c r="AB114" s="5"/>
    </row>
    <row r="115" spans="1:28" x14ac:dyDescent="0.2">
      <c r="A115" s="4"/>
      <c r="B115" s="94"/>
      <c r="C115" s="94"/>
      <c r="D115" s="94"/>
      <c r="E115" s="94"/>
      <c r="F115" s="94"/>
      <c r="G115" s="94"/>
      <c r="H115" s="94"/>
      <c r="I115" s="94"/>
      <c r="J115" s="94"/>
      <c r="K115" s="94"/>
      <c r="L115" s="94"/>
      <c r="M115" s="94"/>
      <c r="N115" s="95"/>
      <c r="O115" s="95"/>
      <c r="P115" s="95"/>
      <c r="Q115" s="95"/>
      <c r="R115" s="95"/>
      <c r="S115" s="95"/>
      <c r="T115" s="95"/>
      <c r="U115" s="95"/>
      <c r="V115" s="96"/>
      <c r="W115" s="96"/>
      <c r="X115" s="97"/>
      <c r="Y115" s="97"/>
      <c r="Z115" s="97"/>
      <c r="AA115" s="4"/>
      <c r="AB115" s="5"/>
    </row>
    <row r="116" spans="1:28" x14ac:dyDescent="0.2">
      <c r="A116" s="4"/>
      <c r="B116" s="90"/>
      <c r="C116" s="90"/>
      <c r="D116" s="90"/>
      <c r="E116" s="90"/>
      <c r="F116" s="90"/>
      <c r="G116" s="90"/>
      <c r="H116" s="90"/>
      <c r="I116" s="90"/>
      <c r="J116" s="90"/>
      <c r="K116" s="90"/>
      <c r="L116" s="90"/>
      <c r="M116" s="90"/>
      <c r="N116" s="91"/>
      <c r="O116" s="91"/>
      <c r="P116" s="91"/>
      <c r="Q116" s="91"/>
      <c r="R116" s="91"/>
      <c r="S116" s="91"/>
      <c r="T116" s="91"/>
      <c r="U116" s="91"/>
      <c r="V116" s="92"/>
      <c r="W116" s="92"/>
      <c r="X116" s="93"/>
      <c r="Y116" s="93"/>
      <c r="Z116" s="93"/>
      <c r="AA116" s="4"/>
      <c r="AB116" s="5"/>
    </row>
    <row r="117" spans="1:28" x14ac:dyDescent="0.2">
      <c r="A117" s="4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5"/>
      <c r="O117" s="95"/>
      <c r="P117" s="95"/>
      <c r="Q117" s="95"/>
      <c r="R117" s="95"/>
      <c r="S117" s="95"/>
      <c r="T117" s="95"/>
      <c r="U117" s="95"/>
      <c r="V117" s="96"/>
      <c r="W117" s="96"/>
      <c r="X117" s="97"/>
      <c r="Y117" s="97"/>
      <c r="Z117" s="97"/>
      <c r="AA117" s="4"/>
      <c r="AB117" s="5"/>
    </row>
    <row r="118" spans="1:28" x14ac:dyDescent="0.2">
      <c r="A118" s="4"/>
      <c r="B118" s="90"/>
      <c r="C118" s="90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1"/>
      <c r="O118" s="91"/>
      <c r="P118" s="91"/>
      <c r="Q118" s="91"/>
      <c r="R118" s="91"/>
      <c r="S118" s="91"/>
      <c r="T118" s="91"/>
      <c r="U118" s="91"/>
      <c r="V118" s="92"/>
      <c r="W118" s="92"/>
      <c r="X118" s="93"/>
      <c r="Y118" s="93"/>
      <c r="Z118" s="93"/>
      <c r="AA118" s="4"/>
      <c r="AB118" s="5"/>
    </row>
    <row r="119" spans="1:28" x14ac:dyDescent="0.2">
      <c r="A119" s="4"/>
      <c r="B119" s="94"/>
      <c r="C119" s="94"/>
      <c r="D119" s="94"/>
      <c r="E119" s="94"/>
      <c r="F119" s="94"/>
      <c r="G119" s="94"/>
      <c r="H119" s="94"/>
      <c r="I119" s="94"/>
      <c r="J119" s="94"/>
      <c r="K119" s="94"/>
      <c r="L119" s="94"/>
      <c r="M119" s="94"/>
      <c r="N119" s="95"/>
      <c r="O119" s="95"/>
      <c r="P119" s="95"/>
      <c r="Q119" s="95"/>
      <c r="R119" s="95"/>
      <c r="S119" s="95"/>
      <c r="T119" s="95"/>
      <c r="U119" s="95"/>
      <c r="V119" s="96"/>
      <c r="W119" s="96"/>
      <c r="X119" s="97"/>
      <c r="Y119" s="97"/>
      <c r="Z119" s="97"/>
      <c r="AA119" s="4"/>
      <c r="AB119" s="5"/>
    </row>
    <row r="120" spans="1:28" x14ac:dyDescent="0.2">
      <c r="A120" s="4"/>
      <c r="B120" s="90"/>
      <c r="C120" s="90"/>
      <c r="D120" s="90"/>
      <c r="E120" s="90"/>
      <c r="F120" s="90"/>
      <c r="G120" s="90"/>
      <c r="H120" s="90"/>
      <c r="I120" s="90"/>
      <c r="J120" s="90"/>
      <c r="K120" s="90"/>
      <c r="L120" s="90"/>
      <c r="M120" s="90"/>
      <c r="N120" s="91"/>
      <c r="O120" s="91"/>
      <c r="P120" s="91"/>
      <c r="Q120" s="91"/>
      <c r="R120" s="91"/>
      <c r="S120" s="91"/>
      <c r="T120" s="91"/>
      <c r="U120" s="91"/>
      <c r="V120" s="92"/>
      <c r="W120" s="92"/>
      <c r="X120" s="93"/>
      <c r="Y120" s="93"/>
      <c r="Z120" s="93"/>
      <c r="AA120" s="4"/>
      <c r="AB120" s="5"/>
    </row>
    <row r="121" spans="1:28" x14ac:dyDescent="0.2">
      <c r="A121" s="4"/>
      <c r="B121" s="94"/>
      <c r="C121" s="94"/>
      <c r="D121" s="94"/>
      <c r="E121" s="94"/>
      <c r="F121" s="94"/>
      <c r="G121" s="94"/>
      <c r="H121" s="94"/>
      <c r="I121" s="94"/>
      <c r="J121" s="94"/>
      <c r="K121" s="94"/>
      <c r="L121" s="94"/>
      <c r="M121" s="94"/>
      <c r="N121" s="95"/>
      <c r="O121" s="95"/>
      <c r="P121" s="95"/>
      <c r="Q121" s="95"/>
      <c r="R121" s="95"/>
      <c r="S121" s="95"/>
      <c r="T121" s="95"/>
      <c r="U121" s="95"/>
      <c r="V121" s="96"/>
      <c r="W121" s="96"/>
      <c r="X121" s="97"/>
      <c r="Y121" s="97"/>
      <c r="Z121" s="97"/>
      <c r="AA121" s="4"/>
      <c r="AB121" s="5"/>
    </row>
    <row r="122" spans="1:28" x14ac:dyDescent="0.2">
      <c r="A122" s="4"/>
      <c r="B122" s="90"/>
      <c r="C122" s="90"/>
      <c r="D122" s="90"/>
      <c r="E122" s="90"/>
      <c r="F122" s="90"/>
      <c r="G122" s="90"/>
      <c r="H122" s="90"/>
      <c r="I122" s="90"/>
      <c r="J122" s="90"/>
      <c r="K122" s="90"/>
      <c r="L122" s="90"/>
      <c r="M122" s="90"/>
      <c r="N122" s="91"/>
      <c r="O122" s="91"/>
      <c r="P122" s="91"/>
      <c r="Q122" s="91"/>
      <c r="R122" s="91"/>
      <c r="S122" s="91"/>
      <c r="T122" s="91"/>
      <c r="U122" s="91"/>
      <c r="V122" s="92"/>
      <c r="W122" s="92"/>
      <c r="X122" s="93"/>
      <c r="Y122" s="93"/>
      <c r="Z122" s="93"/>
      <c r="AA122" s="4"/>
      <c r="AB122" s="5"/>
    </row>
    <row r="123" spans="1:28" x14ac:dyDescent="0.2">
      <c r="A123" s="4"/>
      <c r="B123" s="94"/>
      <c r="C123" s="94"/>
      <c r="D123" s="94"/>
      <c r="E123" s="94"/>
      <c r="F123" s="94"/>
      <c r="G123" s="94"/>
      <c r="H123" s="94"/>
      <c r="I123" s="94"/>
      <c r="J123" s="94"/>
      <c r="K123" s="94"/>
      <c r="L123" s="94"/>
      <c r="M123" s="94"/>
      <c r="N123" s="95"/>
      <c r="O123" s="95"/>
      <c r="P123" s="95"/>
      <c r="Q123" s="95"/>
      <c r="R123" s="95"/>
      <c r="S123" s="95"/>
      <c r="T123" s="95"/>
      <c r="U123" s="95"/>
      <c r="V123" s="96"/>
      <c r="W123" s="96"/>
      <c r="X123" s="97"/>
      <c r="Y123" s="97"/>
      <c r="Z123" s="97"/>
      <c r="AA123" s="4"/>
      <c r="AB123" s="5"/>
    </row>
    <row r="124" spans="1:28" x14ac:dyDescent="0.2">
      <c r="A124" s="4"/>
      <c r="B124" s="90"/>
      <c r="C124" s="90"/>
      <c r="D124" s="90"/>
      <c r="E124" s="90"/>
      <c r="F124" s="90"/>
      <c r="G124" s="90"/>
      <c r="H124" s="90"/>
      <c r="I124" s="90"/>
      <c r="J124" s="90"/>
      <c r="K124" s="90"/>
      <c r="L124" s="90"/>
      <c r="M124" s="90"/>
      <c r="N124" s="91"/>
      <c r="O124" s="91"/>
      <c r="P124" s="91"/>
      <c r="Q124" s="91"/>
      <c r="R124" s="91"/>
      <c r="S124" s="91"/>
      <c r="T124" s="91"/>
      <c r="U124" s="91"/>
      <c r="V124" s="92"/>
      <c r="W124" s="92"/>
      <c r="X124" s="93"/>
      <c r="Y124" s="93"/>
      <c r="Z124" s="93"/>
      <c r="AA124" s="4"/>
      <c r="AB124" s="5"/>
    </row>
    <row r="125" spans="1:28" x14ac:dyDescent="0.2">
      <c r="A125" s="4"/>
      <c r="B125" s="94"/>
      <c r="C125" s="94"/>
      <c r="D125" s="94"/>
      <c r="E125" s="94"/>
      <c r="F125" s="94"/>
      <c r="G125" s="94"/>
      <c r="H125" s="94"/>
      <c r="I125" s="94"/>
      <c r="J125" s="94"/>
      <c r="K125" s="94"/>
      <c r="L125" s="94"/>
      <c r="M125" s="94"/>
      <c r="N125" s="95"/>
      <c r="O125" s="95"/>
      <c r="P125" s="95"/>
      <c r="Q125" s="95"/>
      <c r="R125" s="95"/>
      <c r="S125" s="95"/>
      <c r="T125" s="95"/>
      <c r="U125" s="95"/>
      <c r="V125" s="96"/>
      <c r="W125" s="96"/>
      <c r="X125" s="97"/>
      <c r="Y125" s="97"/>
      <c r="Z125" s="97"/>
      <c r="AA125" s="4"/>
      <c r="AB125" s="5"/>
    </row>
    <row r="126" spans="1:28" x14ac:dyDescent="0.2">
      <c r="A126" s="4"/>
      <c r="B126" s="90"/>
      <c r="C126" s="90"/>
      <c r="D126" s="90"/>
      <c r="E126" s="90"/>
      <c r="F126" s="90"/>
      <c r="G126" s="90"/>
      <c r="H126" s="90"/>
      <c r="I126" s="90"/>
      <c r="J126" s="90"/>
      <c r="K126" s="90"/>
      <c r="L126" s="90"/>
      <c r="M126" s="90"/>
      <c r="N126" s="91"/>
      <c r="O126" s="91"/>
      <c r="P126" s="91"/>
      <c r="Q126" s="91"/>
      <c r="R126" s="91"/>
      <c r="S126" s="91"/>
      <c r="T126" s="91"/>
      <c r="U126" s="91"/>
      <c r="V126" s="92"/>
      <c r="W126" s="92"/>
      <c r="X126" s="93"/>
      <c r="Y126" s="93"/>
      <c r="Z126" s="93"/>
      <c r="AA126" s="4"/>
      <c r="AB126" s="5"/>
    </row>
    <row r="127" spans="1:28" x14ac:dyDescent="0.2">
      <c r="A127" s="4"/>
      <c r="B127" s="94"/>
      <c r="C127" s="94"/>
      <c r="D127" s="94"/>
      <c r="E127" s="94"/>
      <c r="F127" s="94"/>
      <c r="G127" s="94"/>
      <c r="H127" s="94"/>
      <c r="I127" s="94"/>
      <c r="J127" s="94"/>
      <c r="K127" s="94"/>
      <c r="L127" s="94"/>
      <c r="M127" s="94"/>
      <c r="N127" s="95"/>
      <c r="O127" s="95"/>
      <c r="P127" s="95"/>
      <c r="Q127" s="95"/>
      <c r="R127" s="95"/>
      <c r="S127" s="95"/>
      <c r="T127" s="95"/>
      <c r="U127" s="95"/>
      <c r="V127" s="96"/>
      <c r="W127" s="96"/>
      <c r="X127" s="97"/>
      <c r="Y127" s="97"/>
      <c r="Z127" s="97"/>
      <c r="AA127" s="4"/>
      <c r="AB127" s="5"/>
    </row>
    <row r="128" spans="1:28" x14ac:dyDescent="0.2">
      <c r="A128" s="4"/>
      <c r="B128" s="90"/>
      <c r="C128" s="90"/>
      <c r="D128" s="90"/>
      <c r="E128" s="90"/>
      <c r="F128" s="90"/>
      <c r="G128" s="90"/>
      <c r="H128" s="90"/>
      <c r="I128" s="90"/>
      <c r="J128" s="90"/>
      <c r="K128" s="90"/>
      <c r="L128" s="90"/>
      <c r="M128" s="90"/>
      <c r="N128" s="91"/>
      <c r="O128" s="91"/>
      <c r="P128" s="91"/>
      <c r="Q128" s="91"/>
      <c r="R128" s="91"/>
      <c r="S128" s="91"/>
      <c r="T128" s="91"/>
      <c r="U128" s="91"/>
      <c r="V128" s="92"/>
      <c r="W128" s="92"/>
      <c r="X128" s="93"/>
      <c r="Y128" s="93"/>
      <c r="Z128" s="93"/>
      <c r="AA128" s="4"/>
      <c r="AB128" s="5"/>
    </row>
    <row r="129" spans="1:28" x14ac:dyDescent="0.2">
      <c r="A129" s="4"/>
      <c r="B129" s="94"/>
      <c r="C129" s="94"/>
      <c r="D129" s="94"/>
      <c r="E129" s="94"/>
      <c r="F129" s="94"/>
      <c r="G129" s="94"/>
      <c r="H129" s="94"/>
      <c r="I129" s="94"/>
      <c r="J129" s="94"/>
      <c r="K129" s="94"/>
      <c r="L129" s="94"/>
      <c r="M129" s="94"/>
      <c r="N129" s="95"/>
      <c r="O129" s="95"/>
      <c r="P129" s="95"/>
      <c r="Q129" s="95"/>
      <c r="R129" s="95"/>
      <c r="S129" s="95"/>
      <c r="T129" s="95"/>
      <c r="U129" s="95"/>
      <c r="V129" s="96"/>
      <c r="W129" s="96"/>
      <c r="X129" s="97"/>
      <c r="Y129" s="97"/>
      <c r="Z129" s="97"/>
      <c r="AA129" s="4"/>
      <c r="AB129" s="5"/>
    </row>
    <row r="130" spans="1:28" x14ac:dyDescent="0.2">
      <c r="A130" s="4"/>
      <c r="B130" s="90"/>
      <c r="C130" s="90"/>
      <c r="D130" s="90"/>
      <c r="E130" s="90"/>
      <c r="F130" s="90"/>
      <c r="G130" s="90"/>
      <c r="H130" s="90"/>
      <c r="I130" s="90"/>
      <c r="J130" s="90"/>
      <c r="K130" s="90"/>
      <c r="L130" s="90"/>
      <c r="M130" s="90"/>
      <c r="N130" s="91"/>
      <c r="O130" s="91"/>
      <c r="P130" s="91"/>
      <c r="Q130" s="91"/>
      <c r="R130" s="91"/>
      <c r="S130" s="91"/>
      <c r="T130" s="91"/>
      <c r="U130" s="91"/>
      <c r="V130" s="92"/>
      <c r="W130" s="92"/>
      <c r="X130" s="93"/>
      <c r="Y130" s="93"/>
      <c r="Z130" s="93"/>
      <c r="AA130" s="4"/>
      <c r="AB130" s="5"/>
    </row>
    <row r="131" spans="1:28" x14ac:dyDescent="0.2">
      <c r="A131" s="4"/>
      <c r="B131" s="94"/>
      <c r="C131" s="94"/>
      <c r="D131" s="94"/>
      <c r="E131" s="94"/>
      <c r="F131" s="94"/>
      <c r="G131" s="94"/>
      <c r="H131" s="94"/>
      <c r="I131" s="94"/>
      <c r="J131" s="94"/>
      <c r="K131" s="94"/>
      <c r="L131" s="94"/>
      <c r="M131" s="94"/>
      <c r="N131" s="95"/>
      <c r="O131" s="95"/>
      <c r="P131" s="95"/>
      <c r="Q131" s="95"/>
      <c r="R131" s="95"/>
      <c r="S131" s="95"/>
      <c r="T131" s="95"/>
      <c r="U131" s="95"/>
      <c r="V131" s="96"/>
      <c r="W131" s="96"/>
      <c r="X131" s="97"/>
      <c r="Y131" s="97"/>
      <c r="Z131" s="97"/>
      <c r="AA131" s="4"/>
      <c r="AB131" s="5"/>
    </row>
    <row r="132" spans="1:28" x14ac:dyDescent="0.2">
      <c r="A132" s="4"/>
      <c r="B132" s="90"/>
      <c r="C132" s="90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1"/>
      <c r="O132" s="91"/>
      <c r="P132" s="91"/>
      <c r="Q132" s="91"/>
      <c r="R132" s="91"/>
      <c r="S132" s="91"/>
      <c r="T132" s="91"/>
      <c r="U132" s="91"/>
      <c r="V132" s="92"/>
      <c r="W132" s="92"/>
      <c r="X132" s="93"/>
      <c r="Y132" s="93"/>
      <c r="Z132" s="93"/>
      <c r="AA132" s="4"/>
      <c r="AB132" s="5"/>
    </row>
    <row r="133" spans="1:28" x14ac:dyDescent="0.2">
      <c r="A133" s="4"/>
      <c r="B133" s="94"/>
      <c r="C133" s="94"/>
      <c r="D133" s="94"/>
      <c r="E133" s="94"/>
      <c r="F133" s="94"/>
      <c r="G133" s="94"/>
      <c r="H133" s="94"/>
      <c r="I133" s="94"/>
      <c r="J133" s="94"/>
      <c r="K133" s="94"/>
      <c r="L133" s="94"/>
      <c r="M133" s="94"/>
      <c r="N133" s="95"/>
      <c r="O133" s="95"/>
      <c r="P133" s="95"/>
      <c r="Q133" s="95"/>
      <c r="R133" s="95"/>
      <c r="S133" s="95"/>
      <c r="T133" s="95"/>
      <c r="U133" s="95"/>
      <c r="V133" s="96"/>
      <c r="W133" s="96"/>
      <c r="X133" s="97"/>
      <c r="Y133" s="97"/>
      <c r="Z133" s="97"/>
      <c r="AA133" s="4"/>
      <c r="AB133" s="5"/>
    </row>
    <row r="134" spans="1:28" x14ac:dyDescent="0.2">
      <c r="A134" s="4"/>
      <c r="B134" s="90"/>
      <c r="C134" s="90"/>
      <c r="D134" s="90"/>
      <c r="E134" s="90"/>
      <c r="F134" s="90"/>
      <c r="G134" s="90"/>
      <c r="H134" s="90"/>
      <c r="I134" s="90"/>
      <c r="J134" s="90"/>
      <c r="K134" s="90"/>
      <c r="L134" s="90"/>
      <c r="M134" s="90"/>
      <c r="N134" s="91"/>
      <c r="O134" s="91"/>
      <c r="P134" s="91"/>
      <c r="Q134" s="91"/>
      <c r="R134" s="91"/>
      <c r="S134" s="91"/>
      <c r="T134" s="91"/>
      <c r="U134" s="91"/>
      <c r="V134" s="92"/>
      <c r="W134" s="92"/>
      <c r="X134" s="93"/>
      <c r="Y134" s="93"/>
      <c r="Z134" s="93"/>
      <c r="AA134" s="4"/>
      <c r="AB134" s="5"/>
    </row>
    <row r="135" spans="1:28" x14ac:dyDescent="0.2">
      <c r="A135" s="4"/>
      <c r="B135" s="94"/>
      <c r="C135" s="94"/>
      <c r="D135" s="94"/>
      <c r="E135" s="94"/>
      <c r="F135" s="94"/>
      <c r="G135" s="94"/>
      <c r="H135" s="94"/>
      <c r="I135" s="94"/>
      <c r="J135" s="94"/>
      <c r="K135" s="94"/>
      <c r="L135" s="94"/>
      <c r="M135" s="94"/>
      <c r="N135" s="95"/>
      <c r="O135" s="95"/>
      <c r="P135" s="95"/>
      <c r="Q135" s="95"/>
      <c r="R135" s="95"/>
      <c r="S135" s="95"/>
      <c r="T135" s="95"/>
      <c r="U135" s="95"/>
      <c r="V135" s="96"/>
      <c r="W135" s="96"/>
      <c r="X135" s="97"/>
      <c r="Y135" s="97"/>
      <c r="Z135" s="97"/>
      <c r="AA135" s="4"/>
      <c r="AB135" s="5"/>
    </row>
    <row r="136" spans="1:28" x14ac:dyDescent="0.2">
      <c r="A136" s="4"/>
      <c r="B136" s="90"/>
      <c r="C136" s="90"/>
      <c r="D136" s="90"/>
      <c r="E136" s="90"/>
      <c r="F136" s="90"/>
      <c r="G136" s="90"/>
      <c r="H136" s="90"/>
      <c r="I136" s="90"/>
      <c r="J136" s="90"/>
      <c r="K136" s="90"/>
      <c r="L136" s="90"/>
      <c r="M136" s="90"/>
      <c r="N136" s="91"/>
      <c r="O136" s="91"/>
      <c r="P136" s="91"/>
      <c r="Q136" s="91"/>
      <c r="R136" s="91"/>
      <c r="S136" s="91"/>
      <c r="T136" s="91"/>
      <c r="U136" s="91"/>
      <c r="V136" s="92"/>
      <c r="W136" s="92"/>
      <c r="X136" s="93"/>
      <c r="Y136" s="93"/>
      <c r="Z136" s="93"/>
      <c r="AA136" s="4"/>
      <c r="AB136" s="5"/>
    </row>
    <row r="137" spans="1:28" x14ac:dyDescent="0.2">
      <c r="A137" s="4"/>
      <c r="B137" s="94"/>
      <c r="C137" s="94"/>
      <c r="D137" s="94"/>
      <c r="E137" s="94"/>
      <c r="F137" s="94"/>
      <c r="G137" s="94"/>
      <c r="H137" s="94"/>
      <c r="I137" s="94"/>
      <c r="J137" s="94"/>
      <c r="K137" s="94"/>
      <c r="L137" s="94"/>
      <c r="M137" s="94"/>
      <c r="N137" s="95"/>
      <c r="O137" s="95"/>
      <c r="P137" s="95"/>
      <c r="Q137" s="95"/>
      <c r="R137" s="95"/>
      <c r="S137" s="95"/>
      <c r="T137" s="95"/>
      <c r="U137" s="95"/>
      <c r="V137" s="96"/>
      <c r="W137" s="96"/>
      <c r="X137" s="97"/>
      <c r="Y137" s="97"/>
      <c r="Z137" s="97"/>
      <c r="AA137" s="4"/>
      <c r="AB137" s="5"/>
    </row>
    <row r="138" spans="1:28" x14ac:dyDescent="0.2">
      <c r="A138" s="4"/>
      <c r="B138" s="90"/>
      <c r="C138" s="90"/>
      <c r="D138" s="90"/>
      <c r="E138" s="90"/>
      <c r="F138" s="90"/>
      <c r="G138" s="90"/>
      <c r="H138" s="90"/>
      <c r="I138" s="90"/>
      <c r="J138" s="90"/>
      <c r="K138" s="90"/>
      <c r="L138" s="90"/>
      <c r="M138" s="90"/>
      <c r="N138" s="91"/>
      <c r="O138" s="91"/>
      <c r="P138" s="91"/>
      <c r="Q138" s="91"/>
      <c r="R138" s="91"/>
      <c r="S138" s="91"/>
      <c r="T138" s="91"/>
      <c r="U138" s="91"/>
      <c r="V138" s="92"/>
      <c r="W138" s="92"/>
      <c r="X138" s="93"/>
      <c r="Y138" s="93"/>
      <c r="Z138" s="93"/>
      <c r="AA138" s="4"/>
      <c r="AB138" s="5"/>
    </row>
    <row r="139" spans="1:28" x14ac:dyDescent="0.2">
      <c r="A139" s="4"/>
      <c r="B139" s="94"/>
      <c r="C139" s="94"/>
      <c r="D139" s="94"/>
      <c r="E139" s="94"/>
      <c r="F139" s="94"/>
      <c r="G139" s="94"/>
      <c r="H139" s="94"/>
      <c r="I139" s="94"/>
      <c r="J139" s="94"/>
      <c r="K139" s="94"/>
      <c r="L139" s="94"/>
      <c r="M139" s="94"/>
      <c r="N139" s="95"/>
      <c r="O139" s="95"/>
      <c r="P139" s="95"/>
      <c r="Q139" s="95"/>
      <c r="R139" s="95"/>
      <c r="S139" s="95"/>
      <c r="T139" s="95"/>
      <c r="U139" s="95"/>
      <c r="V139" s="96"/>
      <c r="W139" s="96"/>
      <c r="X139" s="97"/>
      <c r="Y139" s="97"/>
      <c r="Z139" s="97"/>
      <c r="AA139" s="4"/>
      <c r="AB139" s="5"/>
    </row>
    <row r="140" spans="1:28" x14ac:dyDescent="0.2">
      <c r="A140" s="4"/>
      <c r="B140" s="90"/>
      <c r="C140" s="90"/>
      <c r="D140" s="90"/>
      <c r="E140" s="90"/>
      <c r="F140" s="90"/>
      <c r="G140" s="90"/>
      <c r="H140" s="90"/>
      <c r="I140" s="90"/>
      <c r="J140" s="90"/>
      <c r="K140" s="90"/>
      <c r="L140" s="90"/>
      <c r="M140" s="90"/>
      <c r="N140" s="91"/>
      <c r="O140" s="91"/>
      <c r="P140" s="91"/>
      <c r="Q140" s="91"/>
      <c r="R140" s="91"/>
      <c r="S140" s="91"/>
      <c r="T140" s="91"/>
      <c r="U140" s="91"/>
      <c r="V140" s="92"/>
      <c r="W140" s="92"/>
      <c r="X140" s="93"/>
      <c r="Y140" s="93"/>
      <c r="Z140" s="93"/>
      <c r="AA140" s="4"/>
      <c r="AB140" s="5"/>
    </row>
    <row r="141" spans="1:28" x14ac:dyDescent="0.2">
      <c r="A141" s="4"/>
      <c r="B141" s="94"/>
      <c r="C141" s="94"/>
      <c r="D141" s="94"/>
      <c r="E141" s="94"/>
      <c r="F141" s="94"/>
      <c r="G141" s="94"/>
      <c r="H141" s="94"/>
      <c r="I141" s="94"/>
      <c r="J141" s="94"/>
      <c r="K141" s="94"/>
      <c r="L141" s="94"/>
      <c r="M141" s="94"/>
      <c r="N141" s="95"/>
      <c r="O141" s="95"/>
      <c r="P141" s="95"/>
      <c r="Q141" s="95"/>
      <c r="R141" s="95"/>
      <c r="S141" s="95"/>
      <c r="T141" s="95"/>
      <c r="U141" s="95"/>
      <c r="V141" s="96"/>
      <c r="W141" s="96"/>
      <c r="X141" s="97"/>
      <c r="Y141" s="97"/>
      <c r="Z141" s="97"/>
      <c r="AA141" s="4"/>
      <c r="AB141" s="5"/>
    </row>
    <row r="142" spans="1:28" x14ac:dyDescent="0.2">
      <c r="A142" s="4"/>
      <c r="B142" s="90"/>
      <c r="C142" s="90"/>
      <c r="D142" s="90"/>
      <c r="E142" s="90"/>
      <c r="F142" s="90"/>
      <c r="G142" s="90"/>
      <c r="H142" s="90"/>
      <c r="I142" s="90"/>
      <c r="J142" s="90"/>
      <c r="K142" s="90"/>
      <c r="L142" s="90"/>
      <c r="M142" s="90"/>
      <c r="N142" s="91"/>
      <c r="O142" s="91"/>
      <c r="P142" s="91"/>
      <c r="Q142" s="91"/>
      <c r="R142" s="91"/>
      <c r="S142" s="91"/>
      <c r="T142" s="91"/>
      <c r="U142" s="91"/>
      <c r="V142" s="92"/>
      <c r="W142" s="92"/>
      <c r="X142" s="93"/>
      <c r="Y142" s="93"/>
      <c r="Z142" s="93"/>
      <c r="AA142" s="4"/>
      <c r="AB142" s="5"/>
    </row>
    <row r="143" spans="1:28" x14ac:dyDescent="0.2">
      <c r="A143" s="4"/>
      <c r="B143" s="94"/>
      <c r="C143" s="94"/>
      <c r="D143" s="94"/>
      <c r="E143" s="94"/>
      <c r="F143" s="94"/>
      <c r="G143" s="94"/>
      <c r="H143" s="94"/>
      <c r="I143" s="94"/>
      <c r="J143" s="94"/>
      <c r="K143" s="94"/>
      <c r="L143" s="94"/>
      <c r="M143" s="94"/>
      <c r="N143" s="95"/>
      <c r="O143" s="95"/>
      <c r="P143" s="95"/>
      <c r="Q143" s="95"/>
      <c r="R143" s="95"/>
      <c r="S143" s="95"/>
      <c r="T143" s="95"/>
      <c r="U143" s="95"/>
      <c r="V143" s="96"/>
      <c r="W143" s="96"/>
      <c r="X143" s="97"/>
      <c r="Y143" s="97"/>
      <c r="Z143" s="97"/>
      <c r="AA143" s="4"/>
      <c r="AB143" s="5"/>
    </row>
    <row r="144" spans="1:28" x14ac:dyDescent="0.2">
      <c r="A144" s="4"/>
      <c r="B144" s="90"/>
      <c r="C144" s="90"/>
      <c r="D144" s="90"/>
      <c r="E144" s="90"/>
      <c r="F144" s="90"/>
      <c r="G144" s="90"/>
      <c r="H144" s="90"/>
      <c r="I144" s="90"/>
      <c r="J144" s="90"/>
      <c r="K144" s="90"/>
      <c r="L144" s="90"/>
      <c r="M144" s="90"/>
      <c r="N144" s="91"/>
      <c r="O144" s="91"/>
      <c r="P144" s="91"/>
      <c r="Q144" s="91"/>
      <c r="R144" s="91"/>
      <c r="S144" s="91"/>
      <c r="T144" s="91"/>
      <c r="U144" s="91"/>
      <c r="V144" s="92"/>
      <c r="W144" s="92"/>
      <c r="X144" s="93"/>
      <c r="Y144" s="93"/>
      <c r="Z144" s="93"/>
      <c r="AA144" s="4"/>
      <c r="AB144" s="5"/>
    </row>
    <row r="145" spans="1:28" x14ac:dyDescent="0.2">
      <c r="A145" s="4"/>
      <c r="B145" s="94"/>
      <c r="C145" s="94"/>
      <c r="D145" s="94"/>
      <c r="E145" s="94"/>
      <c r="F145" s="94"/>
      <c r="G145" s="94"/>
      <c r="H145" s="94"/>
      <c r="I145" s="94"/>
      <c r="J145" s="94"/>
      <c r="K145" s="94"/>
      <c r="L145" s="94"/>
      <c r="M145" s="94"/>
      <c r="N145" s="95"/>
      <c r="O145" s="95"/>
      <c r="P145" s="95"/>
      <c r="Q145" s="95"/>
      <c r="R145" s="95"/>
      <c r="S145" s="95"/>
      <c r="T145" s="95"/>
      <c r="U145" s="95"/>
      <c r="V145" s="96"/>
      <c r="W145" s="96"/>
      <c r="X145" s="97"/>
      <c r="Y145" s="97"/>
      <c r="Z145" s="97"/>
      <c r="AA145" s="4"/>
      <c r="AB145" s="5"/>
    </row>
    <row r="146" spans="1:28" x14ac:dyDescent="0.2">
      <c r="A146" s="4"/>
      <c r="B146" s="90"/>
      <c r="C146" s="90"/>
      <c r="D146" s="90"/>
      <c r="E146" s="90"/>
      <c r="F146" s="90"/>
      <c r="G146" s="90"/>
      <c r="H146" s="90"/>
      <c r="I146" s="90"/>
      <c r="J146" s="90"/>
      <c r="K146" s="90"/>
      <c r="L146" s="90"/>
      <c r="M146" s="90"/>
      <c r="N146" s="91"/>
      <c r="O146" s="91"/>
      <c r="P146" s="91"/>
      <c r="Q146" s="91"/>
      <c r="R146" s="91"/>
      <c r="S146" s="91"/>
      <c r="T146" s="91"/>
      <c r="U146" s="91"/>
      <c r="V146" s="92"/>
      <c r="W146" s="92"/>
      <c r="X146" s="93"/>
      <c r="Y146" s="93"/>
      <c r="Z146" s="93"/>
      <c r="AA146" s="4"/>
      <c r="AB146" s="5"/>
    </row>
    <row r="147" spans="1:28" x14ac:dyDescent="0.2">
      <c r="A147" s="4"/>
      <c r="B147" s="94"/>
      <c r="C147" s="94"/>
      <c r="D147" s="94"/>
      <c r="E147" s="94"/>
      <c r="F147" s="94"/>
      <c r="G147" s="94"/>
      <c r="H147" s="94"/>
      <c r="I147" s="94"/>
      <c r="J147" s="94"/>
      <c r="K147" s="94"/>
      <c r="L147" s="94"/>
      <c r="M147" s="94"/>
      <c r="N147" s="95"/>
      <c r="O147" s="95"/>
      <c r="P147" s="95"/>
      <c r="Q147" s="95"/>
      <c r="R147" s="95"/>
      <c r="S147" s="95"/>
      <c r="T147" s="95"/>
      <c r="U147" s="95"/>
      <c r="V147" s="96"/>
      <c r="W147" s="96"/>
      <c r="X147" s="97"/>
      <c r="Y147" s="97"/>
      <c r="Z147" s="97"/>
      <c r="AA147" s="4"/>
      <c r="AB147" s="5"/>
    </row>
    <row r="148" spans="1:28" x14ac:dyDescent="0.2">
      <c r="A148" s="4"/>
      <c r="B148" s="90"/>
      <c r="C148" s="90"/>
      <c r="D148" s="90"/>
      <c r="E148" s="90"/>
      <c r="F148" s="90"/>
      <c r="G148" s="90"/>
      <c r="H148" s="90"/>
      <c r="I148" s="90"/>
      <c r="J148" s="90"/>
      <c r="K148" s="90"/>
      <c r="L148" s="90"/>
      <c r="M148" s="90"/>
      <c r="N148" s="91"/>
      <c r="O148" s="91"/>
      <c r="P148" s="91"/>
      <c r="Q148" s="91"/>
      <c r="R148" s="91"/>
      <c r="S148" s="91"/>
      <c r="T148" s="91"/>
      <c r="U148" s="91"/>
      <c r="V148" s="92"/>
      <c r="W148" s="92"/>
      <c r="X148" s="93"/>
      <c r="Y148" s="93"/>
      <c r="Z148" s="93"/>
      <c r="AA148" s="4"/>
      <c r="AB148" s="5"/>
    </row>
    <row r="149" spans="1:28" x14ac:dyDescent="0.2">
      <c r="A149" s="4"/>
      <c r="B149" s="94"/>
      <c r="C149" s="94"/>
      <c r="D149" s="94"/>
      <c r="E149" s="94"/>
      <c r="F149" s="94"/>
      <c r="G149" s="94"/>
      <c r="H149" s="94"/>
      <c r="I149" s="94"/>
      <c r="J149" s="94"/>
      <c r="K149" s="94"/>
      <c r="L149" s="94"/>
      <c r="M149" s="94"/>
      <c r="N149" s="95"/>
      <c r="O149" s="95"/>
      <c r="P149" s="95"/>
      <c r="Q149" s="95"/>
      <c r="R149" s="95"/>
      <c r="S149" s="95"/>
      <c r="T149" s="95"/>
      <c r="U149" s="95"/>
      <c r="V149" s="96"/>
      <c r="W149" s="96"/>
      <c r="X149" s="97"/>
      <c r="Y149" s="97"/>
      <c r="Z149" s="97"/>
      <c r="AA149" s="4"/>
      <c r="AB149" s="5"/>
    </row>
    <row r="150" spans="1:28" x14ac:dyDescent="0.2">
      <c r="A150" s="4"/>
      <c r="B150" s="90"/>
      <c r="C150" s="90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91"/>
      <c r="O150" s="91"/>
      <c r="P150" s="91"/>
      <c r="Q150" s="91"/>
      <c r="R150" s="91"/>
      <c r="S150" s="91"/>
      <c r="T150" s="91"/>
      <c r="U150" s="91"/>
      <c r="V150" s="92"/>
      <c r="W150" s="92"/>
      <c r="X150" s="93"/>
      <c r="Y150" s="93"/>
      <c r="Z150" s="93"/>
      <c r="AA150" s="4"/>
      <c r="AB150" s="5"/>
    </row>
    <row r="151" spans="1:28" x14ac:dyDescent="0.2">
      <c r="A151" s="4"/>
      <c r="B151" s="94"/>
      <c r="C151" s="94"/>
      <c r="D151" s="94"/>
      <c r="E151" s="94"/>
      <c r="F151" s="94"/>
      <c r="G151" s="94"/>
      <c r="H151" s="94"/>
      <c r="I151" s="94"/>
      <c r="J151" s="94"/>
      <c r="K151" s="94"/>
      <c r="L151" s="94"/>
      <c r="M151" s="94"/>
      <c r="N151" s="95"/>
      <c r="O151" s="95"/>
      <c r="P151" s="95"/>
      <c r="Q151" s="95"/>
      <c r="R151" s="95"/>
      <c r="S151" s="95"/>
      <c r="T151" s="95"/>
      <c r="U151" s="95"/>
      <c r="V151" s="96"/>
      <c r="W151" s="96"/>
      <c r="X151" s="97"/>
      <c r="Y151" s="97"/>
      <c r="Z151" s="97"/>
      <c r="AA151" s="4"/>
      <c r="AB151" s="5"/>
    </row>
    <row r="152" spans="1:28" x14ac:dyDescent="0.2">
      <c r="A152" s="4"/>
      <c r="B152" s="90"/>
      <c r="C152" s="90"/>
      <c r="D152" s="90"/>
      <c r="E152" s="90"/>
      <c r="F152" s="90"/>
      <c r="G152" s="90"/>
      <c r="H152" s="90"/>
      <c r="I152" s="90"/>
      <c r="J152" s="90"/>
      <c r="K152" s="90"/>
      <c r="L152" s="90"/>
      <c r="M152" s="90"/>
      <c r="N152" s="91"/>
      <c r="O152" s="91"/>
      <c r="P152" s="91"/>
      <c r="Q152" s="91"/>
      <c r="R152" s="91"/>
      <c r="S152" s="91"/>
      <c r="T152" s="91"/>
      <c r="U152" s="91"/>
      <c r="V152" s="92"/>
      <c r="W152" s="92"/>
      <c r="X152" s="93"/>
      <c r="Y152" s="93"/>
      <c r="Z152" s="93"/>
      <c r="AA152" s="4"/>
      <c r="AB152" s="5"/>
    </row>
    <row r="153" spans="1:28" x14ac:dyDescent="0.2">
      <c r="A153" s="4"/>
      <c r="B153" s="94"/>
      <c r="C153" s="94"/>
      <c r="D153" s="94"/>
      <c r="E153" s="94"/>
      <c r="F153" s="94"/>
      <c r="G153" s="94"/>
      <c r="H153" s="94"/>
      <c r="I153" s="94"/>
      <c r="J153" s="94"/>
      <c r="K153" s="94"/>
      <c r="L153" s="94"/>
      <c r="M153" s="94"/>
      <c r="N153" s="95"/>
      <c r="O153" s="95"/>
      <c r="P153" s="95"/>
      <c r="Q153" s="95"/>
      <c r="R153" s="95"/>
      <c r="S153" s="95"/>
      <c r="T153" s="95"/>
      <c r="U153" s="95"/>
      <c r="V153" s="96"/>
      <c r="W153" s="96"/>
      <c r="X153" s="97"/>
      <c r="Y153" s="97"/>
      <c r="Z153" s="97"/>
      <c r="AA153" s="4"/>
      <c r="AB153" s="5"/>
    </row>
    <row r="154" spans="1:28" x14ac:dyDescent="0.2">
      <c r="A154" s="4"/>
      <c r="B154" s="90"/>
      <c r="C154" s="90"/>
      <c r="D154" s="90"/>
      <c r="E154" s="90"/>
      <c r="F154" s="90"/>
      <c r="G154" s="90"/>
      <c r="H154" s="90"/>
      <c r="I154" s="90"/>
      <c r="J154" s="90"/>
      <c r="K154" s="90"/>
      <c r="L154" s="90"/>
      <c r="M154" s="90"/>
      <c r="N154" s="91"/>
      <c r="O154" s="91"/>
      <c r="P154" s="91"/>
      <c r="Q154" s="91"/>
      <c r="R154" s="91"/>
      <c r="S154" s="91"/>
      <c r="T154" s="91"/>
      <c r="U154" s="91"/>
      <c r="V154" s="92"/>
      <c r="W154" s="92"/>
      <c r="X154" s="93"/>
      <c r="Y154" s="93"/>
      <c r="Z154" s="93"/>
      <c r="AA154" s="4"/>
      <c r="AB154" s="5"/>
    </row>
    <row r="155" spans="1:28" x14ac:dyDescent="0.2">
      <c r="A155" s="4"/>
      <c r="B155" s="94"/>
      <c r="C155" s="94"/>
      <c r="D155" s="94"/>
      <c r="E155" s="94"/>
      <c r="F155" s="94"/>
      <c r="G155" s="94"/>
      <c r="H155" s="94"/>
      <c r="I155" s="94"/>
      <c r="J155" s="94"/>
      <c r="K155" s="94"/>
      <c r="L155" s="94"/>
      <c r="M155" s="94"/>
      <c r="N155" s="95"/>
      <c r="O155" s="95"/>
      <c r="P155" s="95"/>
      <c r="Q155" s="95"/>
      <c r="R155" s="95"/>
      <c r="S155" s="95"/>
      <c r="T155" s="95"/>
      <c r="U155" s="95"/>
      <c r="V155" s="96"/>
      <c r="W155" s="96"/>
      <c r="X155" s="97"/>
      <c r="Y155" s="97"/>
      <c r="Z155" s="97"/>
      <c r="AA155" s="4"/>
      <c r="AB155" s="5"/>
    </row>
    <row r="156" spans="1:28" x14ac:dyDescent="0.2">
      <c r="A156" s="4"/>
      <c r="B156" s="90"/>
      <c r="C156" s="90"/>
      <c r="D156" s="90"/>
      <c r="E156" s="90"/>
      <c r="F156" s="90"/>
      <c r="G156" s="90"/>
      <c r="H156" s="90"/>
      <c r="I156" s="90"/>
      <c r="J156" s="90"/>
      <c r="K156" s="90"/>
      <c r="L156" s="90"/>
      <c r="M156" s="90"/>
      <c r="N156" s="91"/>
      <c r="O156" s="91"/>
      <c r="P156" s="91"/>
      <c r="Q156" s="91"/>
      <c r="R156" s="91"/>
      <c r="S156" s="91"/>
      <c r="T156" s="91"/>
      <c r="U156" s="91"/>
      <c r="V156" s="92"/>
      <c r="W156" s="92"/>
      <c r="X156" s="93"/>
      <c r="Y156" s="93"/>
      <c r="Z156" s="93"/>
      <c r="AA156" s="4"/>
      <c r="AB156" s="5"/>
    </row>
    <row r="157" spans="1:28" x14ac:dyDescent="0.2">
      <c r="A157" s="4"/>
      <c r="B157" s="94"/>
      <c r="C157" s="94"/>
      <c r="D157" s="94"/>
      <c r="E157" s="94"/>
      <c r="F157" s="94"/>
      <c r="G157" s="94"/>
      <c r="H157" s="94"/>
      <c r="I157" s="94"/>
      <c r="J157" s="94"/>
      <c r="K157" s="94"/>
      <c r="L157" s="94"/>
      <c r="M157" s="94"/>
      <c r="N157" s="95"/>
      <c r="O157" s="95"/>
      <c r="P157" s="95"/>
      <c r="Q157" s="95"/>
      <c r="R157" s="95"/>
      <c r="S157" s="95"/>
      <c r="T157" s="95"/>
      <c r="U157" s="95"/>
      <c r="V157" s="96"/>
      <c r="W157" s="96"/>
      <c r="X157" s="97"/>
      <c r="Y157" s="97"/>
      <c r="Z157" s="97"/>
      <c r="AA157" s="4"/>
      <c r="AB157" s="5"/>
    </row>
    <row r="158" spans="1:28" x14ac:dyDescent="0.2">
      <c r="A158" s="4"/>
      <c r="B158" s="90"/>
      <c r="C158" s="90"/>
      <c r="D158" s="90"/>
      <c r="E158" s="90"/>
      <c r="F158" s="90"/>
      <c r="G158" s="90"/>
      <c r="H158" s="90"/>
      <c r="I158" s="90"/>
      <c r="J158" s="90"/>
      <c r="K158" s="90"/>
      <c r="L158" s="90"/>
      <c r="M158" s="90"/>
      <c r="N158" s="91"/>
      <c r="O158" s="91"/>
      <c r="P158" s="91"/>
      <c r="Q158" s="91"/>
      <c r="R158" s="91"/>
      <c r="S158" s="91"/>
      <c r="T158" s="91"/>
      <c r="U158" s="91"/>
      <c r="V158" s="92"/>
      <c r="W158" s="92"/>
      <c r="X158" s="93"/>
      <c r="Y158" s="93"/>
      <c r="Z158" s="93"/>
      <c r="AA158" s="4"/>
      <c r="AB158" s="5"/>
    </row>
    <row r="159" spans="1:28" x14ac:dyDescent="0.2">
      <c r="A159" s="4"/>
      <c r="B159" s="94"/>
      <c r="C159" s="94"/>
      <c r="D159" s="94"/>
      <c r="E159" s="94"/>
      <c r="F159" s="94"/>
      <c r="G159" s="94"/>
      <c r="H159" s="94"/>
      <c r="I159" s="94"/>
      <c r="J159" s="94"/>
      <c r="K159" s="94"/>
      <c r="L159" s="94"/>
      <c r="M159" s="94"/>
      <c r="N159" s="95"/>
      <c r="O159" s="95"/>
      <c r="P159" s="95"/>
      <c r="Q159" s="95"/>
      <c r="R159" s="95"/>
      <c r="S159" s="95"/>
      <c r="T159" s="95"/>
      <c r="U159" s="95"/>
      <c r="V159" s="96"/>
      <c r="W159" s="96"/>
      <c r="X159" s="97"/>
      <c r="Y159" s="97"/>
      <c r="Z159" s="97"/>
      <c r="AA159" s="4"/>
      <c r="AB159" s="5"/>
    </row>
    <row r="160" spans="1:28" x14ac:dyDescent="0.2">
      <c r="A160" s="4"/>
      <c r="B160" s="90"/>
      <c r="C160" s="90"/>
      <c r="D160" s="90"/>
      <c r="E160" s="90"/>
      <c r="F160" s="90"/>
      <c r="G160" s="90"/>
      <c r="H160" s="90"/>
      <c r="I160" s="90"/>
      <c r="J160" s="90"/>
      <c r="K160" s="90"/>
      <c r="L160" s="90"/>
      <c r="M160" s="90"/>
      <c r="N160" s="91"/>
      <c r="O160" s="91"/>
      <c r="P160" s="91"/>
      <c r="Q160" s="91"/>
      <c r="R160" s="91"/>
      <c r="S160" s="91"/>
      <c r="T160" s="91"/>
      <c r="U160" s="91"/>
      <c r="V160" s="92"/>
      <c r="W160" s="92"/>
      <c r="X160" s="93"/>
      <c r="Y160" s="93"/>
      <c r="Z160" s="93"/>
      <c r="AA160" s="4"/>
      <c r="AB160" s="5"/>
    </row>
    <row r="161" spans="1:28" x14ac:dyDescent="0.2">
      <c r="A161" s="4"/>
      <c r="B161" s="94"/>
      <c r="C161" s="94"/>
      <c r="D161" s="94"/>
      <c r="E161" s="94"/>
      <c r="F161" s="94"/>
      <c r="G161" s="94"/>
      <c r="H161" s="94"/>
      <c r="I161" s="94"/>
      <c r="J161" s="94"/>
      <c r="K161" s="94"/>
      <c r="L161" s="94"/>
      <c r="M161" s="94"/>
      <c r="N161" s="95"/>
      <c r="O161" s="95"/>
      <c r="P161" s="95"/>
      <c r="Q161" s="95"/>
      <c r="R161" s="95"/>
      <c r="S161" s="95"/>
      <c r="T161" s="95"/>
      <c r="U161" s="95"/>
      <c r="V161" s="96"/>
      <c r="W161" s="96"/>
      <c r="X161" s="97"/>
      <c r="Y161" s="97"/>
      <c r="Z161" s="97"/>
      <c r="AA161" s="4"/>
      <c r="AB161" s="5"/>
    </row>
    <row r="162" spans="1:28" x14ac:dyDescent="0.2">
      <c r="A162" s="4"/>
      <c r="B162" s="90"/>
      <c r="C162" s="90"/>
      <c r="D162" s="90"/>
      <c r="E162" s="90"/>
      <c r="F162" s="90"/>
      <c r="G162" s="90"/>
      <c r="H162" s="90"/>
      <c r="I162" s="90"/>
      <c r="J162" s="90"/>
      <c r="K162" s="90"/>
      <c r="L162" s="90"/>
      <c r="M162" s="90"/>
      <c r="N162" s="91"/>
      <c r="O162" s="91"/>
      <c r="P162" s="91"/>
      <c r="Q162" s="91"/>
      <c r="R162" s="91"/>
      <c r="S162" s="91"/>
      <c r="T162" s="91"/>
      <c r="U162" s="91"/>
      <c r="V162" s="92"/>
      <c r="W162" s="92"/>
      <c r="X162" s="93"/>
      <c r="Y162" s="93"/>
      <c r="Z162" s="93"/>
      <c r="AA162" s="4"/>
      <c r="AB162" s="5"/>
    </row>
    <row r="163" spans="1:28" x14ac:dyDescent="0.2">
      <c r="A163" s="4"/>
      <c r="B163" s="94"/>
      <c r="C163" s="94"/>
      <c r="D163" s="94"/>
      <c r="E163" s="94"/>
      <c r="F163" s="94"/>
      <c r="G163" s="94"/>
      <c r="H163" s="94"/>
      <c r="I163" s="94"/>
      <c r="J163" s="94"/>
      <c r="K163" s="94"/>
      <c r="L163" s="94"/>
      <c r="M163" s="94"/>
      <c r="N163" s="95"/>
      <c r="O163" s="95"/>
      <c r="P163" s="95"/>
      <c r="Q163" s="95"/>
      <c r="R163" s="95"/>
      <c r="S163" s="95"/>
      <c r="T163" s="95"/>
      <c r="U163" s="95"/>
      <c r="V163" s="96"/>
      <c r="W163" s="96"/>
      <c r="X163" s="97"/>
      <c r="Y163" s="97"/>
      <c r="Z163" s="97"/>
      <c r="AA163" s="4"/>
      <c r="AB163" s="5"/>
    </row>
    <row r="164" spans="1:28" x14ac:dyDescent="0.2">
      <c r="A164" s="4"/>
      <c r="B164" s="90"/>
      <c r="C164" s="90"/>
      <c r="D164" s="90"/>
      <c r="E164" s="90"/>
      <c r="F164" s="90"/>
      <c r="G164" s="90"/>
      <c r="H164" s="90"/>
      <c r="I164" s="90"/>
      <c r="J164" s="90"/>
      <c r="K164" s="90"/>
      <c r="L164" s="90"/>
      <c r="M164" s="90"/>
      <c r="N164" s="91"/>
      <c r="O164" s="91"/>
      <c r="P164" s="91"/>
      <c r="Q164" s="91"/>
      <c r="R164" s="91"/>
      <c r="S164" s="91"/>
      <c r="T164" s="91"/>
      <c r="U164" s="91"/>
      <c r="V164" s="92"/>
      <c r="W164" s="92"/>
      <c r="X164" s="93"/>
      <c r="Y164" s="93"/>
      <c r="Z164" s="93"/>
      <c r="AA164" s="4"/>
      <c r="AB164" s="5"/>
    </row>
    <row r="165" spans="1:28" x14ac:dyDescent="0.2">
      <c r="A165" s="4"/>
      <c r="B165" s="94"/>
      <c r="C165" s="94"/>
      <c r="D165" s="94"/>
      <c r="E165" s="94"/>
      <c r="F165" s="94"/>
      <c r="G165" s="94"/>
      <c r="H165" s="94"/>
      <c r="I165" s="94"/>
      <c r="J165" s="94"/>
      <c r="K165" s="94"/>
      <c r="L165" s="94"/>
      <c r="M165" s="94"/>
      <c r="N165" s="95"/>
      <c r="O165" s="95"/>
      <c r="P165" s="95"/>
      <c r="Q165" s="95"/>
      <c r="R165" s="95"/>
      <c r="S165" s="95"/>
      <c r="T165" s="95"/>
      <c r="U165" s="95"/>
      <c r="V165" s="96"/>
      <c r="W165" s="96"/>
      <c r="X165" s="97"/>
      <c r="Y165" s="97"/>
      <c r="Z165" s="97"/>
      <c r="AA165" s="4"/>
      <c r="AB165" s="5"/>
    </row>
    <row r="166" spans="1:28" x14ac:dyDescent="0.2">
      <c r="A166" s="4"/>
      <c r="B166" s="90"/>
      <c r="C166" s="90"/>
      <c r="D166" s="90"/>
      <c r="E166" s="90"/>
      <c r="F166" s="90"/>
      <c r="G166" s="90"/>
      <c r="H166" s="90"/>
      <c r="I166" s="90"/>
      <c r="J166" s="90"/>
      <c r="K166" s="90"/>
      <c r="L166" s="90"/>
      <c r="M166" s="90"/>
      <c r="N166" s="91"/>
      <c r="O166" s="91"/>
      <c r="P166" s="91"/>
      <c r="Q166" s="91"/>
      <c r="R166" s="91"/>
      <c r="S166" s="91"/>
      <c r="T166" s="91"/>
      <c r="U166" s="91"/>
      <c r="V166" s="92"/>
      <c r="W166" s="92"/>
      <c r="X166" s="93"/>
      <c r="Y166" s="93"/>
      <c r="Z166" s="93"/>
      <c r="AA166" s="4"/>
      <c r="AB166" s="5"/>
    </row>
    <row r="167" spans="1:28" x14ac:dyDescent="0.2">
      <c r="A167" s="4"/>
      <c r="B167" s="94"/>
      <c r="C167" s="94"/>
      <c r="D167" s="94"/>
      <c r="E167" s="94"/>
      <c r="F167" s="94"/>
      <c r="G167" s="94"/>
      <c r="H167" s="94"/>
      <c r="I167" s="94"/>
      <c r="J167" s="94"/>
      <c r="K167" s="94"/>
      <c r="L167" s="94"/>
      <c r="M167" s="94"/>
      <c r="N167" s="95"/>
      <c r="O167" s="95"/>
      <c r="P167" s="95"/>
      <c r="Q167" s="95"/>
      <c r="R167" s="95"/>
      <c r="S167" s="95"/>
      <c r="T167" s="95"/>
      <c r="U167" s="95"/>
      <c r="V167" s="96"/>
      <c r="W167" s="96"/>
      <c r="X167" s="97"/>
      <c r="Y167" s="97"/>
      <c r="Z167" s="97"/>
      <c r="AA167" s="4"/>
      <c r="AB167" s="5"/>
    </row>
    <row r="168" spans="1:28" x14ac:dyDescent="0.2">
      <c r="A168" s="4"/>
      <c r="B168" s="90"/>
      <c r="C168" s="90"/>
      <c r="D168" s="90"/>
      <c r="E168" s="90"/>
      <c r="F168" s="90"/>
      <c r="G168" s="90"/>
      <c r="H168" s="90"/>
      <c r="I168" s="90"/>
      <c r="J168" s="90"/>
      <c r="K168" s="90"/>
      <c r="L168" s="90"/>
      <c r="M168" s="90"/>
      <c r="N168" s="91"/>
      <c r="O168" s="91"/>
      <c r="P168" s="91"/>
      <c r="Q168" s="91"/>
      <c r="R168" s="91"/>
      <c r="S168" s="91"/>
      <c r="T168" s="91"/>
      <c r="U168" s="91"/>
      <c r="V168" s="92"/>
      <c r="W168" s="92"/>
      <c r="X168" s="93"/>
      <c r="Y168" s="93"/>
      <c r="Z168" s="93"/>
      <c r="AA168" s="4"/>
      <c r="AB168" s="5"/>
    </row>
    <row r="169" spans="1:28" x14ac:dyDescent="0.2">
      <c r="A169" s="4"/>
      <c r="B169" s="94"/>
      <c r="C169" s="94"/>
      <c r="D169" s="94"/>
      <c r="E169" s="94"/>
      <c r="F169" s="94"/>
      <c r="G169" s="94"/>
      <c r="H169" s="94"/>
      <c r="I169" s="94"/>
      <c r="J169" s="94"/>
      <c r="K169" s="94"/>
      <c r="L169" s="94"/>
      <c r="M169" s="94"/>
      <c r="N169" s="95"/>
      <c r="O169" s="95"/>
      <c r="P169" s="95"/>
      <c r="Q169" s="95"/>
      <c r="R169" s="95"/>
      <c r="S169" s="95"/>
      <c r="T169" s="95"/>
      <c r="U169" s="95"/>
      <c r="V169" s="96"/>
      <c r="W169" s="96"/>
      <c r="X169" s="97"/>
      <c r="Y169" s="97"/>
      <c r="Z169" s="97"/>
      <c r="AA169" s="4"/>
      <c r="AB169" s="5"/>
    </row>
    <row r="170" spans="1:28" x14ac:dyDescent="0.2">
      <c r="A170" s="4"/>
      <c r="B170" s="90"/>
      <c r="C170" s="90"/>
      <c r="D170" s="90"/>
      <c r="E170" s="90"/>
      <c r="F170" s="90"/>
      <c r="G170" s="90"/>
      <c r="H170" s="90"/>
      <c r="I170" s="90"/>
      <c r="J170" s="90"/>
      <c r="K170" s="90"/>
      <c r="L170" s="90"/>
      <c r="M170" s="90"/>
      <c r="N170" s="91"/>
      <c r="O170" s="91"/>
      <c r="P170" s="91"/>
      <c r="Q170" s="91"/>
      <c r="R170" s="91"/>
      <c r="S170" s="91"/>
      <c r="T170" s="91"/>
      <c r="U170" s="91"/>
      <c r="V170" s="92"/>
      <c r="W170" s="92"/>
      <c r="X170" s="93"/>
      <c r="Y170" s="93"/>
      <c r="Z170" s="93"/>
      <c r="AA170" s="4"/>
      <c r="AB170" s="5"/>
    </row>
    <row r="171" spans="1:28" x14ac:dyDescent="0.2">
      <c r="A171" s="4"/>
      <c r="B171" s="94"/>
      <c r="C171" s="94"/>
      <c r="D171" s="94"/>
      <c r="E171" s="94"/>
      <c r="F171" s="94"/>
      <c r="G171" s="94"/>
      <c r="H171" s="94"/>
      <c r="I171" s="94"/>
      <c r="J171" s="94"/>
      <c r="K171" s="94"/>
      <c r="L171" s="94"/>
      <c r="M171" s="94"/>
      <c r="N171" s="95"/>
      <c r="O171" s="95"/>
      <c r="P171" s="95"/>
      <c r="Q171" s="95"/>
      <c r="R171" s="95"/>
      <c r="S171" s="95"/>
      <c r="T171" s="95"/>
      <c r="U171" s="95"/>
      <c r="V171" s="96"/>
      <c r="W171" s="96"/>
      <c r="X171" s="97"/>
      <c r="Y171" s="97"/>
      <c r="Z171" s="97"/>
      <c r="AA171" s="4"/>
      <c r="AB171" s="5"/>
    </row>
    <row r="172" spans="1:28" x14ac:dyDescent="0.2">
      <c r="A172" s="4"/>
      <c r="B172" s="90"/>
      <c r="C172" s="90"/>
      <c r="D172" s="90"/>
      <c r="E172" s="90"/>
      <c r="F172" s="90"/>
      <c r="G172" s="90"/>
      <c r="H172" s="90"/>
      <c r="I172" s="90"/>
      <c r="J172" s="90"/>
      <c r="K172" s="90"/>
      <c r="L172" s="90"/>
      <c r="M172" s="90"/>
      <c r="N172" s="91"/>
      <c r="O172" s="91"/>
      <c r="P172" s="91"/>
      <c r="Q172" s="91"/>
      <c r="R172" s="91"/>
      <c r="S172" s="91"/>
      <c r="T172" s="91"/>
      <c r="U172" s="91"/>
      <c r="V172" s="92"/>
      <c r="W172" s="92"/>
      <c r="X172" s="93"/>
      <c r="Y172" s="93"/>
      <c r="Z172" s="93"/>
      <c r="AA172" s="4"/>
      <c r="AB172" s="5"/>
    </row>
    <row r="173" spans="1:28" x14ac:dyDescent="0.2">
      <c r="A173" s="4"/>
      <c r="B173" s="94"/>
      <c r="C173" s="94"/>
      <c r="D173" s="94"/>
      <c r="E173" s="94"/>
      <c r="F173" s="94"/>
      <c r="G173" s="94"/>
      <c r="H173" s="94"/>
      <c r="I173" s="94"/>
      <c r="J173" s="94"/>
      <c r="K173" s="94"/>
      <c r="L173" s="94"/>
      <c r="M173" s="94"/>
      <c r="N173" s="95"/>
      <c r="O173" s="95"/>
      <c r="P173" s="95"/>
      <c r="Q173" s="95"/>
      <c r="R173" s="95"/>
      <c r="S173" s="95"/>
      <c r="T173" s="95"/>
      <c r="U173" s="95"/>
      <c r="V173" s="96"/>
      <c r="W173" s="96"/>
      <c r="X173" s="97"/>
      <c r="Y173" s="97"/>
      <c r="Z173" s="97"/>
      <c r="AA173" s="4"/>
      <c r="AB173" s="5"/>
    </row>
    <row r="174" spans="1:28" x14ac:dyDescent="0.2">
      <c r="A174" s="4"/>
      <c r="B174" s="90"/>
      <c r="C174" s="90"/>
      <c r="D174" s="90"/>
      <c r="E174" s="90"/>
      <c r="F174" s="90"/>
      <c r="G174" s="90"/>
      <c r="H174" s="90"/>
      <c r="I174" s="90"/>
      <c r="J174" s="90"/>
      <c r="K174" s="90"/>
      <c r="L174" s="90"/>
      <c r="M174" s="90"/>
      <c r="N174" s="91"/>
      <c r="O174" s="91"/>
      <c r="P174" s="91"/>
      <c r="Q174" s="91"/>
      <c r="R174" s="91"/>
      <c r="S174" s="91"/>
      <c r="T174" s="91"/>
      <c r="U174" s="91"/>
      <c r="V174" s="92"/>
      <c r="W174" s="92"/>
      <c r="X174" s="93"/>
      <c r="Y174" s="93"/>
      <c r="Z174" s="93"/>
      <c r="AA174" s="4"/>
      <c r="AB174" s="5"/>
    </row>
    <row r="175" spans="1:28" x14ac:dyDescent="0.2">
      <c r="A175" s="4"/>
      <c r="B175" s="94"/>
      <c r="C175" s="94"/>
      <c r="D175" s="94"/>
      <c r="E175" s="94"/>
      <c r="F175" s="94"/>
      <c r="G175" s="94"/>
      <c r="H175" s="94"/>
      <c r="I175" s="94"/>
      <c r="J175" s="94"/>
      <c r="K175" s="94"/>
      <c r="L175" s="94"/>
      <c r="M175" s="94"/>
      <c r="N175" s="95"/>
      <c r="O175" s="95"/>
      <c r="P175" s="95"/>
      <c r="Q175" s="95"/>
      <c r="R175" s="95"/>
      <c r="S175" s="95"/>
      <c r="T175" s="95"/>
      <c r="U175" s="95"/>
      <c r="V175" s="96"/>
      <c r="W175" s="96"/>
      <c r="X175" s="97"/>
      <c r="Y175" s="97"/>
      <c r="Z175" s="97"/>
      <c r="AA175" s="4"/>
      <c r="AB175" s="5"/>
    </row>
    <row r="176" spans="1:28" x14ac:dyDescent="0.2">
      <c r="A176" s="4"/>
      <c r="B176" s="90"/>
      <c r="C176" s="90"/>
      <c r="D176" s="90"/>
      <c r="E176" s="90"/>
      <c r="F176" s="90"/>
      <c r="G176" s="90"/>
      <c r="H176" s="90"/>
      <c r="I176" s="90"/>
      <c r="J176" s="90"/>
      <c r="K176" s="90"/>
      <c r="L176" s="90"/>
      <c r="M176" s="90"/>
      <c r="N176" s="91"/>
      <c r="O176" s="91"/>
      <c r="P176" s="91"/>
      <c r="Q176" s="91"/>
      <c r="R176" s="91"/>
      <c r="S176" s="91"/>
      <c r="T176" s="91"/>
      <c r="U176" s="91"/>
      <c r="V176" s="92"/>
      <c r="W176" s="92"/>
      <c r="X176" s="93"/>
      <c r="Y176" s="93"/>
      <c r="Z176" s="93"/>
      <c r="AA176" s="4"/>
      <c r="AB176" s="5"/>
    </row>
    <row r="177" spans="1:28" x14ac:dyDescent="0.2">
      <c r="A177" s="4"/>
      <c r="B177" s="94"/>
      <c r="C177" s="94"/>
      <c r="D177" s="94"/>
      <c r="E177" s="94"/>
      <c r="F177" s="94"/>
      <c r="G177" s="94"/>
      <c r="H177" s="94"/>
      <c r="I177" s="94"/>
      <c r="J177" s="94"/>
      <c r="K177" s="94"/>
      <c r="L177" s="94"/>
      <c r="M177" s="94"/>
      <c r="N177" s="95"/>
      <c r="O177" s="95"/>
      <c r="P177" s="95"/>
      <c r="Q177" s="95"/>
      <c r="R177" s="95"/>
      <c r="S177" s="95"/>
      <c r="T177" s="95"/>
      <c r="U177" s="95"/>
      <c r="V177" s="96"/>
      <c r="W177" s="96"/>
      <c r="X177" s="97"/>
      <c r="Y177" s="97"/>
      <c r="Z177" s="97"/>
      <c r="AA177" s="4"/>
      <c r="AB177" s="5"/>
    </row>
    <row r="178" spans="1:28" x14ac:dyDescent="0.2">
      <c r="A178" s="4"/>
      <c r="B178" s="90"/>
      <c r="C178" s="90"/>
      <c r="D178" s="90"/>
      <c r="E178" s="90"/>
      <c r="F178" s="90"/>
      <c r="G178" s="90"/>
      <c r="H178" s="90"/>
      <c r="I178" s="90"/>
      <c r="J178" s="90"/>
      <c r="K178" s="90"/>
      <c r="L178" s="90"/>
      <c r="M178" s="90"/>
      <c r="N178" s="91"/>
      <c r="O178" s="91"/>
      <c r="P178" s="91"/>
      <c r="Q178" s="91"/>
      <c r="R178" s="91"/>
      <c r="S178" s="91"/>
      <c r="T178" s="91"/>
      <c r="U178" s="91"/>
      <c r="V178" s="92"/>
      <c r="W178" s="92"/>
      <c r="X178" s="93"/>
      <c r="Y178" s="93"/>
      <c r="Z178" s="93"/>
      <c r="AA178" s="4"/>
      <c r="AB178" s="5"/>
    </row>
    <row r="179" spans="1:28" x14ac:dyDescent="0.2">
      <c r="A179" s="4"/>
      <c r="B179" s="94"/>
      <c r="C179" s="94"/>
      <c r="D179" s="94"/>
      <c r="E179" s="94"/>
      <c r="F179" s="94"/>
      <c r="G179" s="94"/>
      <c r="H179" s="94"/>
      <c r="I179" s="94"/>
      <c r="J179" s="94"/>
      <c r="K179" s="94"/>
      <c r="L179" s="94"/>
      <c r="M179" s="94"/>
      <c r="N179" s="95"/>
      <c r="O179" s="95"/>
      <c r="P179" s="95"/>
      <c r="Q179" s="95"/>
      <c r="R179" s="95"/>
      <c r="S179" s="95"/>
      <c r="T179" s="95"/>
      <c r="U179" s="95"/>
      <c r="V179" s="96"/>
      <c r="W179" s="96"/>
      <c r="X179" s="97"/>
      <c r="Y179" s="97"/>
      <c r="Z179" s="97"/>
      <c r="AA179" s="4"/>
      <c r="AB179" s="5"/>
    </row>
    <row r="180" spans="1:28" x14ac:dyDescent="0.2">
      <c r="A180" s="4"/>
      <c r="B180" s="90"/>
      <c r="C180" s="90"/>
      <c r="D180" s="90"/>
      <c r="E180" s="90"/>
      <c r="F180" s="90"/>
      <c r="G180" s="90"/>
      <c r="H180" s="90"/>
      <c r="I180" s="90"/>
      <c r="J180" s="90"/>
      <c r="K180" s="90"/>
      <c r="L180" s="90"/>
      <c r="M180" s="90"/>
      <c r="N180" s="91"/>
      <c r="O180" s="91"/>
      <c r="P180" s="91"/>
      <c r="Q180" s="91"/>
      <c r="R180" s="91"/>
      <c r="S180" s="91"/>
      <c r="T180" s="91"/>
      <c r="U180" s="91"/>
      <c r="V180" s="92"/>
      <c r="W180" s="92"/>
      <c r="X180" s="93"/>
      <c r="Y180" s="93"/>
      <c r="Z180" s="93"/>
      <c r="AA180" s="4"/>
      <c r="AB180" s="5"/>
    </row>
    <row r="181" spans="1:28" x14ac:dyDescent="0.2">
      <c r="A181" s="4"/>
      <c r="B181" s="94"/>
      <c r="C181" s="94"/>
      <c r="D181" s="94"/>
      <c r="E181" s="94"/>
      <c r="F181" s="94"/>
      <c r="G181" s="94"/>
      <c r="H181" s="94"/>
      <c r="I181" s="94"/>
      <c r="J181" s="94"/>
      <c r="K181" s="94"/>
      <c r="L181" s="94"/>
      <c r="M181" s="94"/>
      <c r="N181" s="95"/>
      <c r="O181" s="95"/>
      <c r="P181" s="95"/>
      <c r="Q181" s="95"/>
      <c r="R181" s="95"/>
      <c r="S181" s="95"/>
      <c r="T181" s="95"/>
      <c r="U181" s="95"/>
      <c r="V181" s="96"/>
      <c r="W181" s="96"/>
      <c r="X181" s="97"/>
      <c r="Y181" s="97"/>
      <c r="Z181" s="97"/>
      <c r="AA181" s="4"/>
      <c r="AB181" s="5"/>
    </row>
    <row r="182" spans="1:28" x14ac:dyDescent="0.2">
      <c r="A182" s="4"/>
      <c r="B182" s="90"/>
      <c r="C182" s="90"/>
      <c r="D182" s="90"/>
      <c r="E182" s="90"/>
      <c r="F182" s="90"/>
      <c r="G182" s="90"/>
      <c r="H182" s="90"/>
      <c r="I182" s="90"/>
      <c r="J182" s="90"/>
      <c r="K182" s="90"/>
      <c r="L182" s="90"/>
      <c r="M182" s="90"/>
      <c r="N182" s="91"/>
      <c r="O182" s="91"/>
      <c r="P182" s="91"/>
      <c r="Q182" s="91"/>
      <c r="R182" s="91"/>
      <c r="S182" s="91"/>
      <c r="T182" s="91"/>
      <c r="U182" s="91"/>
      <c r="V182" s="92"/>
      <c r="W182" s="92"/>
      <c r="X182" s="93"/>
      <c r="Y182" s="93"/>
      <c r="Z182" s="93"/>
      <c r="AA182" s="4"/>
      <c r="AB182" s="5"/>
    </row>
    <row r="183" spans="1:28" x14ac:dyDescent="0.2">
      <c r="A183" s="4"/>
      <c r="B183" s="94"/>
      <c r="C183" s="94"/>
      <c r="D183" s="94"/>
      <c r="E183" s="94"/>
      <c r="F183" s="94"/>
      <c r="G183" s="94"/>
      <c r="H183" s="94"/>
      <c r="I183" s="94"/>
      <c r="J183" s="94"/>
      <c r="K183" s="94"/>
      <c r="L183" s="94"/>
      <c r="M183" s="94"/>
      <c r="N183" s="95"/>
      <c r="O183" s="95"/>
      <c r="P183" s="95"/>
      <c r="Q183" s="95"/>
      <c r="R183" s="95"/>
      <c r="S183" s="95"/>
      <c r="T183" s="95"/>
      <c r="U183" s="95"/>
      <c r="V183" s="96"/>
      <c r="W183" s="96"/>
      <c r="X183" s="97"/>
      <c r="Y183" s="97"/>
      <c r="Z183" s="97"/>
      <c r="AA183" s="4"/>
      <c r="AB183" s="5"/>
    </row>
    <row r="184" spans="1:28" x14ac:dyDescent="0.2">
      <c r="A184" s="4"/>
      <c r="B184" s="90"/>
      <c r="C184" s="90"/>
      <c r="D184" s="90"/>
      <c r="E184" s="90"/>
      <c r="F184" s="90"/>
      <c r="G184" s="90"/>
      <c r="H184" s="90"/>
      <c r="I184" s="90"/>
      <c r="J184" s="90"/>
      <c r="K184" s="90"/>
      <c r="L184" s="90"/>
      <c r="M184" s="90"/>
      <c r="N184" s="91"/>
      <c r="O184" s="91"/>
      <c r="P184" s="91"/>
      <c r="Q184" s="91"/>
      <c r="R184" s="91"/>
      <c r="S184" s="91"/>
      <c r="T184" s="91"/>
      <c r="U184" s="91"/>
      <c r="V184" s="92"/>
      <c r="W184" s="92"/>
      <c r="X184" s="93"/>
      <c r="Y184" s="93"/>
      <c r="Z184" s="93"/>
      <c r="AA184" s="4"/>
      <c r="AB184" s="5"/>
    </row>
    <row r="185" spans="1:28" x14ac:dyDescent="0.2">
      <c r="A185" s="4"/>
      <c r="B185" s="94"/>
      <c r="C185" s="94"/>
      <c r="D185" s="94"/>
      <c r="E185" s="94"/>
      <c r="F185" s="94"/>
      <c r="G185" s="94"/>
      <c r="H185" s="94"/>
      <c r="I185" s="94"/>
      <c r="J185" s="94"/>
      <c r="K185" s="94"/>
      <c r="L185" s="94"/>
      <c r="M185" s="94"/>
      <c r="N185" s="95"/>
      <c r="O185" s="95"/>
      <c r="P185" s="95"/>
      <c r="Q185" s="95"/>
      <c r="R185" s="95"/>
      <c r="S185" s="95"/>
      <c r="T185" s="95"/>
      <c r="U185" s="95"/>
      <c r="V185" s="96"/>
      <c r="W185" s="96"/>
      <c r="X185" s="97"/>
      <c r="Y185" s="97"/>
      <c r="Z185" s="97"/>
      <c r="AA185" s="4"/>
      <c r="AB185" s="5"/>
    </row>
    <row r="186" spans="1:28" x14ac:dyDescent="0.2">
      <c r="A186" s="4"/>
      <c r="B186" s="90"/>
      <c r="C186" s="90"/>
      <c r="D186" s="90"/>
      <c r="E186" s="90"/>
      <c r="F186" s="90"/>
      <c r="G186" s="90"/>
      <c r="H186" s="90"/>
      <c r="I186" s="90"/>
      <c r="J186" s="90"/>
      <c r="K186" s="90"/>
      <c r="L186" s="90"/>
      <c r="M186" s="90"/>
      <c r="N186" s="91"/>
      <c r="O186" s="91"/>
      <c r="P186" s="91"/>
      <c r="Q186" s="91"/>
      <c r="R186" s="91"/>
      <c r="S186" s="91"/>
      <c r="T186" s="91"/>
      <c r="U186" s="91"/>
      <c r="V186" s="92"/>
      <c r="W186" s="92"/>
      <c r="X186" s="93"/>
      <c r="Y186" s="93"/>
      <c r="Z186" s="93"/>
      <c r="AA186" s="4"/>
      <c r="AB186" s="5"/>
    </row>
    <row r="187" spans="1:28" x14ac:dyDescent="0.2">
      <c r="A187" s="4"/>
      <c r="B187" s="94"/>
      <c r="C187" s="94"/>
      <c r="D187" s="94"/>
      <c r="E187" s="94"/>
      <c r="F187" s="94"/>
      <c r="G187" s="94"/>
      <c r="H187" s="94"/>
      <c r="I187" s="94"/>
      <c r="J187" s="94"/>
      <c r="K187" s="94"/>
      <c r="L187" s="94"/>
      <c r="M187" s="94"/>
      <c r="N187" s="95"/>
      <c r="O187" s="95"/>
      <c r="P187" s="95"/>
      <c r="Q187" s="95"/>
      <c r="R187" s="95"/>
      <c r="S187" s="95"/>
      <c r="T187" s="95"/>
      <c r="U187" s="95"/>
      <c r="V187" s="96"/>
      <c r="W187" s="96"/>
      <c r="X187" s="97"/>
      <c r="Y187" s="97"/>
      <c r="Z187" s="97"/>
      <c r="AA187" s="4"/>
      <c r="AB187" s="5"/>
    </row>
    <row r="188" spans="1:28" x14ac:dyDescent="0.2">
      <c r="A188" s="4"/>
      <c r="B188" s="90"/>
      <c r="C188" s="90"/>
      <c r="D188" s="90"/>
      <c r="E188" s="90"/>
      <c r="F188" s="90"/>
      <c r="G188" s="90"/>
      <c r="H188" s="90"/>
      <c r="I188" s="90"/>
      <c r="J188" s="90"/>
      <c r="K188" s="90"/>
      <c r="L188" s="90"/>
      <c r="M188" s="90"/>
      <c r="N188" s="91"/>
      <c r="O188" s="91"/>
      <c r="P188" s="91"/>
      <c r="Q188" s="91"/>
      <c r="R188" s="91"/>
      <c r="S188" s="91"/>
      <c r="T188" s="91"/>
      <c r="U188" s="91"/>
      <c r="V188" s="92"/>
      <c r="W188" s="92"/>
      <c r="X188" s="93"/>
      <c r="Y188" s="93"/>
      <c r="Z188" s="93"/>
      <c r="AA188" s="4"/>
      <c r="AB188" s="5"/>
    </row>
    <row r="189" spans="1:28" x14ac:dyDescent="0.2">
      <c r="A189" s="4"/>
      <c r="B189" s="94"/>
      <c r="C189" s="94"/>
      <c r="D189" s="94"/>
      <c r="E189" s="94"/>
      <c r="F189" s="94"/>
      <c r="G189" s="94"/>
      <c r="H189" s="94"/>
      <c r="I189" s="94"/>
      <c r="J189" s="94"/>
      <c r="K189" s="94"/>
      <c r="L189" s="94"/>
      <c r="M189" s="94"/>
      <c r="N189" s="95"/>
      <c r="O189" s="95"/>
      <c r="P189" s="95"/>
      <c r="Q189" s="95"/>
      <c r="R189" s="95"/>
      <c r="S189" s="95"/>
      <c r="T189" s="95"/>
      <c r="U189" s="95"/>
      <c r="V189" s="96"/>
      <c r="W189" s="96"/>
      <c r="X189" s="97"/>
      <c r="Y189" s="97"/>
      <c r="Z189" s="97"/>
      <c r="AA189" s="4"/>
      <c r="AB189" s="5"/>
    </row>
    <row r="190" spans="1:28" x14ac:dyDescent="0.2">
      <c r="A190" s="4"/>
      <c r="B190" s="90"/>
      <c r="C190" s="90"/>
      <c r="D190" s="90"/>
      <c r="E190" s="90"/>
      <c r="F190" s="90"/>
      <c r="G190" s="90"/>
      <c r="H190" s="90"/>
      <c r="I190" s="90"/>
      <c r="J190" s="90"/>
      <c r="K190" s="90"/>
      <c r="L190" s="90"/>
      <c r="M190" s="90"/>
      <c r="N190" s="91"/>
      <c r="O190" s="91"/>
      <c r="P190" s="91"/>
      <c r="Q190" s="91"/>
      <c r="R190" s="91"/>
      <c r="S190" s="91"/>
      <c r="T190" s="91"/>
      <c r="U190" s="91"/>
      <c r="V190" s="92"/>
      <c r="W190" s="92"/>
      <c r="X190" s="93"/>
      <c r="Y190" s="93"/>
      <c r="Z190" s="93"/>
      <c r="AA190" s="4"/>
      <c r="AB190" s="5"/>
    </row>
    <row r="191" spans="1:28" x14ac:dyDescent="0.2">
      <c r="A191" s="4"/>
      <c r="B191" s="94"/>
      <c r="C191" s="94"/>
      <c r="D191" s="94"/>
      <c r="E191" s="94"/>
      <c r="F191" s="94"/>
      <c r="G191" s="94"/>
      <c r="H191" s="94"/>
      <c r="I191" s="94"/>
      <c r="J191" s="94"/>
      <c r="K191" s="94"/>
      <c r="L191" s="94"/>
      <c r="M191" s="94"/>
      <c r="N191" s="95"/>
      <c r="O191" s="95"/>
      <c r="P191" s="95"/>
      <c r="Q191" s="95"/>
      <c r="R191" s="95"/>
      <c r="S191" s="95"/>
      <c r="T191" s="95"/>
      <c r="U191" s="95"/>
      <c r="V191" s="96"/>
      <c r="W191" s="96"/>
      <c r="X191" s="97"/>
      <c r="Y191" s="97"/>
      <c r="Z191" s="97"/>
      <c r="AA191" s="4"/>
      <c r="AB191" s="5"/>
    </row>
    <row r="192" spans="1:28" x14ac:dyDescent="0.2">
      <c r="A192" s="4"/>
      <c r="B192" s="90"/>
      <c r="C192" s="90"/>
      <c r="D192" s="90"/>
      <c r="E192" s="90"/>
      <c r="F192" s="90"/>
      <c r="G192" s="90"/>
      <c r="H192" s="90"/>
      <c r="I192" s="90"/>
      <c r="J192" s="90"/>
      <c r="K192" s="90"/>
      <c r="L192" s="90"/>
      <c r="M192" s="90"/>
      <c r="N192" s="91"/>
      <c r="O192" s="91"/>
      <c r="P192" s="91"/>
      <c r="Q192" s="91"/>
      <c r="R192" s="91"/>
      <c r="S192" s="91"/>
      <c r="T192" s="91"/>
      <c r="U192" s="91"/>
      <c r="V192" s="92"/>
      <c r="W192" s="92"/>
      <c r="X192" s="93"/>
      <c r="Y192" s="93"/>
      <c r="Z192" s="93"/>
      <c r="AA192" s="4"/>
      <c r="AB192" s="5"/>
    </row>
    <row r="193" spans="1:28" x14ac:dyDescent="0.2">
      <c r="A193" s="4"/>
      <c r="B193" s="94"/>
      <c r="C193" s="94"/>
      <c r="D193" s="94"/>
      <c r="E193" s="94"/>
      <c r="F193" s="94"/>
      <c r="G193" s="94"/>
      <c r="H193" s="94"/>
      <c r="I193" s="94"/>
      <c r="J193" s="94"/>
      <c r="K193" s="94"/>
      <c r="L193" s="94"/>
      <c r="M193" s="94"/>
      <c r="N193" s="95"/>
      <c r="O193" s="95"/>
      <c r="P193" s="95"/>
      <c r="Q193" s="95"/>
      <c r="R193" s="95"/>
      <c r="S193" s="95"/>
      <c r="T193" s="95"/>
      <c r="U193" s="95"/>
      <c r="V193" s="96"/>
      <c r="W193" s="96"/>
      <c r="X193" s="97"/>
      <c r="Y193" s="97"/>
      <c r="Z193" s="97"/>
      <c r="AA193" s="4"/>
      <c r="AB193" s="5"/>
    </row>
    <row r="194" spans="1:28" x14ac:dyDescent="0.2">
      <c r="A194" s="4"/>
      <c r="B194" s="90"/>
      <c r="C194" s="90"/>
      <c r="D194" s="90"/>
      <c r="E194" s="90"/>
      <c r="F194" s="90"/>
      <c r="G194" s="90"/>
      <c r="H194" s="90"/>
      <c r="I194" s="90"/>
      <c r="J194" s="90"/>
      <c r="K194" s="90"/>
      <c r="L194" s="90"/>
      <c r="M194" s="90"/>
      <c r="N194" s="91"/>
      <c r="O194" s="91"/>
      <c r="P194" s="91"/>
      <c r="Q194" s="91"/>
      <c r="R194" s="91"/>
      <c r="S194" s="91"/>
      <c r="T194" s="91"/>
      <c r="U194" s="91"/>
      <c r="V194" s="92"/>
      <c r="W194" s="92"/>
      <c r="X194" s="93"/>
      <c r="Y194" s="93"/>
      <c r="Z194" s="93"/>
      <c r="AA194" s="4"/>
      <c r="AB194" s="5"/>
    </row>
    <row r="195" spans="1:28" x14ac:dyDescent="0.2">
      <c r="A195" s="4"/>
      <c r="B195" s="94"/>
      <c r="C195" s="94"/>
      <c r="D195" s="94"/>
      <c r="E195" s="94"/>
      <c r="F195" s="94"/>
      <c r="G195" s="94"/>
      <c r="H195" s="94"/>
      <c r="I195" s="94"/>
      <c r="J195" s="94"/>
      <c r="K195" s="94"/>
      <c r="L195" s="94"/>
      <c r="M195" s="94"/>
      <c r="N195" s="95"/>
      <c r="O195" s="95"/>
      <c r="P195" s="95"/>
      <c r="Q195" s="95"/>
      <c r="R195" s="95"/>
      <c r="S195" s="95"/>
      <c r="T195" s="95"/>
      <c r="U195" s="95"/>
      <c r="V195" s="96"/>
      <c r="W195" s="96"/>
      <c r="X195" s="97"/>
      <c r="Y195" s="97"/>
      <c r="Z195" s="97"/>
      <c r="AA195" s="4"/>
      <c r="AB195" s="5"/>
    </row>
    <row r="196" spans="1:28" x14ac:dyDescent="0.2">
      <c r="A196" s="4"/>
      <c r="B196" s="90"/>
      <c r="C196" s="90"/>
      <c r="D196" s="90"/>
      <c r="E196" s="90"/>
      <c r="F196" s="90"/>
      <c r="G196" s="90"/>
      <c r="H196" s="90"/>
      <c r="I196" s="90"/>
      <c r="J196" s="90"/>
      <c r="K196" s="90"/>
      <c r="L196" s="90"/>
      <c r="M196" s="90"/>
      <c r="N196" s="91"/>
      <c r="O196" s="91"/>
      <c r="P196" s="91"/>
      <c r="Q196" s="91"/>
      <c r="R196" s="91"/>
      <c r="S196" s="91"/>
      <c r="T196" s="91"/>
      <c r="U196" s="91"/>
      <c r="V196" s="92"/>
      <c r="W196" s="92"/>
      <c r="X196" s="93"/>
      <c r="Y196" s="93"/>
      <c r="Z196" s="93"/>
      <c r="AA196" s="4"/>
      <c r="AB196" s="5"/>
    </row>
    <row r="197" spans="1:28" x14ac:dyDescent="0.2">
      <c r="A197" s="4"/>
      <c r="B197" s="94"/>
      <c r="C197" s="94"/>
      <c r="D197" s="94"/>
      <c r="E197" s="94"/>
      <c r="F197" s="94"/>
      <c r="G197" s="94"/>
      <c r="H197" s="94"/>
      <c r="I197" s="94"/>
      <c r="J197" s="94"/>
      <c r="K197" s="94"/>
      <c r="L197" s="94"/>
      <c r="M197" s="94"/>
      <c r="N197" s="95"/>
      <c r="O197" s="95"/>
      <c r="P197" s="95"/>
      <c r="Q197" s="95"/>
      <c r="R197" s="95"/>
      <c r="S197" s="95"/>
      <c r="T197" s="95"/>
      <c r="U197" s="95"/>
      <c r="V197" s="96"/>
      <c r="W197" s="96"/>
      <c r="X197" s="97"/>
      <c r="Y197" s="97"/>
      <c r="Z197" s="97"/>
      <c r="AA197" s="4"/>
      <c r="AB197" s="5"/>
    </row>
    <row r="198" spans="1:28" x14ac:dyDescent="0.2">
      <c r="A198" s="4"/>
      <c r="B198" s="90"/>
      <c r="C198" s="90"/>
      <c r="D198" s="90"/>
      <c r="E198" s="90"/>
      <c r="F198" s="90"/>
      <c r="G198" s="90"/>
      <c r="H198" s="90"/>
      <c r="I198" s="90"/>
      <c r="J198" s="90"/>
      <c r="K198" s="90"/>
      <c r="L198" s="90"/>
      <c r="M198" s="90"/>
      <c r="N198" s="91"/>
      <c r="O198" s="91"/>
      <c r="P198" s="91"/>
      <c r="Q198" s="91"/>
      <c r="R198" s="91"/>
      <c r="S198" s="91"/>
      <c r="T198" s="91"/>
      <c r="U198" s="91"/>
      <c r="V198" s="92"/>
      <c r="W198" s="92"/>
      <c r="X198" s="93"/>
      <c r="Y198" s="93"/>
      <c r="Z198" s="93"/>
      <c r="AA198" s="4"/>
      <c r="AB198" s="5"/>
    </row>
    <row r="199" spans="1:28" x14ac:dyDescent="0.2">
      <c r="A199" s="4"/>
      <c r="B199" s="94"/>
      <c r="C199" s="94"/>
      <c r="D199" s="94"/>
      <c r="E199" s="94"/>
      <c r="F199" s="94"/>
      <c r="G199" s="94"/>
      <c r="H199" s="94"/>
      <c r="I199" s="94"/>
      <c r="J199" s="94"/>
      <c r="K199" s="94"/>
      <c r="L199" s="94"/>
      <c r="M199" s="94"/>
      <c r="N199" s="95"/>
      <c r="O199" s="95"/>
      <c r="P199" s="95"/>
      <c r="Q199" s="95"/>
      <c r="R199" s="95"/>
      <c r="S199" s="95"/>
      <c r="T199" s="95"/>
      <c r="U199" s="95"/>
      <c r="V199" s="96"/>
      <c r="W199" s="96"/>
      <c r="X199" s="97"/>
      <c r="Y199" s="97"/>
      <c r="Z199" s="97"/>
      <c r="AA199" s="4"/>
      <c r="AB199" s="5"/>
    </row>
    <row r="200" spans="1:28" x14ac:dyDescent="0.2">
      <c r="A200" s="4"/>
      <c r="B200" s="90"/>
      <c r="C200" s="90"/>
      <c r="D200" s="90"/>
      <c r="E200" s="90"/>
      <c r="F200" s="90"/>
      <c r="G200" s="90"/>
      <c r="H200" s="90"/>
      <c r="I200" s="90"/>
      <c r="J200" s="90"/>
      <c r="K200" s="90"/>
      <c r="L200" s="90"/>
      <c r="M200" s="90"/>
      <c r="N200" s="91"/>
      <c r="O200" s="91"/>
      <c r="P200" s="91"/>
      <c r="Q200" s="91"/>
      <c r="R200" s="91"/>
      <c r="S200" s="91"/>
      <c r="T200" s="91"/>
      <c r="U200" s="91"/>
      <c r="V200" s="92"/>
      <c r="W200" s="92"/>
      <c r="X200" s="93"/>
      <c r="Y200" s="93"/>
      <c r="Z200" s="93"/>
      <c r="AA200" s="4"/>
      <c r="AB200" s="5"/>
    </row>
    <row r="201" spans="1:28" x14ac:dyDescent="0.2">
      <c r="A201" s="4"/>
      <c r="B201" s="94"/>
      <c r="C201" s="94"/>
      <c r="D201" s="94"/>
      <c r="E201" s="94"/>
      <c r="F201" s="94"/>
      <c r="G201" s="94"/>
      <c r="H201" s="94"/>
      <c r="I201" s="94"/>
      <c r="J201" s="94"/>
      <c r="K201" s="94"/>
      <c r="L201" s="94"/>
      <c r="M201" s="94"/>
      <c r="N201" s="95"/>
      <c r="O201" s="95"/>
      <c r="P201" s="95"/>
      <c r="Q201" s="95"/>
      <c r="R201" s="95"/>
      <c r="S201" s="95"/>
      <c r="T201" s="95"/>
      <c r="U201" s="95"/>
      <c r="V201" s="96"/>
      <c r="W201" s="96"/>
      <c r="X201" s="97"/>
      <c r="Y201" s="97"/>
      <c r="Z201" s="97"/>
      <c r="AA201" s="4"/>
      <c r="AB201" s="5"/>
    </row>
    <row r="202" spans="1:28" x14ac:dyDescent="0.2">
      <c r="A202" s="4"/>
      <c r="B202" s="90"/>
      <c r="C202" s="90"/>
      <c r="D202" s="90"/>
      <c r="E202" s="90"/>
      <c r="F202" s="90"/>
      <c r="G202" s="90"/>
      <c r="H202" s="90"/>
      <c r="I202" s="90"/>
      <c r="J202" s="90"/>
      <c r="K202" s="90"/>
      <c r="L202" s="90"/>
      <c r="M202" s="90"/>
      <c r="N202" s="91"/>
      <c r="O202" s="91"/>
      <c r="P202" s="91"/>
      <c r="Q202" s="91"/>
      <c r="R202" s="91"/>
      <c r="S202" s="91"/>
      <c r="T202" s="91"/>
      <c r="U202" s="91"/>
      <c r="V202" s="92"/>
      <c r="W202" s="92"/>
      <c r="X202" s="93"/>
      <c r="Y202" s="93"/>
      <c r="Z202" s="93"/>
      <c r="AA202" s="4"/>
      <c r="AB202" s="5"/>
    </row>
    <row r="203" spans="1:28" x14ac:dyDescent="0.2">
      <c r="A203" s="4"/>
      <c r="B203" s="94"/>
      <c r="C203" s="94"/>
      <c r="D203" s="94"/>
      <c r="E203" s="94"/>
      <c r="F203" s="94"/>
      <c r="G203" s="94"/>
      <c r="H203" s="94"/>
      <c r="I203" s="94"/>
      <c r="J203" s="94"/>
      <c r="K203" s="94"/>
      <c r="L203" s="94"/>
      <c r="M203" s="94"/>
      <c r="N203" s="95"/>
      <c r="O203" s="95"/>
      <c r="P203" s="95"/>
      <c r="Q203" s="95"/>
      <c r="R203" s="95"/>
      <c r="S203" s="95"/>
      <c r="T203" s="95"/>
      <c r="U203" s="95"/>
      <c r="V203" s="96"/>
      <c r="W203" s="96"/>
      <c r="X203" s="97"/>
      <c r="Y203" s="97"/>
      <c r="Z203" s="97"/>
      <c r="AA203" s="4"/>
      <c r="AB203" s="5"/>
    </row>
    <row r="204" spans="1:28" x14ac:dyDescent="0.2">
      <c r="A204" s="4"/>
      <c r="B204" s="90"/>
      <c r="C204" s="90"/>
      <c r="D204" s="90"/>
      <c r="E204" s="90"/>
      <c r="F204" s="90"/>
      <c r="G204" s="90"/>
      <c r="H204" s="90"/>
      <c r="I204" s="90"/>
      <c r="J204" s="90"/>
      <c r="K204" s="90"/>
      <c r="L204" s="90"/>
      <c r="M204" s="90"/>
      <c r="N204" s="91"/>
      <c r="O204" s="91"/>
      <c r="P204" s="91"/>
      <c r="Q204" s="91"/>
      <c r="R204" s="91"/>
      <c r="S204" s="91"/>
      <c r="T204" s="91"/>
      <c r="U204" s="91"/>
      <c r="V204" s="92"/>
      <c r="W204" s="92"/>
      <c r="X204" s="93"/>
      <c r="Y204" s="93"/>
      <c r="Z204" s="93"/>
      <c r="AA204" s="4"/>
      <c r="AB204" s="5"/>
    </row>
    <row r="205" spans="1:28" x14ac:dyDescent="0.2">
      <c r="A205" s="4"/>
      <c r="B205" s="94"/>
      <c r="C205" s="94"/>
      <c r="D205" s="94"/>
      <c r="E205" s="94"/>
      <c r="F205" s="94"/>
      <c r="G205" s="94"/>
      <c r="H205" s="94"/>
      <c r="I205" s="94"/>
      <c r="J205" s="94"/>
      <c r="K205" s="94"/>
      <c r="L205" s="94"/>
      <c r="M205" s="94"/>
      <c r="N205" s="95"/>
      <c r="O205" s="95"/>
      <c r="P205" s="95"/>
      <c r="Q205" s="95"/>
      <c r="R205" s="95"/>
      <c r="S205" s="95"/>
      <c r="T205" s="95"/>
      <c r="U205" s="95"/>
      <c r="V205" s="96"/>
      <c r="W205" s="96"/>
      <c r="X205" s="97"/>
      <c r="Y205" s="97"/>
      <c r="Z205" s="97"/>
      <c r="AA205" s="4"/>
      <c r="AB205" s="5"/>
    </row>
    <row r="206" spans="1:28" x14ac:dyDescent="0.2">
      <c r="A206" s="4"/>
      <c r="B206" s="90"/>
      <c r="C206" s="90"/>
      <c r="D206" s="90"/>
      <c r="E206" s="90"/>
      <c r="F206" s="90"/>
      <c r="G206" s="90"/>
      <c r="H206" s="90"/>
      <c r="I206" s="90"/>
      <c r="J206" s="90"/>
      <c r="K206" s="90"/>
      <c r="L206" s="90"/>
      <c r="M206" s="90"/>
      <c r="N206" s="91"/>
      <c r="O206" s="91"/>
      <c r="P206" s="91"/>
      <c r="Q206" s="91"/>
      <c r="R206" s="91"/>
      <c r="S206" s="91"/>
      <c r="T206" s="91"/>
      <c r="U206" s="91"/>
      <c r="V206" s="92"/>
      <c r="W206" s="92"/>
      <c r="X206" s="93"/>
      <c r="Y206" s="93"/>
      <c r="Z206" s="93"/>
      <c r="AA206" s="4"/>
      <c r="AB206" s="5"/>
    </row>
    <row r="207" spans="1:28" x14ac:dyDescent="0.2">
      <c r="A207" s="4"/>
      <c r="B207" s="94"/>
      <c r="C207" s="94"/>
      <c r="D207" s="94"/>
      <c r="E207" s="94"/>
      <c r="F207" s="94"/>
      <c r="G207" s="94"/>
      <c r="H207" s="94"/>
      <c r="I207" s="94"/>
      <c r="J207" s="94"/>
      <c r="K207" s="94"/>
      <c r="L207" s="94"/>
      <c r="M207" s="94"/>
      <c r="N207" s="95"/>
      <c r="O207" s="95"/>
      <c r="P207" s="95"/>
      <c r="Q207" s="95"/>
      <c r="R207" s="95"/>
      <c r="S207" s="95"/>
      <c r="T207" s="95"/>
      <c r="U207" s="95"/>
      <c r="V207" s="96"/>
      <c r="W207" s="96"/>
      <c r="X207" s="97"/>
      <c r="Y207" s="97"/>
      <c r="Z207" s="97"/>
      <c r="AA207" s="4"/>
      <c r="AB207" s="5"/>
    </row>
    <row r="208" spans="1:28" x14ac:dyDescent="0.2">
      <c r="A208" s="4"/>
      <c r="B208" s="90"/>
      <c r="C208" s="90"/>
      <c r="D208" s="90"/>
      <c r="E208" s="90"/>
      <c r="F208" s="90"/>
      <c r="G208" s="90"/>
      <c r="H208" s="90"/>
      <c r="I208" s="90"/>
      <c r="J208" s="90"/>
      <c r="K208" s="90"/>
      <c r="L208" s="90"/>
      <c r="M208" s="90"/>
      <c r="N208" s="91"/>
      <c r="O208" s="91"/>
      <c r="P208" s="91"/>
      <c r="Q208" s="91"/>
      <c r="R208" s="91"/>
      <c r="S208" s="91"/>
      <c r="T208" s="91"/>
      <c r="U208" s="91"/>
      <c r="V208" s="92"/>
      <c r="W208" s="92"/>
      <c r="X208" s="93"/>
      <c r="Y208" s="93"/>
      <c r="Z208" s="93"/>
      <c r="AA208" s="4"/>
      <c r="AB208" s="5"/>
    </row>
    <row r="209" spans="1:28" x14ac:dyDescent="0.2">
      <c r="A209" s="4"/>
      <c r="B209" s="94"/>
      <c r="C209" s="94"/>
      <c r="D209" s="94"/>
      <c r="E209" s="94"/>
      <c r="F209" s="94"/>
      <c r="G209" s="94"/>
      <c r="H209" s="94"/>
      <c r="I209" s="94"/>
      <c r="J209" s="94"/>
      <c r="K209" s="94"/>
      <c r="L209" s="94"/>
      <c r="M209" s="94"/>
      <c r="N209" s="95"/>
      <c r="O209" s="95"/>
      <c r="P209" s="95"/>
      <c r="Q209" s="95"/>
      <c r="R209" s="95"/>
      <c r="S209" s="95"/>
      <c r="T209" s="95"/>
      <c r="U209" s="95"/>
      <c r="V209" s="96"/>
      <c r="W209" s="96"/>
      <c r="X209" s="97"/>
      <c r="Y209" s="97"/>
      <c r="Z209" s="97"/>
      <c r="AA209" s="4"/>
      <c r="AB209" s="5"/>
    </row>
    <row r="210" spans="1:28" x14ac:dyDescent="0.2">
      <c r="A210" s="4"/>
      <c r="B210" s="90"/>
      <c r="C210" s="90"/>
      <c r="D210" s="90"/>
      <c r="E210" s="90"/>
      <c r="F210" s="90"/>
      <c r="G210" s="90"/>
      <c r="H210" s="90"/>
      <c r="I210" s="90"/>
      <c r="J210" s="90"/>
      <c r="K210" s="90"/>
      <c r="L210" s="90"/>
      <c r="M210" s="90"/>
      <c r="N210" s="91"/>
      <c r="O210" s="91"/>
      <c r="P210" s="91"/>
      <c r="Q210" s="91"/>
      <c r="R210" s="91"/>
      <c r="S210" s="91"/>
      <c r="T210" s="91"/>
      <c r="U210" s="91"/>
      <c r="V210" s="92"/>
      <c r="W210" s="92"/>
      <c r="X210" s="93"/>
      <c r="Y210" s="93"/>
      <c r="Z210" s="93"/>
      <c r="AA210" s="4"/>
      <c r="AB210" s="5"/>
    </row>
    <row r="211" spans="1:28" x14ac:dyDescent="0.2">
      <c r="A211" s="4"/>
      <c r="B211" s="94"/>
      <c r="C211" s="94"/>
      <c r="D211" s="94"/>
      <c r="E211" s="94"/>
      <c r="F211" s="94"/>
      <c r="G211" s="94"/>
      <c r="H211" s="94"/>
      <c r="I211" s="94"/>
      <c r="J211" s="94"/>
      <c r="K211" s="94"/>
      <c r="L211" s="94"/>
      <c r="M211" s="94"/>
      <c r="N211" s="95"/>
      <c r="O211" s="95"/>
      <c r="P211" s="95"/>
      <c r="Q211" s="95"/>
      <c r="R211" s="95"/>
      <c r="S211" s="95"/>
      <c r="T211" s="95"/>
      <c r="U211" s="95"/>
      <c r="V211" s="96"/>
      <c r="W211" s="96"/>
      <c r="X211" s="97"/>
      <c r="Y211" s="97"/>
      <c r="Z211" s="97"/>
      <c r="AA211" s="4"/>
      <c r="AB211" s="5"/>
    </row>
    <row r="212" spans="1:28" x14ac:dyDescent="0.2">
      <c r="A212" s="4"/>
      <c r="B212" s="90"/>
      <c r="C212" s="90"/>
      <c r="D212" s="90"/>
      <c r="E212" s="90"/>
      <c r="F212" s="90"/>
      <c r="G212" s="90"/>
      <c r="H212" s="90"/>
      <c r="I212" s="90"/>
      <c r="J212" s="90"/>
      <c r="K212" s="90"/>
      <c r="L212" s="90"/>
      <c r="M212" s="90"/>
      <c r="N212" s="91"/>
      <c r="O212" s="91"/>
      <c r="P212" s="91"/>
      <c r="Q212" s="91"/>
      <c r="R212" s="91"/>
      <c r="S212" s="91"/>
      <c r="T212" s="91"/>
      <c r="U212" s="91"/>
      <c r="V212" s="92"/>
      <c r="W212" s="92"/>
      <c r="X212" s="93"/>
      <c r="Y212" s="93"/>
      <c r="Z212" s="93"/>
      <c r="AA212" s="4"/>
      <c r="AB212" s="5"/>
    </row>
    <row r="213" spans="1:28" x14ac:dyDescent="0.2">
      <c r="A213" s="4"/>
      <c r="B213" s="94"/>
      <c r="C213" s="94"/>
      <c r="D213" s="94"/>
      <c r="E213" s="94"/>
      <c r="F213" s="94"/>
      <c r="G213" s="94"/>
      <c r="H213" s="94"/>
      <c r="I213" s="94"/>
      <c r="J213" s="94"/>
      <c r="K213" s="94"/>
      <c r="L213" s="94"/>
      <c r="M213" s="94"/>
      <c r="N213" s="95"/>
      <c r="O213" s="95"/>
      <c r="P213" s="95"/>
      <c r="Q213" s="95"/>
      <c r="R213" s="95"/>
      <c r="S213" s="95"/>
      <c r="T213" s="95"/>
      <c r="U213" s="95"/>
      <c r="V213" s="96"/>
      <c r="W213" s="96"/>
      <c r="X213" s="97"/>
      <c r="Y213" s="97"/>
      <c r="Z213" s="97"/>
      <c r="AA213" s="4"/>
      <c r="AB213" s="5"/>
    </row>
    <row r="214" spans="1:28" x14ac:dyDescent="0.2">
      <c r="A214" s="4"/>
      <c r="B214" s="90"/>
      <c r="C214" s="90"/>
      <c r="D214" s="90"/>
      <c r="E214" s="90"/>
      <c r="F214" s="90"/>
      <c r="G214" s="90"/>
      <c r="H214" s="90"/>
      <c r="I214" s="90"/>
      <c r="J214" s="90"/>
      <c r="K214" s="90"/>
      <c r="L214" s="90"/>
      <c r="M214" s="90"/>
      <c r="N214" s="91"/>
      <c r="O214" s="91"/>
      <c r="P214" s="91"/>
      <c r="Q214" s="91"/>
      <c r="R214" s="91"/>
      <c r="S214" s="91"/>
      <c r="T214" s="91"/>
      <c r="U214" s="91"/>
      <c r="V214" s="92"/>
      <c r="W214" s="92"/>
      <c r="X214" s="93"/>
      <c r="Y214" s="93"/>
      <c r="Z214" s="93"/>
      <c r="AA214" s="4"/>
      <c r="AB214" s="5"/>
    </row>
    <row r="215" spans="1:28" x14ac:dyDescent="0.2">
      <c r="A215" s="4"/>
      <c r="B215" s="94"/>
      <c r="C215" s="94"/>
      <c r="D215" s="94"/>
      <c r="E215" s="94"/>
      <c r="F215" s="94"/>
      <c r="G215" s="94"/>
      <c r="H215" s="94"/>
      <c r="I215" s="94"/>
      <c r="J215" s="94"/>
      <c r="K215" s="94"/>
      <c r="L215" s="94"/>
      <c r="M215" s="94"/>
      <c r="N215" s="95"/>
      <c r="O215" s="95"/>
      <c r="P215" s="95"/>
      <c r="Q215" s="95"/>
      <c r="R215" s="95"/>
      <c r="S215" s="95"/>
      <c r="T215" s="95"/>
      <c r="U215" s="95"/>
      <c r="V215" s="96"/>
      <c r="W215" s="96"/>
      <c r="X215" s="97"/>
      <c r="Y215" s="97"/>
      <c r="Z215" s="97"/>
      <c r="AA215" s="4"/>
      <c r="AB215" s="5"/>
    </row>
    <row r="216" spans="1:28" x14ac:dyDescent="0.2">
      <c r="A216" s="4"/>
      <c r="B216" s="90"/>
      <c r="C216" s="90"/>
      <c r="D216" s="90"/>
      <c r="E216" s="90"/>
      <c r="F216" s="90"/>
      <c r="G216" s="90"/>
      <c r="H216" s="90"/>
      <c r="I216" s="90"/>
      <c r="J216" s="90"/>
      <c r="K216" s="90"/>
      <c r="L216" s="90"/>
      <c r="M216" s="90"/>
      <c r="N216" s="91"/>
      <c r="O216" s="91"/>
      <c r="P216" s="91"/>
      <c r="Q216" s="91"/>
      <c r="R216" s="91"/>
      <c r="S216" s="91"/>
      <c r="T216" s="91"/>
      <c r="U216" s="91"/>
      <c r="V216" s="92"/>
      <c r="W216" s="92"/>
      <c r="X216" s="93"/>
      <c r="Y216" s="93"/>
      <c r="Z216" s="93"/>
      <c r="AA216" s="4"/>
      <c r="AB216" s="5"/>
    </row>
    <row r="217" spans="1:28" x14ac:dyDescent="0.2">
      <c r="A217" s="4"/>
      <c r="B217" s="94"/>
      <c r="C217" s="94"/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95"/>
      <c r="O217" s="95"/>
      <c r="P217" s="95"/>
      <c r="Q217" s="95"/>
      <c r="R217" s="95"/>
      <c r="S217" s="95"/>
      <c r="T217" s="95"/>
      <c r="U217" s="95"/>
      <c r="V217" s="96"/>
      <c r="W217" s="96"/>
      <c r="X217" s="97"/>
      <c r="Y217" s="97"/>
      <c r="Z217" s="97"/>
      <c r="AA217" s="4"/>
      <c r="AB217" s="5"/>
    </row>
    <row r="218" spans="1:28" x14ac:dyDescent="0.2">
      <c r="A218" s="4"/>
      <c r="B218" s="90"/>
      <c r="C218" s="90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1"/>
      <c r="O218" s="91"/>
      <c r="P218" s="91"/>
      <c r="Q218" s="91"/>
      <c r="R218" s="91"/>
      <c r="S218" s="91"/>
      <c r="T218" s="91"/>
      <c r="U218" s="91"/>
      <c r="V218" s="92"/>
      <c r="W218" s="92"/>
      <c r="X218" s="93"/>
      <c r="Y218" s="93"/>
      <c r="Z218" s="93"/>
      <c r="AA218" s="4"/>
      <c r="AB218" s="5"/>
    </row>
    <row r="219" spans="1:28" x14ac:dyDescent="0.2">
      <c r="A219" s="4"/>
      <c r="B219" s="94"/>
      <c r="C219" s="94"/>
      <c r="D219" s="94"/>
      <c r="E219" s="94"/>
      <c r="F219" s="94"/>
      <c r="G219" s="94"/>
      <c r="H219" s="94"/>
      <c r="I219" s="94"/>
      <c r="J219" s="94"/>
      <c r="K219" s="94"/>
      <c r="L219" s="94"/>
      <c r="M219" s="94"/>
      <c r="N219" s="95"/>
      <c r="O219" s="95"/>
      <c r="P219" s="95"/>
      <c r="Q219" s="95"/>
      <c r="R219" s="95"/>
      <c r="S219" s="95"/>
      <c r="T219" s="95"/>
      <c r="U219" s="95"/>
      <c r="V219" s="96"/>
      <c r="W219" s="96"/>
      <c r="X219" s="97"/>
      <c r="Y219" s="97"/>
      <c r="Z219" s="97"/>
      <c r="AA219" s="4"/>
      <c r="AB219" s="5"/>
    </row>
    <row r="220" spans="1:28" x14ac:dyDescent="0.2">
      <c r="A220" s="4"/>
      <c r="B220" s="90"/>
      <c r="C220" s="90"/>
      <c r="D220" s="90"/>
      <c r="E220" s="90"/>
      <c r="F220" s="90"/>
      <c r="G220" s="90"/>
      <c r="H220" s="90"/>
      <c r="I220" s="90"/>
      <c r="J220" s="90"/>
      <c r="K220" s="90"/>
      <c r="L220" s="90"/>
      <c r="M220" s="90"/>
      <c r="N220" s="91"/>
      <c r="O220" s="91"/>
      <c r="P220" s="91"/>
      <c r="Q220" s="91"/>
      <c r="R220" s="91"/>
      <c r="S220" s="91"/>
      <c r="T220" s="91"/>
      <c r="U220" s="91"/>
      <c r="V220" s="92"/>
      <c r="W220" s="92"/>
      <c r="X220" s="93"/>
      <c r="Y220" s="93"/>
      <c r="Z220" s="93"/>
      <c r="AA220" s="4"/>
      <c r="AB220" s="5"/>
    </row>
    <row r="221" spans="1:28" x14ac:dyDescent="0.2">
      <c r="A221" s="4"/>
      <c r="B221" s="94"/>
      <c r="C221" s="94"/>
      <c r="D221" s="94"/>
      <c r="E221" s="94"/>
      <c r="F221" s="94"/>
      <c r="G221" s="94"/>
      <c r="H221" s="94"/>
      <c r="I221" s="94"/>
      <c r="J221" s="94"/>
      <c r="K221" s="94"/>
      <c r="L221" s="94"/>
      <c r="M221" s="94"/>
      <c r="N221" s="95"/>
      <c r="O221" s="95"/>
      <c r="P221" s="95"/>
      <c r="Q221" s="95"/>
      <c r="R221" s="95"/>
      <c r="S221" s="95"/>
      <c r="T221" s="95"/>
      <c r="U221" s="95"/>
      <c r="V221" s="96"/>
      <c r="W221" s="96"/>
      <c r="X221" s="97"/>
      <c r="Y221" s="97"/>
      <c r="Z221" s="97"/>
      <c r="AA221" s="4"/>
      <c r="AB221" s="5"/>
    </row>
    <row r="222" spans="1:28" x14ac:dyDescent="0.2">
      <c r="A222" s="4"/>
      <c r="B222" s="90"/>
      <c r="C222" s="90"/>
      <c r="D222" s="90"/>
      <c r="E222" s="90"/>
      <c r="F222" s="90"/>
      <c r="G222" s="90"/>
      <c r="H222" s="90"/>
      <c r="I222" s="90"/>
      <c r="J222" s="90"/>
      <c r="K222" s="90"/>
      <c r="L222" s="90"/>
      <c r="M222" s="90"/>
      <c r="N222" s="91"/>
      <c r="O222" s="91"/>
      <c r="P222" s="91"/>
      <c r="Q222" s="91"/>
      <c r="R222" s="91"/>
      <c r="S222" s="91"/>
      <c r="T222" s="91"/>
      <c r="U222" s="91"/>
      <c r="V222" s="92"/>
      <c r="W222" s="92"/>
      <c r="X222" s="93"/>
      <c r="Y222" s="93"/>
      <c r="Z222" s="93"/>
      <c r="AA222" s="4"/>
      <c r="AB222" s="5"/>
    </row>
    <row r="223" spans="1:28" x14ac:dyDescent="0.2">
      <c r="A223" s="4"/>
      <c r="B223" s="94"/>
      <c r="C223" s="94"/>
      <c r="D223" s="94"/>
      <c r="E223" s="94"/>
      <c r="F223" s="94"/>
      <c r="G223" s="94"/>
      <c r="H223" s="94"/>
      <c r="I223" s="94"/>
      <c r="J223" s="94"/>
      <c r="K223" s="94"/>
      <c r="L223" s="94"/>
      <c r="M223" s="94"/>
      <c r="N223" s="95"/>
      <c r="O223" s="95"/>
      <c r="P223" s="95"/>
      <c r="Q223" s="95"/>
      <c r="R223" s="95"/>
      <c r="S223" s="95"/>
      <c r="T223" s="95"/>
      <c r="U223" s="95"/>
      <c r="V223" s="96"/>
      <c r="W223" s="96"/>
      <c r="X223" s="97"/>
      <c r="Y223" s="97"/>
      <c r="Z223" s="97"/>
      <c r="AA223" s="4"/>
      <c r="AB223" s="5"/>
    </row>
    <row r="224" spans="1:28" x14ac:dyDescent="0.2">
      <c r="A224" s="4"/>
      <c r="B224" s="90"/>
      <c r="C224" s="90"/>
      <c r="D224" s="90"/>
      <c r="E224" s="90"/>
      <c r="F224" s="90"/>
      <c r="G224" s="90"/>
      <c r="H224" s="90"/>
      <c r="I224" s="90"/>
      <c r="J224" s="90"/>
      <c r="K224" s="90"/>
      <c r="L224" s="90"/>
      <c r="M224" s="90"/>
      <c r="N224" s="91"/>
      <c r="O224" s="91"/>
      <c r="P224" s="91"/>
      <c r="Q224" s="91"/>
      <c r="R224" s="91"/>
      <c r="S224" s="91"/>
      <c r="T224" s="91"/>
      <c r="U224" s="91"/>
      <c r="V224" s="92"/>
      <c r="W224" s="92"/>
      <c r="X224" s="93"/>
      <c r="Y224" s="93"/>
      <c r="Z224" s="93"/>
      <c r="AA224" s="4"/>
      <c r="AB224" s="5"/>
    </row>
    <row r="225" spans="1:28" x14ac:dyDescent="0.2">
      <c r="A225" s="4"/>
      <c r="B225" s="94"/>
      <c r="C225" s="94"/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5"/>
      <c r="O225" s="95"/>
      <c r="P225" s="95"/>
      <c r="Q225" s="95"/>
      <c r="R225" s="95"/>
      <c r="S225" s="95"/>
      <c r="T225" s="95"/>
      <c r="U225" s="95"/>
      <c r="V225" s="96"/>
      <c r="W225" s="96"/>
      <c r="X225" s="97"/>
      <c r="Y225" s="97"/>
      <c r="Z225" s="97"/>
      <c r="AA225" s="4"/>
      <c r="AB225" s="5"/>
    </row>
    <row r="226" spans="1:28" x14ac:dyDescent="0.2">
      <c r="A226" s="4"/>
      <c r="B226" s="90"/>
      <c r="C226" s="90"/>
      <c r="D226" s="90"/>
      <c r="E226" s="90"/>
      <c r="F226" s="90"/>
      <c r="G226" s="90"/>
      <c r="H226" s="90"/>
      <c r="I226" s="90"/>
      <c r="J226" s="90"/>
      <c r="K226" s="90"/>
      <c r="L226" s="90"/>
      <c r="M226" s="90"/>
      <c r="N226" s="91"/>
      <c r="O226" s="91"/>
      <c r="P226" s="91"/>
      <c r="Q226" s="91"/>
      <c r="R226" s="91"/>
      <c r="S226" s="91"/>
      <c r="T226" s="91"/>
      <c r="U226" s="91"/>
      <c r="V226" s="92"/>
      <c r="W226" s="92"/>
      <c r="X226" s="93"/>
      <c r="Y226" s="93"/>
      <c r="Z226" s="93"/>
      <c r="AA226" s="4"/>
      <c r="AB226" s="5"/>
    </row>
    <row r="227" spans="1:28" x14ac:dyDescent="0.2">
      <c r="A227" s="4"/>
      <c r="B227" s="94"/>
      <c r="C227" s="94"/>
      <c r="D227" s="94"/>
      <c r="E227" s="94"/>
      <c r="F227" s="94"/>
      <c r="G227" s="94"/>
      <c r="H227" s="94"/>
      <c r="I227" s="94"/>
      <c r="J227" s="94"/>
      <c r="K227" s="94"/>
      <c r="L227" s="94"/>
      <c r="M227" s="94"/>
      <c r="N227" s="95"/>
      <c r="O227" s="95"/>
      <c r="P227" s="95"/>
      <c r="Q227" s="95"/>
      <c r="R227" s="95"/>
      <c r="S227" s="95"/>
      <c r="T227" s="95"/>
      <c r="U227" s="95"/>
      <c r="V227" s="96"/>
      <c r="W227" s="96"/>
      <c r="X227" s="97"/>
      <c r="Y227" s="97"/>
      <c r="Z227" s="97"/>
      <c r="AA227" s="4"/>
      <c r="AB227" s="5"/>
    </row>
    <row r="228" spans="1:28" x14ac:dyDescent="0.2">
      <c r="A228" s="4"/>
      <c r="B228" s="90"/>
      <c r="C228" s="90"/>
      <c r="D228" s="90"/>
      <c r="E228" s="90"/>
      <c r="F228" s="90"/>
      <c r="G228" s="90"/>
      <c r="H228" s="90"/>
      <c r="I228" s="90"/>
      <c r="J228" s="90"/>
      <c r="K228" s="90"/>
      <c r="L228" s="90"/>
      <c r="M228" s="90"/>
      <c r="N228" s="91"/>
      <c r="O228" s="91"/>
      <c r="P228" s="91"/>
      <c r="Q228" s="91"/>
      <c r="R228" s="91"/>
      <c r="S228" s="91"/>
      <c r="T228" s="91"/>
      <c r="U228" s="91"/>
      <c r="V228" s="92"/>
      <c r="W228" s="92"/>
      <c r="X228" s="93"/>
      <c r="Y228" s="93"/>
      <c r="Z228" s="93"/>
      <c r="AA228" s="4"/>
      <c r="AB228" s="5"/>
    </row>
    <row r="229" spans="1:28" x14ac:dyDescent="0.2">
      <c r="A229" s="4"/>
      <c r="B229" s="94"/>
      <c r="C229" s="94"/>
      <c r="D229" s="94"/>
      <c r="E229" s="94"/>
      <c r="F229" s="94"/>
      <c r="G229" s="94"/>
      <c r="H229" s="94"/>
      <c r="I229" s="94"/>
      <c r="J229" s="94"/>
      <c r="K229" s="94"/>
      <c r="L229" s="94"/>
      <c r="M229" s="94"/>
      <c r="N229" s="95"/>
      <c r="O229" s="95"/>
      <c r="P229" s="95"/>
      <c r="Q229" s="95"/>
      <c r="R229" s="95"/>
      <c r="S229" s="95"/>
      <c r="T229" s="95"/>
      <c r="U229" s="95"/>
      <c r="V229" s="96"/>
      <c r="W229" s="96"/>
      <c r="X229" s="97"/>
      <c r="Y229" s="97"/>
      <c r="Z229" s="97"/>
      <c r="AA229" s="4"/>
      <c r="AB229" s="5"/>
    </row>
    <row r="230" spans="1:28" x14ac:dyDescent="0.2">
      <c r="A230" s="4"/>
      <c r="B230" s="90"/>
      <c r="C230" s="90"/>
      <c r="D230" s="90"/>
      <c r="E230" s="90"/>
      <c r="F230" s="90"/>
      <c r="G230" s="90"/>
      <c r="H230" s="90"/>
      <c r="I230" s="90"/>
      <c r="J230" s="90"/>
      <c r="K230" s="90"/>
      <c r="L230" s="90"/>
      <c r="M230" s="90"/>
      <c r="N230" s="91"/>
      <c r="O230" s="91"/>
      <c r="P230" s="91"/>
      <c r="Q230" s="91"/>
      <c r="R230" s="91"/>
      <c r="S230" s="91"/>
      <c r="T230" s="91"/>
      <c r="U230" s="91"/>
      <c r="V230" s="92"/>
      <c r="W230" s="92"/>
      <c r="X230" s="93"/>
      <c r="Y230" s="93"/>
      <c r="Z230" s="93"/>
      <c r="AA230" s="4"/>
      <c r="AB230" s="5"/>
    </row>
    <row r="231" spans="1:28" x14ac:dyDescent="0.2">
      <c r="A231" s="4"/>
      <c r="B231" s="94"/>
      <c r="C231" s="94"/>
      <c r="D231" s="94"/>
      <c r="E231" s="94"/>
      <c r="F231" s="94"/>
      <c r="G231" s="94"/>
      <c r="H231" s="94"/>
      <c r="I231" s="94"/>
      <c r="J231" s="94"/>
      <c r="K231" s="94"/>
      <c r="L231" s="94"/>
      <c r="M231" s="94"/>
      <c r="N231" s="95"/>
      <c r="O231" s="95"/>
      <c r="P231" s="95"/>
      <c r="Q231" s="95"/>
      <c r="R231" s="95"/>
      <c r="S231" s="95"/>
      <c r="T231" s="95"/>
      <c r="U231" s="95"/>
      <c r="V231" s="96"/>
      <c r="W231" s="96"/>
      <c r="X231" s="97"/>
      <c r="Y231" s="97"/>
      <c r="Z231" s="97"/>
      <c r="AA231" s="4"/>
      <c r="AB231" s="5"/>
    </row>
    <row r="232" spans="1:28" x14ac:dyDescent="0.2">
      <c r="A232" s="4"/>
      <c r="B232" s="90"/>
      <c r="C232" s="90"/>
      <c r="D232" s="90"/>
      <c r="E232" s="90"/>
      <c r="F232" s="90"/>
      <c r="G232" s="90"/>
      <c r="H232" s="90"/>
      <c r="I232" s="90"/>
      <c r="J232" s="90"/>
      <c r="K232" s="90"/>
      <c r="L232" s="90"/>
      <c r="M232" s="90"/>
      <c r="N232" s="91"/>
      <c r="O232" s="91"/>
      <c r="P232" s="91"/>
      <c r="Q232" s="91"/>
      <c r="R232" s="91"/>
      <c r="S232" s="91"/>
      <c r="T232" s="91"/>
      <c r="U232" s="91"/>
      <c r="V232" s="92"/>
      <c r="W232" s="92"/>
      <c r="X232" s="93"/>
      <c r="Y232" s="93"/>
      <c r="Z232" s="93"/>
      <c r="AA232" s="4"/>
      <c r="AB232" s="5"/>
    </row>
    <row r="233" spans="1:28" x14ac:dyDescent="0.2">
      <c r="A233" s="4"/>
      <c r="B233" s="94"/>
      <c r="C233" s="94"/>
      <c r="D233" s="94"/>
      <c r="E233" s="94"/>
      <c r="F233" s="94"/>
      <c r="G233" s="94"/>
      <c r="H233" s="94"/>
      <c r="I233" s="94"/>
      <c r="J233" s="94"/>
      <c r="K233" s="94"/>
      <c r="L233" s="94"/>
      <c r="M233" s="94"/>
      <c r="N233" s="95"/>
      <c r="O233" s="95"/>
      <c r="P233" s="95"/>
      <c r="Q233" s="95"/>
      <c r="R233" s="95"/>
      <c r="S233" s="95"/>
      <c r="T233" s="95"/>
      <c r="U233" s="95"/>
      <c r="V233" s="96"/>
      <c r="W233" s="96"/>
      <c r="X233" s="97"/>
      <c r="Y233" s="97"/>
      <c r="Z233" s="97"/>
      <c r="AA233" s="4"/>
      <c r="AB233" s="5"/>
    </row>
    <row r="234" spans="1:28" x14ac:dyDescent="0.2">
      <c r="A234" s="4"/>
      <c r="B234" s="90"/>
      <c r="C234" s="90"/>
      <c r="D234" s="90"/>
      <c r="E234" s="90"/>
      <c r="F234" s="90"/>
      <c r="G234" s="90"/>
      <c r="H234" s="90"/>
      <c r="I234" s="90"/>
      <c r="J234" s="90"/>
      <c r="K234" s="90"/>
      <c r="L234" s="90"/>
      <c r="M234" s="90"/>
      <c r="N234" s="91"/>
      <c r="O234" s="91"/>
      <c r="P234" s="91"/>
      <c r="Q234" s="91"/>
      <c r="R234" s="91"/>
      <c r="S234" s="91"/>
      <c r="T234" s="91"/>
      <c r="U234" s="91"/>
      <c r="V234" s="92"/>
      <c r="W234" s="92"/>
      <c r="X234" s="93"/>
      <c r="Y234" s="93"/>
      <c r="Z234" s="93"/>
      <c r="AA234" s="4"/>
      <c r="AB234" s="5"/>
    </row>
    <row r="235" spans="1:28" x14ac:dyDescent="0.2">
      <c r="A235" s="4"/>
      <c r="B235" s="94"/>
      <c r="C235" s="94"/>
      <c r="D235" s="94"/>
      <c r="E235" s="94"/>
      <c r="F235" s="94"/>
      <c r="G235" s="94"/>
      <c r="H235" s="94"/>
      <c r="I235" s="94"/>
      <c r="J235" s="94"/>
      <c r="K235" s="94"/>
      <c r="L235" s="94"/>
      <c r="M235" s="94"/>
      <c r="N235" s="95"/>
      <c r="O235" s="95"/>
      <c r="P235" s="95"/>
      <c r="Q235" s="95"/>
      <c r="R235" s="95"/>
      <c r="S235" s="95"/>
      <c r="T235" s="95"/>
      <c r="U235" s="95"/>
      <c r="V235" s="96"/>
      <c r="W235" s="96"/>
      <c r="X235" s="97"/>
      <c r="Y235" s="97"/>
      <c r="Z235" s="97"/>
      <c r="AA235" s="4"/>
      <c r="AB235" s="5"/>
    </row>
    <row r="236" spans="1:28" x14ac:dyDescent="0.2">
      <c r="A236" s="4"/>
      <c r="B236" s="90"/>
      <c r="C236" s="90"/>
      <c r="D236" s="90"/>
      <c r="E236" s="90"/>
      <c r="F236" s="90"/>
      <c r="G236" s="90"/>
      <c r="H236" s="90"/>
      <c r="I236" s="90"/>
      <c r="J236" s="90"/>
      <c r="K236" s="90"/>
      <c r="L236" s="90"/>
      <c r="M236" s="90"/>
      <c r="N236" s="91"/>
      <c r="O236" s="91"/>
      <c r="P236" s="91"/>
      <c r="Q236" s="91"/>
      <c r="R236" s="91"/>
      <c r="S236" s="91"/>
      <c r="T236" s="91"/>
      <c r="U236" s="91"/>
      <c r="V236" s="92"/>
      <c r="W236" s="92"/>
      <c r="X236" s="93"/>
      <c r="Y236" s="93"/>
      <c r="Z236" s="93"/>
      <c r="AA236" s="4"/>
      <c r="AB236" s="5"/>
    </row>
    <row r="237" spans="1:28" x14ac:dyDescent="0.2">
      <c r="A237" s="4"/>
      <c r="B237" s="94"/>
      <c r="C237" s="94"/>
      <c r="D237" s="94"/>
      <c r="E237" s="94"/>
      <c r="F237" s="94"/>
      <c r="G237" s="94"/>
      <c r="H237" s="94"/>
      <c r="I237" s="94"/>
      <c r="J237" s="94"/>
      <c r="K237" s="94"/>
      <c r="L237" s="94"/>
      <c r="M237" s="94"/>
      <c r="N237" s="95"/>
      <c r="O237" s="95"/>
      <c r="P237" s="95"/>
      <c r="Q237" s="95"/>
      <c r="R237" s="95"/>
      <c r="S237" s="95"/>
      <c r="T237" s="95"/>
      <c r="U237" s="95"/>
      <c r="V237" s="96"/>
      <c r="W237" s="96"/>
      <c r="X237" s="97"/>
      <c r="Y237" s="97"/>
      <c r="Z237" s="97"/>
      <c r="AA237" s="4"/>
      <c r="AB237" s="5"/>
    </row>
    <row r="238" spans="1:28" x14ac:dyDescent="0.2">
      <c r="A238" s="4"/>
      <c r="B238" s="90"/>
      <c r="C238" s="90"/>
      <c r="D238" s="90"/>
      <c r="E238" s="90"/>
      <c r="F238" s="90"/>
      <c r="G238" s="90"/>
      <c r="H238" s="90"/>
      <c r="I238" s="90"/>
      <c r="J238" s="90"/>
      <c r="K238" s="90"/>
      <c r="L238" s="90"/>
      <c r="M238" s="90"/>
      <c r="N238" s="91"/>
      <c r="O238" s="91"/>
      <c r="P238" s="91"/>
      <c r="Q238" s="91"/>
      <c r="R238" s="91"/>
      <c r="S238" s="91"/>
      <c r="T238" s="91"/>
      <c r="U238" s="91"/>
      <c r="V238" s="92"/>
      <c r="W238" s="92"/>
      <c r="X238" s="93"/>
      <c r="Y238" s="93"/>
      <c r="Z238" s="93"/>
      <c r="AA238" s="4"/>
      <c r="AB238" s="5"/>
    </row>
    <row r="239" spans="1:28" x14ac:dyDescent="0.2">
      <c r="A239" s="4"/>
      <c r="B239" s="94"/>
      <c r="C239" s="94"/>
      <c r="D239" s="94"/>
      <c r="E239" s="94"/>
      <c r="F239" s="94"/>
      <c r="G239" s="94"/>
      <c r="H239" s="94"/>
      <c r="I239" s="94"/>
      <c r="J239" s="94"/>
      <c r="K239" s="94"/>
      <c r="L239" s="94"/>
      <c r="M239" s="94"/>
      <c r="N239" s="95"/>
      <c r="O239" s="95"/>
      <c r="P239" s="95"/>
      <c r="Q239" s="95"/>
      <c r="R239" s="95"/>
      <c r="S239" s="95"/>
      <c r="T239" s="95"/>
      <c r="U239" s="95"/>
      <c r="V239" s="96"/>
      <c r="W239" s="96"/>
      <c r="X239" s="97"/>
      <c r="Y239" s="97"/>
      <c r="Z239" s="97"/>
      <c r="AA239" s="4"/>
      <c r="AB239" s="5"/>
    </row>
    <row r="240" spans="1:28" x14ac:dyDescent="0.2">
      <c r="A240" s="4"/>
      <c r="B240" s="90"/>
      <c r="C240" s="90"/>
      <c r="D240" s="90"/>
      <c r="E240" s="90"/>
      <c r="F240" s="90"/>
      <c r="G240" s="90"/>
      <c r="H240" s="90"/>
      <c r="I240" s="90"/>
      <c r="J240" s="90"/>
      <c r="K240" s="90"/>
      <c r="L240" s="90"/>
      <c r="M240" s="90"/>
      <c r="N240" s="91"/>
      <c r="O240" s="91"/>
      <c r="P240" s="91"/>
      <c r="Q240" s="91"/>
      <c r="R240" s="91"/>
      <c r="S240" s="91"/>
      <c r="T240" s="91"/>
      <c r="U240" s="91"/>
      <c r="V240" s="92"/>
      <c r="W240" s="92"/>
      <c r="X240" s="93"/>
      <c r="Y240" s="93"/>
      <c r="Z240" s="93"/>
      <c r="AA240" s="4"/>
      <c r="AB240" s="5"/>
    </row>
    <row r="241" spans="1:28" x14ac:dyDescent="0.2">
      <c r="A241" s="4"/>
      <c r="B241" s="94"/>
      <c r="C241" s="94"/>
      <c r="D241" s="94"/>
      <c r="E241" s="94"/>
      <c r="F241" s="94"/>
      <c r="G241" s="94"/>
      <c r="H241" s="94"/>
      <c r="I241" s="94"/>
      <c r="J241" s="94"/>
      <c r="K241" s="94"/>
      <c r="L241" s="94"/>
      <c r="M241" s="94"/>
      <c r="N241" s="95"/>
      <c r="O241" s="95"/>
      <c r="P241" s="95"/>
      <c r="Q241" s="95"/>
      <c r="R241" s="95"/>
      <c r="S241" s="95"/>
      <c r="T241" s="95"/>
      <c r="U241" s="95"/>
      <c r="V241" s="96"/>
      <c r="W241" s="96"/>
      <c r="X241" s="97"/>
      <c r="Y241" s="97"/>
      <c r="Z241" s="97"/>
      <c r="AA241" s="4"/>
      <c r="AB241" s="5"/>
    </row>
    <row r="242" spans="1:28" x14ac:dyDescent="0.2">
      <c r="A242" s="4"/>
      <c r="B242" s="90"/>
      <c r="C242" s="90"/>
      <c r="D242" s="90"/>
      <c r="E242" s="90"/>
      <c r="F242" s="90"/>
      <c r="G242" s="90"/>
      <c r="H242" s="90"/>
      <c r="I242" s="90"/>
      <c r="J242" s="90"/>
      <c r="K242" s="90"/>
      <c r="L242" s="90"/>
      <c r="M242" s="90"/>
      <c r="N242" s="91"/>
      <c r="O242" s="91"/>
      <c r="P242" s="91"/>
      <c r="Q242" s="91"/>
      <c r="R242" s="91"/>
      <c r="S242" s="91"/>
      <c r="T242" s="91"/>
      <c r="U242" s="91"/>
      <c r="V242" s="92"/>
      <c r="W242" s="92"/>
      <c r="X242" s="93"/>
      <c r="Y242" s="93"/>
      <c r="Z242" s="93"/>
      <c r="AA242" s="4"/>
      <c r="AB242" s="5"/>
    </row>
    <row r="243" spans="1:28" x14ac:dyDescent="0.2">
      <c r="A243" s="4"/>
      <c r="B243" s="94"/>
      <c r="C243" s="94"/>
      <c r="D243" s="94"/>
      <c r="E243" s="94"/>
      <c r="F243" s="94"/>
      <c r="G243" s="94"/>
      <c r="H243" s="94"/>
      <c r="I243" s="94"/>
      <c r="J243" s="94"/>
      <c r="K243" s="94"/>
      <c r="L243" s="94"/>
      <c r="M243" s="94"/>
      <c r="N243" s="95"/>
      <c r="O243" s="95"/>
      <c r="P243" s="95"/>
      <c r="Q243" s="95"/>
      <c r="R243" s="95"/>
      <c r="S243" s="95"/>
      <c r="T243" s="95"/>
      <c r="U243" s="95"/>
      <c r="V243" s="96"/>
      <c r="W243" s="96"/>
      <c r="X243" s="97"/>
      <c r="Y243" s="97"/>
      <c r="Z243" s="97"/>
      <c r="AA243" s="4"/>
      <c r="AB243" s="5"/>
    </row>
    <row r="244" spans="1:28" x14ac:dyDescent="0.2">
      <c r="A244" s="4"/>
      <c r="B244" s="90"/>
      <c r="C244" s="90"/>
      <c r="D244" s="90"/>
      <c r="E244" s="90"/>
      <c r="F244" s="90"/>
      <c r="G244" s="90"/>
      <c r="H244" s="90"/>
      <c r="I244" s="90"/>
      <c r="J244" s="90"/>
      <c r="K244" s="90"/>
      <c r="L244" s="90"/>
      <c r="M244" s="90"/>
      <c r="N244" s="91"/>
      <c r="O244" s="91"/>
      <c r="P244" s="91"/>
      <c r="Q244" s="91"/>
      <c r="R244" s="91"/>
      <c r="S244" s="91"/>
      <c r="T244" s="91"/>
      <c r="U244" s="91"/>
      <c r="V244" s="92"/>
      <c r="W244" s="92"/>
      <c r="X244" s="93"/>
      <c r="Y244" s="93"/>
      <c r="Z244" s="93"/>
      <c r="AA244" s="4"/>
      <c r="AB244" s="5"/>
    </row>
    <row r="245" spans="1:28" x14ac:dyDescent="0.2">
      <c r="A245" s="4"/>
      <c r="B245" s="94"/>
      <c r="C245" s="94"/>
      <c r="D245" s="94"/>
      <c r="E245" s="94"/>
      <c r="F245" s="94"/>
      <c r="G245" s="94"/>
      <c r="H245" s="94"/>
      <c r="I245" s="94"/>
      <c r="J245" s="94"/>
      <c r="K245" s="94"/>
      <c r="L245" s="94"/>
      <c r="M245" s="94"/>
      <c r="N245" s="95"/>
      <c r="O245" s="95"/>
      <c r="P245" s="95"/>
      <c r="Q245" s="95"/>
      <c r="R245" s="95"/>
      <c r="S245" s="95"/>
      <c r="T245" s="95"/>
      <c r="U245" s="95"/>
      <c r="V245" s="96"/>
      <c r="W245" s="96"/>
      <c r="X245" s="97"/>
      <c r="Y245" s="97"/>
      <c r="Z245" s="97"/>
      <c r="AA245" s="4"/>
      <c r="AB245" s="5"/>
    </row>
    <row r="246" spans="1:28" x14ac:dyDescent="0.2">
      <c r="A246" s="4"/>
      <c r="B246" s="90"/>
      <c r="C246" s="90"/>
      <c r="D246" s="90"/>
      <c r="E246" s="90"/>
      <c r="F246" s="90"/>
      <c r="G246" s="90"/>
      <c r="H246" s="90"/>
      <c r="I246" s="90"/>
      <c r="J246" s="90"/>
      <c r="K246" s="90"/>
      <c r="L246" s="90"/>
      <c r="M246" s="90"/>
      <c r="N246" s="91"/>
      <c r="O246" s="91"/>
      <c r="P246" s="91"/>
      <c r="Q246" s="91"/>
      <c r="R246" s="91"/>
      <c r="S246" s="91"/>
      <c r="T246" s="91"/>
      <c r="U246" s="91"/>
      <c r="V246" s="92"/>
      <c r="W246" s="92"/>
      <c r="X246" s="93"/>
      <c r="Y246" s="93"/>
      <c r="Z246" s="93"/>
      <c r="AA246" s="4"/>
      <c r="AB246" s="5"/>
    </row>
    <row r="247" spans="1:28" x14ac:dyDescent="0.2">
      <c r="A247" s="4"/>
      <c r="B247" s="94"/>
      <c r="C247" s="94"/>
      <c r="D247" s="94"/>
      <c r="E247" s="94"/>
      <c r="F247" s="94"/>
      <c r="G247" s="94"/>
      <c r="H247" s="94"/>
      <c r="I247" s="94"/>
      <c r="J247" s="94"/>
      <c r="K247" s="94"/>
      <c r="L247" s="94"/>
      <c r="M247" s="94"/>
      <c r="N247" s="95"/>
      <c r="O247" s="95"/>
      <c r="P247" s="95"/>
      <c r="Q247" s="95"/>
      <c r="R247" s="95"/>
      <c r="S247" s="95"/>
      <c r="T247" s="95"/>
      <c r="U247" s="95"/>
      <c r="V247" s="96"/>
      <c r="W247" s="96"/>
      <c r="X247" s="97"/>
      <c r="Y247" s="97"/>
      <c r="Z247" s="97"/>
      <c r="AA247" s="4"/>
      <c r="AB247" s="5"/>
    </row>
    <row r="248" spans="1:28" x14ac:dyDescent="0.2">
      <c r="A248" s="4"/>
      <c r="B248" s="90"/>
      <c r="C248" s="90"/>
      <c r="D248" s="90"/>
      <c r="E248" s="90"/>
      <c r="F248" s="90"/>
      <c r="G248" s="90"/>
      <c r="H248" s="90"/>
      <c r="I248" s="90"/>
      <c r="J248" s="90"/>
      <c r="K248" s="90"/>
      <c r="L248" s="90"/>
      <c r="M248" s="90"/>
      <c r="N248" s="91"/>
      <c r="O248" s="91"/>
      <c r="P248" s="91"/>
      <c r="Q248" s="91"/>
      <c r="R248" s="91"/>
      <c r="S248" s="91"/>
      <c r="T248" s="91"/>
      <c r="U248" s="91"/>
      <c r="V248" s="92"/>
      <c r="W248" s="92"/>
      <c r="X248" s="93"/>
      <c r="Y248" s="93"/>
      <c r="Z248" s="93"/>
      <c r="AA248" s="4"/>
      <c r="AB248" s="5"/>
    </row>
    <row r="249" spans="1:28" x14ac:dyDescent="0.2">
      <c r="A249" s="4"/>
      <c r="B249" s="94"/>
      <c r="C249" s="94"/>
      <c r="D249" s="94"/>
      <c r="E249" s="94"/>
      <c r="F249" s="94"/>
      <c r="G249" s="94"/>
      <c r="H249" s="94"/>
      <c r="I249" s="94"/>
      <c r="J249" s="94"/>
      <c r="K249" s="94"/>
      <c r="L249" s="94"/>
      <c r="M249" s="94"/>
      <c r="N249" s="95"/>
      <c r="O249" s="95"/>
      <c r="P249" s="95"/>
      <c r="Q249" s="95"/>
      <c r="R249" s="95"/>
      <c r="S249" s="95"/>
      <c r="T249" s="95"/>
      <c r="U249" s="95"/>
      <c r="V249" s="96"/>
      <c r="W249" s="96"/>
      <c r="X249" s="97"/>
      <c r="Y249" s="97"/>
      <c r="Z249" s="97"/>
      <c r="AA249" s="4"/>
      <c r="AB249" s="5"/>
    </row>
    <row r="250" spans="1:28" x14ac:dyDescent="0.2">
      <c r="A250" s="4"/>
      <c r="B250" s="90"/>
      <c r="C250" s="90"/>
      <c r="D250" s="90"/>
      <c r="E250" s="90"/>
      <c r="F250" s="90"/>
      <c r="G250" s="90"/>
      <c r="H250" s="90"/>
      <c r="I250" s="90"/>
      <c r="J250" s="90"/>
      <c r="K250" s="90"/>
      <c r="L250" s="90"/>
      <c r="M250" s="90"/>
      <c r="N250" s="91"/>
      <c r="O250" s="91"/>
      <c r="P250" s="91"/>
      <c r="Q250" s="91"/>
      <c r="R250" s="91"/>
      <c r="S250" s="91"/>
      <c r="T250" s="91"/>
      <c r="U250" s="91"/>
      <c r="V250" s="92"/>
      <c r="W250" s="92"/>
      <c r="X250" s="93"/>
      <c r="Y250" s="93"/>
      <c r="Z250" s="93"/>
      <c r="AA250" s="4"/>
      <c r="AB250" s="5"/>
    </row>
    <row r="251" spans="1:28" x14ac:dyDescent="0.2">
      <c r="A251" s="4"/>
      <c r="B251" s="94"/>
      <c r="C251" s="94"/>
      <c r="D251" s="94"/>
      <c r="E251" s="94"/>
      <c r="F251" s="94"/>
      <c r="G251" s="94"/>
      <c r="H251" s="94"/>
      <c r="I251" s="94"/>
      <c r="J251" s="94"/>
      <c r="K251" s="94"/>
      <c r="L251" s="94"/>
      <c r="M251" s="94"/>
      <c r="N251" s="95"/>
      <c r="O251" s="95"/>
      <c r="P251" s="95"/>
      <c r="Q251" s="95"/>
      <c r="R251" s="95"/>
      <c r="S251" s="95"/>
      <c r="T251" s="95"/>
      <c r="U251" s="95"/>
      <c r="V251" s="96"/>
      <c r="W251" s="96"/>
      <c r="X251" s="97"/>
      <c r="Y251" s="97"/>
      <c r="Z251" s="97"/>
      <c r="AA251" s="4"/>
      <c r="AB251" s="5"/>
    </row>
    <row r="252" spans="1:28" x14ac:dyDescent="0.2">
      <c r="A252" s="4"/>
      <c r="B252" s="90"/>
      <c r="C252" s="90"/>
      <c r="D252" s="90"/>
      <c r="E252" s="90"/>
      <c r="F252" s="90"/>
      <c r="G252" s="90"/>
      <c r="H252" s="90"/>
      <c r="I252" s="90"/>
      <c r="J252" s="90"/>
      <c r="K252" s="90"/>
      <c r="L252" s="90"/>
      <c r="M252" s="90"/>
      <c r="N252" s="91"/>
      <c r="O252" s="91"/>
      <c r="P252" s="91"/>
      <c r="Q252" s="91"/>
      <c r="R252" s="91"/>
      <c r="S252" s="91"/>
      <c r="T252" s="91"/>
      <c r="U252" s="91"/>
      <c r="V252" s="92"/>
      <c r="W252" s="92"/>
      <c r="X252" s="93"/>
      <c r="Y252" s="93"/>
      <c r="Z252" s="93"/>
      <c r="AA252" s="4"/>
      <c r="AB252" s="5"/>
    </row>
    <row r="253" spans="1:28" x14ac:dyDescent="0.2">
      <c r="A253" s="4"/>
      <c r="B253" s="94"/>
      <c r="C253" s="94"/>
      <c r="D253" s="94"/>
      <c r="E253" s="94"/>
      <c r="F253" s="94"/>
      <c r="G253" s="94"/>
      <c r="H253" s="94"/>
      <c r="I253" s="94"/>
      <c r="J253" s="94"/>
      <c r="K253" s="94"/>
      <c r="L253" s="94"/>
      <c r="M253" s="94"/>
      <c r="N253" s="95"/>
      <c r="O253" s="95"/>
      <c r="P253" s="95"/>
      <c r="Q253" s="95"/>
      <c r="R253" s="95"/>
      <c r="S253" s="95"/>
      <c r="T253" s="95"/>
      <c r="U253" s="95"/>
      <c r="V253" s="96"/>
      <c r="W253" s="96"/>
      <c r="X253" s="97"/>
      <c r="Y253" s="97"/>
      <c r="Z253" s="97"/>
      <c r="AA253" s="4"/>
      <c r="AB253" s="5"/>
    </row>
    <row r="254" spans="1:28" x14ac:dyDescent="0.2">
      <c r="A254" s="4"/>
      <c r="B254" s="90"/>
      <c r="C254" s="90"/>
      <c r="D254" s="90"/>
      <c r="E254" s="90"/>
      <c r="F254" s="90"/>
      <c r="G254" s="90"/>
      <c r="H254" s="90"/>
      <c r="I254" s="90"/>
      <c r="J254" s="90"/>
      <c r="K254" s="90"/>
      <c r="L254" s="90"/>
      <c r="M254" s="90"/>
      <c r="N254" s="91"/>
      <c r="O254" s="91"/>
      <c r="P254" s="91"/>
      <c r="Q254" s="91"/>
      <c r="R254" s="91"/>
      <c r="S254" s="91"/>
      <c r="T254" s="91"/>
      <c r="U254" s="91"/>
      <c r="V254" s="92"/>
      <c r="W254" s="92"/>
      <c r="X254" s="93"/>
      <c r="Y254" s="93"/>
      <c r="Z254" s="93"/>
      <c r="AA254" s="4"/>
      <c r="AB254" s="5"/>
    </row>
    <row r="255" spans="1:28" x14ac:dyDescent="0.2">
      <c r="A255" s="4"/>
      <c r="B255" s="94"/>
      <c r="C255" s="94"/>
      <c r="D255" s="94"/>
      <c r="E255" s="94"/>
      <c r="F255" s="94"/>
      <c r="G255" s="94"/>
      <c r="H255" s="94"/>
      <c r="I255" s="94"/>
      <c r="J255" s="94"/>
      <c r="K255" s="94"/>
      <c r="L255" s="94"/>
      <c r="M255" s="94"/>
      <c r="N255" s="95"/>
      <c r="O255" s="95"/>
      <c r="P255" s="95"/>
      <c r="Q255" s="95"/>
      <c r="R255" s="95"/>
      <c r="S255" s="95"/>
      <c r="T255" s="95"/>
      <c r="U255" s="95"/>
      <c r="V255" s="96"/>
      <c r="W255" s="96"/>
      <c r="X255" s="97"/>
      <c r="Y255" s="97"/>
      <c r="Z255" s="97"/>
      <c r="AA255" s="4"/>
      <c r="AB255" s="5"/>
    </row>
    <row r="256" spans="1:28" x14ac:dyDescent="0.2">
      <c r="A256" s="4"/>
      <c r="B256" s="90"/>
      <c r="C256" s="90"/>
      <c r="D256" s="90"/>
      <c r="E256" s="90"/>
      <c r="F256" s="90"/>
      <c r="G256" s="90"/>
      <c r="H256" s="90"/>
      <c r="I256" s="90"/>
      <c r="J256" s="90"/>
      <c r="K256" s="90"/>
      <c r="L256" s="90"/>
      <c r="M256" s="90"/>
      <c r="N256" s="91"/>
      <c r="O256" s="91"/>
      <c r="P256" s="91"/>
      <c r="Q256" s="91"/>
      <c r="R256" s="91"/>
      <c r="S256" s="91"/>
      <c r="T256" s="91"/>
      <c r="U256" s="91"/>
      <c r="V256" s="92"/>
      <c r="W256" s="92"/>
      <c r="X256" s="93"/>
      <c r="Y256" s="93"/>
      <c r="Z256" s="93"/>
      <c r="AA256" s="4"/>
      <c r="AB256" s="5"/>
    </row>
    <row r="257" spans="1:28" x14ac:dyDescent="0.2">
      <c r="A257" s="4"/>
      <c r="B257" s="94"/>
      <c r="C257" s="94"/>
      <c r="D257" s="94"/>
      <c r="E257" s="94"/>
      <c r="F257" s="94"/>
      <c r="G257" s="94"/>
      <c r="H257" s="94"/>
      <c r="I257" s="94"/>
      <c r="J257" s="94"/>
      <c r="K257" s="94"/>
      <c r="L257" s="94"/>
      <c r="M257" s="94"/>
      <c r="N257" s="95"/>
      <c r="O257" s="95"/>
      <c r="P257" s="95"/>
      <c r="Q257" s="95"/>
      <c r="R257" s="95"/>
      <c r="S257" s="95"/>
      <c r="T257" s="95"/>
      <c r="U257" s="95"/>
      <c r="V257" s="96"/>
      <c r="W257" s="96"/>
      <c r="X257" s="97"/>
      <c r="Y257" s="97"/>
      <c r="Z257" s="97"/>
      <c r="AA257" s="4"/>
      <c r="AB257" s="5"/>
    </row>
    <row r="258" spans="1:28" x14ac:dyDescent="0.2">
      <c r="A258" s="4"/>
      <c r="B258" s="90"/>
      <c r="C258" s="90"/>
      <c r="D258" s="90"/>
      <c r="E258" s="90"/>
      <c r="F258" s="90"/>
      <c r="G258" s="90"/>
      <c r="H258" s="90"/>
      <c r="I258" s="90"/>
      <c r="J258" s="90"/>
      <c r="K258" s="90"/>
      <c r="L258" s="90"/>
      <c r="M258" s="90"/>
      <c r="N258" s="91"/>
      <c r="O258" s="91"/>
      <c r="P258" s="91"/>
      <c r="Q258" s="91"/>
      <c r="R258" s="91"/>
      <c r="S258" s="91"/>
      <c r="T258" s="91"/>
      <c r="U258" s="91"/>
      <c r="V258" s="92"/>
      <c r="W258" s="92"/>
      <c r="X258" s="93"/>
      <c r="Y258" s="93"/>
      <c r="Z258" s="93"/>
      <c r="AA258" s="4"/>
      <c r="AB258" s="5"/>
    </row>
    <row r="259" spans="1:28" x14ac:dyDescent="0.2">
      <c r="A259" s="4"/>
      <c r="B259" s="94"/>
      <c r="C259" s="94"/>
      <c r="D259" s="94"/>
      <c r="E259" s="94"/>
      <c r="F259" s="94"/>
      <c r="G259" s="94"/>
      <c r="H259" s="94"/>
      <c r="I259" s="94"/>
      <c r="J259" s="94"/>
      <c r="K259" s="94"/>
      <c r="L259" s="94"/>
      <c r="M259" s="94"/>
      <c r="N259" s="95"/>
      <c r="O259" s="95"/>
      <c r="P259" s="95"/>
      <c r="Q259" s="95"/>
      <c r="R259" s="95"/>
      <c r="S259" s="95"/>
      <c r="T259" s="95"/>
      <c r="U259" s="95"/>
      <c r="V259" s="96"/>
      <c r="W259" s="96"/>
      <c r="X259" s="97"/>
      <c r="Y259" s="97"/>
      <c r="Z259" s="97"/>
      <c r="AA259" s="4"/>
      <c r="AB259" s="5"/>
    </row>
    <row r="260" spans="1:28" x14ac:dyDescent="0.2">
      <c r="A260" s="4"/>
      <c r="B260" s="90"/>
      <c r="C260" s="90"/>
      <c r="D260" s="90"/>
      <c r="E260" s="90"/>
      <c r="F260" s="90"/>
      <c r="G260" s="90"/>
      <c r="H260" s="90"/>
      <c r="I260" s="90"/>
      <c r="J260" s="90"/>
      <c r="K260" s="90"/>
      <c r="L260" s="90"/>
      <c r="M260" s="90"/>
      <c r="N260" s="91"/>
      <c r="O260" s="91"/>
      <c r="P260" s="91"/>
      <c r="Q260" s="91"/>
      <c r="R260" s="91"/>
      <c r="S260" s="91"/>
      <c r="T260" s="91"/>
      <c r="U260" s="91"/>
      <c r="V260" s="92"/>
      <c r="W260" s="92"/>
      <c r="X260" s="93"/>
      <c r="Y260" s="93"/>
      <c r="Z260" s="93"/>
      <c r="AA260" s="4"/>
      <c r="AB260" s="5"/>
    </row>
    <row r="261" spans="1:28" x14ac:dyDescent="0.2">
      <c r="A261" s="4"/>
      <c r="B261" s="94"/>
      <c r="C261" s="94"/>
      <c r="D261" s="94"/>
      <c r="E261" s="94"/>
      <c r="F261" s="94"/>
      <c r="G261" s="94"/>
      <c r="H261" s="94"/>
      <c r="I261" s="94"/>
      <c r="J261" s="94"/>
      <c r="K261" s="94"/>
      <c r="L261" s="94"/>
      <c r="M261" s="94"/>
      <c r="N261" s="95"/>
      <c r="O261" s="95"/>
      <c r="P261" s="95"/>
      <c r="Q261" s="95"/>
      <c r="R261" s="95"/>
      <c r="S261" s="95"/>
      <c r="T261" s="95"/>
      <c r="U261" s="95"/>
      <c r="V261" s="96"/>
      <c r="W261" s="96"/>
      <c r="X261" s="97"/>
      <c r="Y261" s="97"/>
      <c r="Z261" s="97"/>
      <c r="AA261" s="4"/>
      <c r="AB261" s="5"/>
    </row>
    <row r="262" spans="1:28" x14ac:dyDescent="0.2">
      <c r="A262" s="4"/>
      <c r="B262" s="90"/>
      <c r="C262" s="90"/>
      <c r="D262" s="90"/>
      <c r="E262" s="90"/>
      <c r="F262" s="90"/>
      <c r="G262" s="90"/>
      <c r="H262" s="90"/>
      <c r="I262" s="90"/>
      <c r="J262" s="90"/>
      <c r="K262" s="90"/>
      <c r="L262" s="90"/>
      <c r="M262" s="90"/>
      <c r="N262" s="91"/>
      <c r="O262" s="91"/>
      <c r="P262" s="91"/>
      <c r="Q262" s="91"/>
      <c r="R262" s="91"/>
      <c r="S262" s="91"/>
      <c r="T262" s="91"/>
      <c r="U262" s="91"/>
      <c r="V262" s="92"/>
      <c r="W262" s="92"/>
      <c r="X262" s="93"/>
      <c r="Y262" s="93"/>
      <c r="Z262" s="93"/>
      <c r="AA262" s="4"/>
      <c r="AB262" s="5"/>
    </row>
    <row r="263" spans="1:28" x14ac:dyDescent="0.2">
      <c r="A263" s="4"/>
      <c r="B263" s="94"/>
      <c r="C263" s="94"/>
      <c r="D263" s="94"/>
      <c r="E263" s="94"/>
      <c r="F263" s="94"/>
      <c r="G263" s="94"/>
      <c r="H263" s="94"/>
      <c r="I263" s="94"/>
      <c r="J263" s="94"/>
      <c r="K263" s="94"/>
      <c r="L263" s="94"/>
      <c r="M263" s="94"/>
      <c r="N263" s="95"/>
      <c r="O263" s="95"/>
      <c r="P263" s="95"/>
      <c r="Q263" s="95"/>
      <c r="R263" s="95"/>
      <c r="S263" s="95"/>
      <c r="T263" s="95"/>
      <c r="U263" s="95"/>
      <c r="V263" s="96"/>
      <c r="W263" s="96"/>
      <c r="X263" s="97"/>
      <c r="Y263" s="97"/>
      <c r="Z263" s="97"/>
      <c r="AA263" s="4"/>
      <c r="AB263" s="5"/>
    </row>
    <row r="264" spans="1:28" x14ac:dyDescent="0.2">
      <c r="A264" s="4"/>
      <c r="B264" s="90"/>
      <c r="C264" s="90"/>
      <c r="D264" s="90"/>
      <c r="E264" s="90"/>
      <c r="F264" s="90"/>
      <c r="G264" s="90"/>
      <c r="H264" s="90"/>
      <c r="I264" s="90"/>
      <c r="J264" s="90"/>
      <c r="K264" s="90"/>
      <c r="L264" s="90"/>
      <c r="M264" s="90"/>
      <c r="N264" s="91"/>
      <c r="O264" s="91"/>
      <c r="P264" s="91"/>
      <c r="Q264" s="91"/>
      <c r="R264" s="91"/>
      <c r="S264" s="91"/>
      <c r="T264" s="91"/>
      <c r="U264" s="91"/>
      <c r="V264" s="92"/>
      <c r="W264" s="92"/>
      <c r="X264" s="93"/>
      <c r="Y264" s="93"/>
      <c r="Z264" s="93"/>
      <c r="AA264" s="4"/>
      <c r="AB264" s="5"/>
    </row>
    <row r="265" spans="1:28" x14ac:dyDescent="0.2">
      <c r="A265" s="4"/>
      <c r="B265" s="94"/>
      <c r="C265" s="94"/>
      <c r="D265" s="94"/>
      <c r="E265" s="94"/>
      <c r="F265" s="94"/>
      <c r="G265" s="94"/>
      <c r="H265" s="94"/>
      <c r="I265" s="94"/>
      <c r="J265" s="94"/>
      <c r="K265" s="94"/>
      <c r="L265" s="94"/>
      <c r="M265" s="94"/>
      <c r="N265" s="95"/>
      <c r="O265" s="95"/>
      <c r="P265" s="95"/>
      <c r="Q265" s="95"/>
      <c r="R265" s="95"/>
      <c r="S265" s="95"/>
      <c r="T265" s="95"/>
      <c r="U265" s="95"/>
      <c r="V265" s="96"/>
      <c r="W265" s="96"/>
      <c r="X265" s="97"/>
      <c r="Y265" s="97"/>
      <c r="Z265" s="97"/>
      <c r="AA265" s="4"/>
      <c r="AB265" s="5"/>
    </row>
    <row r="266" spans="1:28" x14ac:dyDescent="0.2">
      <c r="A266" s="4"/>
      <c r="B266" s="90"/>
      <c r="C266" s="90"/>
      <c r="D266" s="90"/>
      <c r="E266" s="90"/>
      <c r="F266" s="90"/>
      <c r="G266" s="90"/>
      <c r="H266" s="90"/>
      <c r="I266" s="90"/>
      <c r="J266" s="90"/>
      <c r="K266" s="90"/>
      <c r="L266" s="90"/>
      <c r="M266" s="90"/>
      <c r="N266" s="91"/>
      <c r="O266" s="91"/>
      <c r="P266" s="91"/>
      <c r="Q266" s="91"/>
      <c r="R266" s="91"/>
      <c r="S266" s="91"/>
      <c r="T266" s="91"/>
      <c r="U266" s="91"/>
      <c r="V266" s="92"/>
      <c r="W266" s="92"/>
      <c r="X266" s="93"/>
      <c r="Y266" s="93"/>
      <c r="Z266" s="93"/>
      <c r="AA266" s="4"/>
      <c r="AB266" s="5"/>
    </row>
    <row r="267" spans="1:28" x14ac:dyDescent="0.2">
      <c r="A267" s="4"/>
      <c r="B267" s="94"/>
      <c r="C267" s="94"/>
      <c r="D267" s="94"/>
      <c r="E267" s="94"/>
      <c r="F267" s="94"/>
      <c r="G267" s="94"/>
      <c r="H267" s="94"/>
      <c r="I267" s="94"/>
      <c r="J267" s="94"/>
      <c r="K267" s="94"/>
      <c r="L267" s="94"/>
      <c r="M267" s="94"/>
      <c r="N267" s="95"/>
      <c r="O267" s="95"/>
      <c r="P267" s="95"/>
      <c r="Q267" s="95"/>
      <c r="R267" s="95"/>
      <c r="S267" s="95"/>
      <c r="T267" s="95"/>
      <c r="U267" s="95"/>
      <c r="V267" s="96"/>
      <c r="W267" s="96"/>
      <c r="X267" s="97"/>
      <c r="Y267" s="97"/>
      <c r="Z267" s="97"/>
      <c r="AA267" s="4"/>
      <c r="AB267" s="5"/>
    </row>
    <row r="268" spans="1:28" x14ac:dyDescent="0.2">
      <c r="A268" s="4"/>
      <c r="B268" s="90"/>
      <c r="C268" s="90"/>
      <c r="D268" s="90"/>
      <c r="E268" s="90"/>
      <c r="F268" s="90"/>
      <c r="G268" s="90"/>
      <c r="H268" s="90"/>
      <c r="I268" s="90"/>
      <c r="J268" s="90"/>
      <c r="K268" s="90"/>
      <c r="L268" s="90"/>
      <c r="M268" s="90"/>
      <c r="N268" s="91"/>
      <c r="O268" s="91"/>
      <c r="P268" s="91"/>
      <c r="Q268" s="91"/>
      <c r="R268" s="91"/>
      <c r="S268" s="91"/>
      <c r="T268" s="91"/>
      <c r="U268" s="91"/>
      <c r="V268" s="92"/>
      <c r="W268" s="92"/>
      <c r="X268" s="93"/>
      <c r="Y268" s="93"/>
      <c r="Z268" s="93"/>
      <c r="AA268" s="4"/>
      <c r="AB268" s="5"/>
    </row>
    <row r="269" spans="1:28" x14ac:dyDescent="0.2">
      <c r="A269" s="4"/>
      <c r="B269" s="94"/>
      <c r="C269" s="94"/>
      <c r="D269" s="94"/>
      <c r="E269" s="94"/>
      <c r="F269" s="94"/>
      <c r="G269" s="94"/>
      <c r="H269" s="94"/>
      <c r="I269" s="94"/>
      <c r="J269" s="94"/>
      <c r="K269" s="94"/>
      <c r="L269" s="94"/>
      <c r="M269" s="94"/>
      <c r="N269" s="95"/>
      <c r="O269" s="95"/>
      <c r="P269" s="95"/>
      <c r="Q269" s="95"/>
      <c r="R269" s="95"/>
      <c r="S269" s="95"/>
      <c r="T269" s="95"/>
      <c r="U269" s="95"/>
      <c r="V269" s="96"/>
      <c r="W269" s="96"/>
      <c r="X269" s="97"/>
      <c r="Y269" s="97"/>
      <c r="Z269" s="97"/>
      <c r="AA269" s="4"/>
      <c r="AB269" s="5"/>
    </row>
    <row r="270" spans="1:28" x14ac:dyDescent="0.2">
      <c r="A270" s="4"/>
      <c r="B270" s="90"/>
      <c r="C270" s="90"/>
      <c r="D270" s="90"/>
      <c r="E270" s="90"/>
      <c r="F270" s="90"/>
      <c r="G270" s="90"/>
      <c r="H270" s="90"/>
      <c r="I270" s="90"/>
      <c r="J270" s="90"/>
      <c r="K270" s="90"/>
      <c r="L270" s="90"/>
      <c r="M270" s="90"/>
      <c r="N270" s="91"/>
      <c r="O270" s="91"/>
      <c r="P270" s="91"/>
      <c r="Q270" s="91"/>
      <c r="R270" s="91"/>
      <c r="S270" s="91"/>
      <c r="T270" s="91"/>
      <c r="U270" s="91"/>
      <c r="V270" s="92"/>
      <c r="W270" s="92"/>
      <c r="X270" s="93"/>
      <c r="Y270" s="93"/>
      <c r="Z270" s="93"/>
      <c r="AA270" s="4"/>
      <c r="AB270" s="5"/>
    </row>
    <row r="271" spans="1:28" x14ac:dyDescent="0.2">
      <c r="A271" s="4"/>
      <c r="B271" s="94"/>
      <c r="C271" s="94"/>
      <c r="D271" s="94"/>
      <c r="E271" s="94"/>
      <c r="F271" s="94"/>
      <c r="G271" s="94"/>
      <c r="H271" s="94"/>
      <c r="I271" s="94"/>
      <c r="J271" s="94"/>
      <c r="K271" s="94"/>
      <c r="L271" s="94"/>
      <c r="M271" s="94"/>
      <c r="N271" s="95"/>
      <c r="O271" s="95"/>
      <c r="P271" s="95"/>
      <c r="Q271" s="95"/>
      <c r="R271" s="95"/>
      <c r="S271" s="95"/>
      <c r="T271" s="95"/>
      <c r="U271" s="95"/>
      <c r="V271" s="96"/>
      <c r="W271" s="96"/>
      <c r="X271" s="97"/>
      <c r="Y271" s="97"/>
      <c r="Z271" s="97"/>
      <c r="AA271" s="4"/>
      <c r="AB271" s="5"/>
    </row>
    <row r="272" spans="1:28" x14ac:dyDescent="0.2">
      <c r="A272" s="4"/>
      <c r="B272" s="90"/>
      <c r="C272" s="90"/>
      <c r="D272" s="90"/>
      <c r="E272" s="90"/>
      <c r="F272" s="90"/>
      <c r="G272" s="90"/>
      <c r="H272" s="90"/>
      <c r="I272" s="90"/>
      <c r="J272" s="90"/>
      <c r="K272" s="90"/>
      <c r="L272" s="90"/>
      <c r="M272" s="90"/>
      <c r="N272" s="91"/>
      <c r="O272" s="91"/>
      <c r="P272" s="91"/>
      <c r="Q272" s="91"/>
      <c r="R272" s="91"/>
      <c r="S272" s="91"/>
      <c r="T272" s="91"/>
      <c r="U272" s="91"/>
      <c r="V272" s="92"/>
      <c r="W272" s="92"/>
      <c r="X272" s="93"/>
      <c r="Y272" s="93"/>
      <c r="Z272" s="93"/>
      <c r="AA272" s="4"/>
      <c r="AB272" s="5"/>
    </row>
    <row r="273" spans="1:28" x14ac:dyDescent="0.2">
      <c r="A273" s="4"/>
      <c r="B273" s="94"/>
      <c r="C273" s="94"/>
      <c r="D273" s="94"/>
      <c r="E273" s="94"/>
      <c r="F273" s="94"/>
      <c r="G273" s="94"/>
      <c r="H273" s="94"/>
      <c r="I273" s="94"/>
      <c r="J273" s="94"/>
      <c r="K273" s="94"/>
      <c r="L273" s="94"/>
      <c r="M273" s="94"/>
      <c r="N273" s="95"/>
      <c r="O273" s="95"/>
      <c r="P273" s="95"/>
      <c r="Q273" s="95"/>
      <c r="R273" s="95"/>
      <c r="S273" s="95"/>
      <c r="T273" s="95"/>
      <c r="U273" s="95"/>
      <c r="V273" s="96"/>
      <c r="W273" s="96"/>
      <c r="X273" s="97"/>
      <c r="Y273" s="97"/>
      <c r="Z273" s="97"/>
      <c r="AA273" s="4"/>
      <c r="AB273" s="5"/>
    </row>
    <row r="274" spans="1:28" x14ac:dyDescent="0.2">
      <c r="A274" s="4"/>
      <c r="B274" s="90"/>
      <c r="C274" s="90"/>
      <c r="D274" s="90"/>
      <c r="E274" s="90"/>
      <c r="F274" s="90"/>
      <c r="G274" s="90"/>
      <c r="H274" s="90"/>
      <c r="I274" s="90"/>
      <c r="J274" s="90"/>
      <c r="K274" s="90"/>
      <c r="L274" s="90"/>
      <c r="M274" s="90"/>
      <c r="N274" s="91"/>
      <c r="O274" s="91"/>
      <c r="P274" s="91"/>
      <c r="Q274" s="91"/>
      <c r="R274" s="91"/>
      <c r="S274" s="91"/>
      <c r="T274" s="91"/>
      <c r="U274" s="91"/>
      <c r="V274" s="92"/>
      <c r="W274" s="92"/>
      <c r="X274" s="93"/>
      <c r="Y274" s="93"/>
      <c r="Z274" s="93"/>
      <c r="AA274" s="4"/>
      <c r="AB274" s="5"/>
    </row>
    <row r="275" spans="1:28" x14ac:dyDescent="0.2">
      <c r="A275" s="4"/>
      <c r="B275" s="94"/>
      <c r="C275" s="94"/>
      <c r="D275" s="94"/>
      <c r="E275" s="94"/>
      <c r="F275" s="94"/>
      <c r="G275" s="94"/>
      <c r="H275" s="94"/>
      <c r="I275" s="94"/>
      <c r="J275" s="94"/>
      <c r="K275" s="94"/>
      <c r="L275" s="94"/>
      <c r="M275" s="94"/>
      <c r="N275" s="95"/>
      <c r="O275" s="95"/>
      <c r="P275" s="95"/>
      <c r="Q275" s="95"/>
      <c r="R275" s="95"/>
      <c r="S275" s="95"/>
      <c r="T275" s="95"/>
      <c r="U275" s="95"/>
      <c r="V275" s="96"/>
      <c r="W275" s="96"/>
      <c r="X275" s="97"/>
      <c r="Y275" s="97"/>
      <c r="Z275" s="97"/>
      <c r="AA275" s="4"/>
      <c r="AB275" s="5"/>
    </row>
    <row r="276" spans="1:28" x14ac:dyDescent="0.2">
      <c r="A276" s="4"/>
      <c r="B276" s="90"/>
      <c r="C276" s="90"/>
      <c r="D276" s="90"/>
      <c r="E276" s="90"/>
      <c r="F276" s="90"/>
      <c r="G276" s="90"/>
      <c r="H276" s="90"/>
      <c r="I276" s="90"/>
      <c r="J276" s="90"/>
      <c r="K276" s="90"/>
      <c r="L276" s="90"/>
      <c r="M276" s="90"/>
      <c r="N276" s="91"/>
      <c r="O276" s="91"/>
      <c r="P276" s="91"/>
      <c r="Q276" s="91"/>
      <c r="R276" s="91"/>
      <c r="S276" s="91"/>
      <c r="T276" s="91"/>
      <c r="U276" s="91"/>
      <c r="V276" s="92"/>
      <c r="W276" s="92"/>
      <c r="X276" s="93"/>
      <c r="Y276" s="93"/>
      <c r="Z276" s="93"/>
      <c r="AA276" s="4"/>
      <c r="AB276" s="5"/>
    </row>
    <row r="277" spans="1:28" x14ac:dyDescent="0.2">
      <c r="A277" s="4"/>
      <c r="B277" s="94"/>
      <c r="C277" s="94"/>
      <c r="D277" s="94"/>
      <c r="E277" s="94"/>
      <c r="F277" s="94"/>
      <c r="G277" s="94"/>
      <c r="H277" s="94"/>
      <c r="I277" s="94"/>
      <c r="J277" s="94"/>
      <c r="K277" s="94"/>
      <c r="L277" s="94"/>
      <c r="M277" s="94"/>
      <c r="N277" s="95"/>
      <c r="O277" s="95"/>
      <c r="P277" s="95"/>
      <c r="Q277" s="95"/>
      <c r="R277" s="95"/>
      <c r="S277" s="95"/>
      <c r="T277" s="95"/>
      <c r="U277" s="95"/>
      <c r="V277" s="96"/>
      <c r="W277" s="96"/>
      <c r="X277" s="97"/>
      <c r="Y277" s="97"/>
      <c r="Z277" s="97"/>
      <c r="AA277" s="4"/>
      <c r="AB277" s="5"/>
    </row>
    <row r="278" spans="1:28" x14ac:dyDescent="0.2">
      <c r="A278" s="4"/>
      <c r="B278" s="90"/>
      <c r="C278" s="90"/>
      <c r="D278" s="90"/>
      <c r="E278" s="90"/>
      <c r="F278" s="90"/>
      <c r="G278" s="90"/>
      <c r="H278" s="90"/>
      <c r="I278" s="90"/>
      <c r="J278" s="90"/>
      <c r="K278" s="90"/>
      <c r="L278" s="90"/>
      <c r="M278" s="90"/>
      <c r="N278" s="91"/>
      <c r="O278" s="91"/>
      <c r="P278" s="91"/>
      <c r="Q278" s="91"/>
      <c r="R278" s="91"/>
      <c r="S278" s="91"/>
      <c r="T278" s="91"/>
      <c r="U278" s="91"/>
      <c r="V278" s="92"/>
      <c r="W278" s="92"/>
      <c r="X278" s="93"/>
      <c r="Y278" s="93"/>
      <c r="Z278" s="93"/>
      <c r="AA278" s="4"/>
      <c r="AB278" s="5"/>
    </row>
    <row r="279" spans="1:28" x14ac:dyDescent="0.2">
      <c r="A279" s="4"/>
      <c r="B279" s="94"/>
      <c r="C279" s="94"/>
      <c r="D279" s="94"/>
      <c r="E279" s="94"/>
      <c r="F279" s="94"/>
      <c r="G279" s="94"/>
      <c r="H279" s="94"/>
      <c r="I279" s="94"/>
      <c r="J279" s="94"/>
      <c r="K279" s="94"/>
      <c r="L279" s="94"/>
      <c r="M279" s="94"/>
      <c r="N279" s="95"/>
      <c r="O279" s="95"/>
      <c r="P279" s="95"/>
      <c r="Q279" s="95"/>
      <c r="R279" s="95"/>
      <c r="S279" s="95"/>
      <c r="T279" s="95"/>
      <c r="U279" s="95"/>
      <c r="V279" s="96"/>
      <c r="W279" s="96"/>
      <c r="X279" s="97"/>
      <c r="Y279" s="97"/>
      <c r="Z279" s="97"/>
      <c r="AA279" s="4"/>
      <c r="AB279" s="5"/>
    </row>
    <row r="280" spans="1:28" x14ac:dyDescent="0.2">
      <c r="A280" s="4"/>
      <c r="B280" s="90"/>
      <c r="C280" s="90"/>
      <c r="D280" s="90"/>
      <c r="E280" s="90"/>
      <c r="F280" s="90"/>
      <c r="G280" s="90"/>
      <c r="H280" s="90"/>
      <c r="I280" s="90"/>
      <c r="J280" s="90"/>
      <c r="K280" s="90"/>
      <c r="L280" s="90"/>
      <c r="M280" s="90"/>
      <c r="N280" s="91"/>
      <c r="O280" s="91"/>
      <c r="P280" s="91"/>
      <c r="Q280" s="91"/>
      <c r="R280" s="91"/>
      <c r="S280" s="91"/>
      <c r="T280" s="91"/>
      <c r="U280" s="91"/>
      <c r="V280" s="92"/>
      <c r="W280" s="92"/>
      <c r="X280" s="93"/>
      <c r="Y280" s="93"/>
      <c r="Z280" s="93"/>
      <c r="AA280" s="4"/>
      <c r="AB280" s="5"/>
    </row>
    <row r="281" spans="1:28" x14ac:dyDescent="0.2">
      <c r="A281" s="4"/>
      <c r="B281" s="94"/>
      <c r="C281" s="94"/>
      <c r="D281" s="94"/>
      <c r="E281" s="94"/>
      <c r="F281" s="94"/>
      <c r="G281" s="94"/>
      <c r="H281" s="94"/>
      <c r="I281" s="94"/>
      <c r="J281" s="94"/>
      <c r="K281" s="94"/>
      <c r="L281" s="94"/>
      <c r="M281" s="94"/>
      <c r="N281" s="95"/>
      <c r="O281" s="95"/>
      <c r="P281" s="95"/>
      <c r="Q281" s="95"/>
      <c r="R281" s="95"/>
      <c r="S281" s="95"/>
      <c r="T281" s="95"/>
      <c r="U281" s="95"/>
      <c r="V281" s="96"/>
      <c r="W281" s="96"/>
      <c r="X281" s="97"/>
      <c r="Y281" s="97"/>
      <c r="Z281" s="97"/>
      <c r="AA281" s="4"/>
      <c r="AB281" s="5"/>
    </row>
    <row r="282" spans="1:28" x14ac:dyDescent="0.2">
      <c r="A282" s="4"/>
      <c r="B282" s="90"/>
      <c r="C282" s="90"/>
      <c r="D282" s="90"/>
      <c r="E282" s="90"/>
      <c r="F282" s="90"/>
      <c r="G282" s="90"/>
      <c r="H282" s="90"/>
      <c r="I282" s="90"/>
      <c r="J282" s="90"/>
      <c r="K282" s="90"/>
      <c r="L282" s="90"/>
      <c r="M282" s="90"/>
      <c r="N282" s="91"/>
      <c r="O282" s="91"/>
      <c r="P282" s="91"/>
      <c r="Q282" s="91"/>
      <c r="R282" s="91"/>
      <c r="S282" s="91"/>
      <c r="T282" s="91"/>
      <c r="U282" s="91"/>
      <c r="V282" s="92"/>
      <c r="W282" s="92"/>
      <c r="X282" s="93"/>
      <c r="Y282" s="93"/>
      <c r="Z282" s="93"/>
      <c r="AA282" s="4"/>
      <c r="AB282" s="5"/>
    </row>
    <row r="283" spans="1:28" x14ac:dyDescent="0.2">
      <c r="A283" s="4"/>
      <c r="B283" s="94"/>
      <c r="C283" s="94"/>
      <c r="D283" s="94"/>
      <c r="E283" s="94"/>
      <c r="F283" s="94"/>
      <c r="G283" s="94"/>
      <c r="H283" s="94"/>
      <c r="I283" s="94"/>
      <c r="J283" s="94"/>
      <c r="K283" s="94"/>
      <c r="L283" s="94"/>
      <c r="M283" s="94"/>
      <c r="N283" s="95"/>
      <c r="O283" s="95"/>
      <c r="P283" s="95"/>
      <c r="Q283" s="95"/>
      <c r="R283" s="95"/>
      <c r="S283" s="95"/>
      <c r="T283" s="95"/>
      <c r="U283" s="95"/>
      <c r="V283" s="96"/>
      <c r="W283" s="96"/>
      <c r="X283" s="97"/>
      <c r="Y283" s="97"/>
      <c r="Z283" s="97"/>
      <c r="AA283" s="4"/>
      <c r="AB283" s="5"/>
    </row>
    <row r="284" spans="1:28" x14ac:dyDescent="0.2">
      <c r="A284" s="4"/>
      <c r="B284" s="90"/>
      <c r="C284" s="90"/>
      <c r="D284" s="90"/>
      <c r="E284" s="90"/>
      <c r="F284" s="90"/>
      <c r="G284" s="90"/>
      <c r="H284" s="90"/>
      <c r="I284" s="90"/>
      <c r="J284" s="90"/>
      <c r="K284" s="90"/>
      <c r="L284" s="90"/>
      <c r="M284" s="90"/>
      <c r="N284" s="91"/>
      <c r="O284" s="91"/>
      <c r="P284" s="91"/>
      <c r="Q284" s="91"/>
      <c r="R284" s="91"/>
      <c r="S284" s="91"/>
      <c r="T284" s="91"/>
      <c r="U284" s="91"/>
      <c r="V284" s="92"/>
      <c r="W284" s="92"/>
      <c r="X284" s="93"/>
      <c r="Y284" s="93"/>
      <c r="Z284" s="93"/>
      <c r="AA284" s="4"/>
      <c r="AB284" s="5"/>
    </row>
    <row r="285" spans="1:28" x14ac:dyDescent="0.2">
      <c r="A285" s="4"/>
      <c r="B285" s="94"/>
      <c r="C285" s="94"/>
      <c r="D285" s="94"/>
      <c r="E285" s="94"/>
      <c r="F285" s="94"/>
      <c r="G285" s="94"/>
      <c r="H285" s="94"/>
      <c r="I285" s="94"/>
      <c r="J285" s="94"/>
      <c r="K285" s="94"/>
      <c r="L285" s="94"/>
      <c r="M285" s="94"/>
      <c r="N285" s="95"/>
      <c r="O285" s="95"/>
      <c r="P285" s="95"/>
      <c r="Q285" s="95"/>
      <c r="R285" s="95"/>
      <c r="S285" s="95"/>
      <c r="T285" s="95"/>
      <c r="U285" s="95"/>
      <c r="V285" s="96"/>
      <c r="W285" s="96"/>
      <c r="X285" s="97"/>
      <c r="Y285" s="97"/>
      <c r="Z285" s="97"/>
      <c r="AA285" s="4"/>
      <c r="AB285" s="5"/>
    </row>
    <row r="286" spans="1:28" x14ac:dyDescent="0.2">
      <c r="A286" s="4"/>
      <c r="B286" s="90"/>
      <c r="C286" s="90"/>
      <c r="D286" s="90"/>
      <c r="E286" s="90"/>
      <c r="F286" s="90"/>
      <c r="G286" s="90"/>
      <c r="H286" s="90"/>
      <c r="I286" s="90"/>
      <c r="J286" s="90"/>
      <c r="K286" s="90"/>
      <c r="L286" s="90"/>
      <c r="M286" s="90"/>
      <c r="N286" s="91"/>
      <c r="O286" s="91"/>
      <c r="P286" s="91"/>
      <c r="Q286" s="91"/>
      <c r="R286" s="91"/>
      <c r="S286" s="91"/>
      <c r="T286" s="91"/>
      <c r="U286" s="91"/>
      <c r="V286" s="92"/>
      <c r="W286" s="92"/>
      <c r="X286" s="93"/>
      <c r="Y286" s="93"/>
      <c r="Z286" s="93"/>
      <c r="AA286" s="4"/>
      <c r="AB286" s="5"/>
    </row>
    <row r="287" spans="1:28" x14ac:dyDescent="0.2">
      <c r="A287" s="4"/>
      <c r="B287" s="94"/>
      <c r="C287" s="94"/>
      <c r="D287" s="94"/>
      <c r="E287" s="94"/>
      <c r="F287" s="94"/>
      <c r="G287" s="94"/>
      <c r="H287" s="94"/>
      <c r="I287" s="94"/>
      <c r="J287" s="94"/>
      <c r="K287" s="94"/>
      <c r="L287" s="94"/>
      <c r="M287" s="94"/>
      <c r="N287" s="95"/>
      <c r="O287" s="95"/>
      <c r="P287" s="95"/>
      <c r="Q287" s="95"/>
      <c r="R287" s="95"/>
      <c r="S287" s="95"/>
      <c r="T287" s="95"/>
      <c r="U287" s="95"/>
      <c r="V287" s="96"/>
      <c r="W287" s="96"/>
      <c r="X287" s="97"/>
      <c r="Y287" s="97"/>
      <c r="Z287" s="97"/>
      <c r="AA287" s="4"/>
      <c r="AB287" s="5"/>
    </row>
    <row r="288" spans="1:28" x14ac:dyDescent="0.2">
      <c r="A288" s="4"/>
      <c r="B288" s="90"/>
      <c r="C288" s="90"/>
      <c r="D288" s="90"/>
      <c r="E288" s="90"/>
      <c r="F288" s="90"/>
      <c r="G288" s="90"/>
      <c r="H288" s="90"/>
      <c r="I288" s="90"/>
      <c r="J288" s="90"/>
      <c r="K288" s="90"/>
      <c r="L288" s="90"/>
      <c r="M288" s="90"/>
      <c r="N288" s="91"/>
      <c r="O288" s="91"/>
      <c r="P288" s="91"/>
      <c r="Q288" s="91"/>
      <c r="R288" s="91"/>
      <c r="S288" s="91"/>
      <c r="T288" s="91"/>
      <c r="U288" s="91"/>
      <c r="V288" s="92"/>
      <c r="W288" s="92"/>
      <c r="X288" s="93"/>
      <c r="Y288" s="93"/>
      <c r="Z288" s="93"/>
      <c r="AA288" s="4"/>
      <c r="AB288" s="5"/>
    </row>
    <row r="289" spans="1:28" x14ac:dyDescent="0.2">
      <c r="A289" s="4"/>
      <c r="B289" s="94"/>
      <c r="C289" s="94"/>
      <c r="D289" s="94"/>
      <c r="E289" s="94"/>
      <c r="F289" s="94"/>
      <c r="G289" s="94"/>
      <c r="H289" s="94"/>
      <c r="I289" s="94"/>
      <c r="J289" s="94"/>
      <c r="K289" s="94"/>
      <c r="L289" s="94"/>
      <c r="M289" s="94"/>
      <c r="N289" s="95"/>
      <c r="O289" s="95"/>
      <c r="P289" s="95"/>
      <c r="Q289" s="95"/>
      <c r="R289" s="95"/>
      <c r="S289" s="95"/>
      <c r="T289" s="95"/>
      <c r="U289" s="95"/>
      <c r="V289" s="96"/>
      <c r="W289" s="96"/>
      <c r="X289" s="97"/>
      <c r="Y289" s="97"/>
      <c r="Z289" s="97"/>
      <c r="AA289" s="4"/>
      <c r="AB289" s="5"/>
    </row>
    <row r="290" spans="1:28" x14ac:dyDescent="0.2">
      <c r="A290" s="4"/>
      <c r="B290" s="90"/>
      <c r="C290" s="90"/>
      <c r="D290" s="90"/>
      <c r="E290" s="90"/>
      <c r="F290" s="90"/>
      <c r="G290" s="90"/>
      <c r="H290" s="90"/>
      <c r="I290" s="90"/>
      <c r="J290" s="90"/>
      <c r="K290" s="90"/>
      <c r="L290" s="90"/>
      <c r="M290" s="90"/>
      <c r="N290" s="91"/>
      <c r="O290" s="91"/>
      <c r="P290" s="91"/>
      <c r="Q290" s="91"/>
      <c r="R290" s="91"/>
      <c r="S290" s="91"/>
      <c r="T290" s="91"/>
      <c r="U290" s="91"/>
      <c r="V290" s="92"/>
      <c r="W290" s="92"/>
      <c r="X290" s="93"/>
      <c r="Y290" s="93"/>
      <c r="Z290" s="93"/>
      <c r="AA290" s="4"/>
      <c r="AB290" s="5"/>
    </row>
    <row r="291" spans="1:28" x14ac:dyDescent="0.2">
      <c r="A291" s="4"/>
      <c r="B291" s="94"/>
      <c r="C291" s="94"/>
      <c r="D291" s="94"/>
      <c r="E291" s="94"/>
      <c r="F291" s="94"/>
      <c r="G291" s="94"/>
      <c r="H291" s="94"/>
      <c r="I291" s="94"/>
      <c r="J291" s="94"/>
      <c r="K291" s="94"/>
      <c r="L291" s="94"/>
      <c r="M291" s="94"/>
      <c r="N291" s="95"/>
      <c r="O291" s="95"/>
      <c r="P291" s="95"/>
      <c r="Q291" s="95"/>
      <c r="R291" s="95"/>
      <c r="S291" s="95"/>
      <c r="T291" s="95"/>
      <c r="U291" s="95"/>
      <c r="V291" s="96"/>
      <c r="W291" s="96"/>
      <c r="X291" s="97"/>
      <c r="Y291" s="97"/>
      <c r="Z291" s="97"/>
      <c r="AA291" s="4"/>
      <c r="AB291" s="5"/>
    </row>
    <row r="292" spans="1:28" x14ac:dyDescent="0.2">
      <c r="A292" s="4"/>
      <c r="B292" s="90"/>
      <c r="C292" s="90"/>
      <c r="D292" s="90"/>
      <c r="E292" s="90"/>
      <c r="F292" s="90"/>
      <c r="G292" s="90"/>
      <c r="H292" s="90"/>
      <c r="I292" s="90"/>
      <c r="J292" s="90"/>
      <c r="K292" s="90"/>
      <c r="L292" s="90"/>
      <c r="M292" s="90"/>
      <c r="N292" s="91"/>
      <c r="O292" s="91"/>
      <c r="P292" s="91"/>
      <c r="Q292" s="91"/>
      <c r="R292" s="91"/>
      <c r="S292" s="91"/>
      <c r="T292" s="91"/>
      <c r="U292" s="91"/>
      <c r="V292" s="92"/>
      <c r="W292" s="92"/>
      <c r="X292" s="93"/>
      <c r="Y292" s="93"/>
      <c r="Z292" s="93"/>
      <c r="AA292" s="4"/>
      <c r="AB292" s="5"/>
    </row>
    <row r="293" spans="1:28" x14ac:dyDescent="0.2">
      <c r="A293" s="4"/>
      <c r="B293" s="94"/>
      <c r="C293" s="94"/>
      <c r="D293" s="94"/>
      <c r="E293" s="94"/>
      <c r="F293" s="94"/>
      <c r="G293" s="94"/>
      <c r="H293" s="94"/>
      <c r="I293" s="94"/>
      <c r="J293" s="94"/>
      <c r="K293" s="94"/>
      <c r="L293" s="94"/>
      <c r="M293" s="94"/>
      <c r="N293" s="95"/>
      <c r="O293" s="95"/>
      <c r="P293" s="95"/>
      <c r="Q293" s="95"/>
      <c r="R293" s="95"/>
      <c r="S293" s="95"/>
      <c r="T293" s="95"/>
      <c r="U293" s="95"/>
      <c r="V293" s="96"/>
      <c r="W293" s="96"/>
      <c r="X293" s="97"/>
      <c r="Y293" s="97"/>
      <c r="Z293" s="97"/>
      <c r="AA293" s="4"/>
      <c r="AB293" s="5"/>
    </row>
    <row r="294" spans="1:28" x14ac:dyDescent="0.2">
      <c r="A294" s="4"/>
      <c r="B294" s="90"/>
      <c r="C294" s="90"/>
      <c r="D294" s="90"/>
      <c r="E294" s="90"/>
      <c r="F294" s="90"/>
      <c r="G294" s="90"/>
      <c r="H294" s="90"/>
      <c r="I294" s="90"/>
      <c r="J294" s="90"/>
      <c r="K294" s="90"/>
      <c r="L294" s="90"/>
      <c r="M294" s="90"/>
      <c r="N294" s="91"/>
      <c r="O294" s="91"/>
      <c r="P294" s="91"/>
      <c r="Q294" s="91"/>
      <c r="R294" s="91"/>
      <c r="S294" s="91"/>
      <c r="T294" s="91"/>
      <c r="U294" s="91"/>
      <c r="V294" s="92"/>
      <c r="W294" s="92"/>
      <c r="X294" s="93"/>
      <c r="Y294" s="93"/>
      <c r="Z294" s="93"/>
      <c r="AA294" s="4"/>
      <c r="AB294" s="5"/>
    </row>
    <row r="295" spans="1:28" x14ac:dyDescent="0.2">
      <c r="A295" s="4"/>
      <c r="B295" s="94"/>
      <c r="C295" s="94"/>
      <c r="D295" s="94"/>
      <c r="E295" s="94"/>
      <c r="F295" s="94"/>
      <c r="G295" s="94"/>
      <c r="H295" s="94"/>
      <c r="I295" s="94"/>
      <c r="J295" s="94"/>
      <c r="K295" s="94"/>
      <c r="L295" s="94"/>
      <c r="M295" s="94"/>
      <c r="N295" s="95"/>
      <c r="O295" s="95"/>
      <c r="P295" s="95"/>
      <c r="Q295" s="95"/>
      <c r="R295" s="95"/>
      <c r="S295" s="95"/>
      <c r="T295" s="95"/>
      <c r="U295" s="95"/>
      <c r="V295" s="96"/>
      <c r="W295" s="96"/>
      <c r="X295" s="97"/>
      <c r="Y295" s="97"/>
      <c r="Z295" s="97"/>
      <c r="AA295" s="4"/>
      <c r="AB295" s="5"/>
    </row>
    <row r="296" spans="1:28" x14ac:dyDescent="0.2">
      <c r="A296" s="4"/>
      <c r="B296" s="90"/>
      <c r="C296" s="90"/>
      <c r="D296" s="90"/>
      <c r="E296" s="90"/>
      <c r="F296" s="90"/>
      <c r="G296" s="90"/>
      <c r="H296" s="90"/>
      <c r="I296" s="90"/>
      <c r="J296" s="90"/>
      <c r="K296" s="90"/>
      <c r="L296" s="90"/>
      <c r="M296" s="90"/>
      <c r="N296" s="91"/>
      <c r="O296" s="91"/>
      <c r="P296" s="91"/>
      <c r="Q296" s="91"/>
      <c r="R296" s="91"/>
      <c r="S296" s="91"/>
      <c r="T296" s="91"/>
      <c r="U296" s="91"/>
      <c r="V296" s="92"/>
      <c r="W296" s="92"/>
      <c r="X296" s="93"/>
      <c r="Y296" s="93"/>
      <c r="Z296" s="93"/>
      <c r="AA296" s="4"/>
      <c r="AB296" s="5"/>
    </row>
    <row r="297" spans="1:28" x14ac:dyDescent="0.2">
      <c r="A297" s="4"/>
      <c r="B297" s="94"/>
      <c r="C297" s="94"/>
      <c r="D297" s="94"/>
      <c r="E297" s="94"/>
      <c r="F297" s="94"/>
      <c r="G297" s="94"/>
      <c r="H297" s="94"/>
      <c r="I297" s="94"/>
      <c r="J297" s="94"/>
      <c r="K297" s="94"/>
      <c r="L297" s="94"/>
      <c r="M297" s="94"/>
      <c r="N297" s="95"/>
      <c r="O297" s="95"/>
      <c r="P297" s="95"/>
      <c r="Q297" s="95"/>
      <c r="R297" s="95"/>
      <c r="S297" s="95"/>
      <c r="T297" s="95"/>
      <c r="U297" s="95"/>
      <c r="V297" s="96"/>
      <c r="W297" s="96"/>
      <c r="X297" s="97"/>
      <c r="Y297" s="97"/>
      <c r="Z297" s="97"/>
      <c r="AA297" s="4"/>
      <c r="AB297" s="5"/>
    </row>
    <row r="298" spans="1:28" x14ac:dyDescent="0.2">
      <c r="A298" s="4"/>
      <c r="B298" s="90"/>
      <c r="C298" s="90"/>
      <c r="D298" s="90"/>
      <c r="E298" s="90"/>
      <c r="F298" s="90"/>
      <c r="G298" s="90"/>
      <c r="H298" s="90"/>
      <c r="I298" s="90"/>
      <c r="J298" s="90"/>
      <c r="K298" s="90"/>
      <c r="L298" s="90"/>
      <c r="M298" s="90"/>
      <c r="N298" s="91"/>
      <c r="O298" s="91"/>
      <c r="P298" s="91"/>
      <c r="Q298" s="91"/>
      <c r="R298" s="91"/>
      <c r="S298" s="91"/>
      <c r="T298" s="91"/>
      <c r="U298" s="91"/>
      <c r="V298" s="92"/>
      <c r="W298" s="92"/>
      <c r="X298" s="93"/>
      <c r="Y298" s="93"/>
      <c r="Z298" s="93"/>
      <c r="AA298" s="4"/>
      <c r="AB298" s="5"/>
    </row>
    <row r="299" spans="1:28" x14ac:dyDescent="0.2">
      <c r="A299" s="4"/>
      <c r="B299" s="94"/>
      <c r="C299" s="94"/>
      <c r="D299" s="94"/>
      <c r="E299" s="94"/>
      <c r="F299" s="94"/>
      <c r="G299" s="94"/>
      <c r="H299" s="94"/>
      <c r="I299" s="94"/>
      <c r="J299" s="94"/>
      <c r="K299" s="94"/>
      <c r="L299" s="94"/>
      <c r="M299" s="94"/>
      <c r="N299" s="95"/>
      <c r="O299" s="95"/>
      <c r="P299" s="95"/>
      <c r="Q299" s="95"/>
      <c r="R299" s="95"/>
      <c r="S299" s="95"/>
      <c r="T299" s="95"/>
      <c r="U299" s="95"/>
      <c r="V299" s="96"/>
      <c r="W299" s="96"/>
      <c r="X299" s="97"/>
      <c r="Y299" s="97"/>
      <c r="Z299" s="97"/>
      <c r="AA299" s="4"/>
      <c r="AB299" s="5"/>
    </row>
    <row r="300" spans="1:28" x14ac:dyDescent="0.2">
      <c r="A300" s="4"/>
      <c r="B300" s="90"/>
      <c r="C300" s="90"/>
      <c r="D300" s="90"/>
      <c r="E300" s="90"/>
      <c r="F300" s="90"/>
      <c r="G300" s="90"/>
      <c r="H300" s="90"/>
      <c r="I300" s="90"/>
      <c r="J300" s="90"/>
      <c r="K300" s="90"/>
      <c r="L300" s="90"/>
      <c r="M300" s="90"/>
      <c r="N300" s="91"/>
      <c r="O300" s="91"/>
      <c r="P300" s="91"/>
      <c r="Q300" s="91"/>
      <c r="R300" s="91"/>
      <c r="S300" s="91"/>
      <c r="T300" s="91"/>
      <c r="U300" s="91"/>
      <c r="V300" s="92"/>
      <c r="W300" s="92"/>
      <c r="X300" s="93"/>
      <c r="Y300" s="93"/>
      <c r="Z300" s="93"/>
      <c r="AA300" s="4"/>
      <c r="AB300" s="5"/>
    </row>
    <row r="301" spans="1:28" x14ac:dyDescent="0.2">
      <c r="A301" s="4"/>
      <c r="B301" s="94"/>
      <c r="C301" s="94"/>
      <c r="D301" s="94"/>
      <c r="E301" s="94"/>
      <c r="F301" s="94"/>
      <c r="G301" s="94"/>
      <c r="H301" s="94"/>
      <c r="I301" s="94"/>
      <c r="J301" s="94"/>
      <c r="K301" s="94"/>
      <c r="L301" s="94"/>
      <c r="M301" s="94"/>
      <c r="N301" s="95"/>
      <c r="O301" s="95"/>
      <c r="P301" s="95"/>
      <c r="Q301" s="95"/>
      <c r="R301" s="95"/>
      <c r="S301" s="95"/>
      <c r="T301" s="95"/>
      <c r="U301" s="95"/>
      <c r="V301" s="96"/>
      <c r="W301" s="96"/>
      <c r="X301" s="97"/>
      <c r="Y301" s="97"/>
      <c r="Z301" s="97"/>
      <c r="AA301" s="4"/>
      <c r="AB301" s="5"/>
    </row>
    <row r="302" spans="1:28" x14ac:dyDescent="0.2">
      <c r="A302" s="4"/>
      <c r="B302" s="90"/>
      <c r="C302" s="90"/>
      <c r="D302" s="90"/>
      <c r="E302" s="90"/>
      <c r="F302" s="90"/>
      <c r="G302" s="90"/>
      <c r="H302" s="90"/>
      <c r="I302" s="90"/>
      <c r="J302" s="90"/>
      <c r="K302" s="90"/>
      <c r="L302" s="90"/>
      <c r="M302" s="90"/>
      <c r="N302" s="91"/>
      <c r="O302" s="91"/>
      <c r="P302" s="91"/>
      <c r="Q302" s="91"/>
      <c r="R302" s="91"/>
      <c r="S302" s="91"/>
      <c r="T302" s="91"/>
      <c r="U302" s="91"/>
      <c r="V302" s="92"/>
      <c r="W302" s="92"/>
      <c r="X302" s="93"/>
      <c r="Y302" s="93"/>
      <c r="Z302" s="93"/>
      <c r="AA302" s="4"/>
      <c r="AB302" s="5"/>
    </row>
    <row r="303" spans="1:28" x14ac:dyDescent="0.2">
      <c r="A303" s="4"/>
      <c r="B303" s="94"/>
      <c r="C303" s="94"/>
      <c r="D303" s="94"/>
      <c r="E303" s="94"/>
      <c r="F303" s="94"/>
      <c r="G303" s="94"/>
      <c r="H303" s="94"/>
      <c r="I303" s="94"/>
      <c r="J303" s="94"/>
      <c r="K303" s="94"/>
      <c r="L303" s="94"/>
      <c r="M303" s="94"/>
      <c r="N303" s="95"/>
      <c r="O303" s="95"/>
      <c r="P303" s="95"/>
      <c r="Q303" s="95"/>
      <c r="R303" s="95"/>
      <c r="S303" s="95"/>
      <c r="T303" s="95"/>
      <c r="U303" s="95"/>
      <c r="V303" s="96"/>
      <c r="W303" s="96"/>
      <c r="X303" s="97"/>
      <c r="Y303" s="97"/>
      <c r="Z303" s="97"/>
      <c r="AA303" s="4"/>
      <c r="AB303" s="5"/>
    </row>
    <row r="304" spans="1:28" x14ac:dyDescent="0.2">
      <c r="A304" s="4"/>
      <c r="B304" s="90"/>
      <c r="C304" s="90"/>
      <c r="D304" s="90"/>
      <c r="E304" s="90"/>
      <c r="F304" s="90"/>
      <c r="G304" s="90"/>
      <c r="H304" s="90"/>
      <c r="I304" s="90"/>
      <c r="J304" s="90"/>
      <c r="K304" s="90"/>
      <c r="L304" s="90"/>
      <c r="M304" s="90"/>
      <c r="N304" s="91"/>
      <c r="O304" s="91"/>
      <c r="P304" s="91"/>
      <c r="Q304" s="91"/>
      <c r="R304" s="91"/>
      <c r="S304" s="91"/>
      <c r="T304" s="91"/>
      <c r="U304" s="91"/>
      <c r="V304" s="92"/>
      <c r="W304" s="92"/>
      <c r="X304" s="93"/>
      <c r="Y304" s="93"/>
      <c r="Z304" s="93"/>
      <c r="AA304" s="4"/>
      <c r="AB304" s="5"/>
    </row>
    <row r="305" spans="1:28" x14ac:dyDescent="0.2">
      <c r="A305" s="4"/>
      <c r="B305" s="94"/>
      <c r="C305" s="94"/>
      <c r="D305" s="94"/>
      <c r="E305" s="94"/>
      <c r="F305" s="94"/>
      <c r="G305" s="94"/>
      <c r="H305" s="94"/>
      <c r="I305" s="94"/>
      <c r="J305" s="94"/>
      <c r="K305" s="94"/>
      <c r="L305" s="94"/>
      <c r="M305" s="94"/>
      <c r="N305" s="95"/>
      <c r="O305" s="95"/>
      <c r="P305" s="95"/>
      <c r="Q305" s="95"/>
      <c r="R305" s="95"/>
      <c r="S305" s="95"/>
      <c r="T305" s="95"/>
      <c r="U305" s="95"/>
      <c r="V305" s="96"/>
      <c r="W305" s="96"/>
      <c r="X305" s="97"/>
      <c r="Y305" s="97"/>
      <c r="Z305" s="97"/>
      <c r="AA305" s="4"/>
      <c r="AB305" s="5"/>
    </row>
    <row r="306" spans="1:28" x14ac:dyDescent="0.2">
      <c r="A306" s="4"/>
      <c r="B306" s="90"/>
      <c r="C306" s="90"/>
      <c r="D306" s="90"/>
      <c r="E306" s="90"/>
      <c r="F306" s="90"/>
      <c r="G306" s="90"/>
      <c r="H306" s="90"/>
      <c r="I306" s="90"/>
      <c r="J306" s="90"/>
      <c r="K306" s="90"/>
      <c r="L306" s="90"/>
      <c r="M306" s="90"/>
      <c r="N306" s="91"/>
      <c r="O306" s="91"/>
      <c r="P306" s="91"/>
      <c r="Q306" s="91"/>
      <c r="R306" s="91"/>
      <c r="S306" s="91"/>
      <c r="T306" s="91"/>
      <c r="U306" s="91"/>
      <c r="V306" s="92"/>
      <c r="W306" s="92"/>
      <c r="X306" s="93"/>
      <c r="Y306" s="93"/>
      <c r="Z306" s="93"/>
      <c r="AA306" s="4"/>
      <c r="AB306" s="5"/>
    </row>
    <row r="307" spans="1:28" x14ac:dyDescent="0.2">
      <c r="A307" s="4"/>
      <c r="B307" s="94"/>
      <c r="C307" s="94"/>
      <c r="D307" s="94"/>
      <c r="E307" s="94"/>
      <c r="F307" s="94"/>
      <c r="G307" s="94"/>
      <c r="H307" s="94"/>
      <c r="I307" s="94"/>
      <c r="J307" s="94"/>
      <c r="K307" s="94"/>
      <c r="L307" s="94"/>
      <c r="M307" s="94"/>
      <c r="N307" s="95"/>
      <c r="O307" s="95"/>
      <c r="P307" s="95"/>
      <c r="Q307" s="95"/>
      <c r="R307" s="95"/>
      <c r="S307" s="95"/>
      <c r="T307" s="95"/>
      <c r="U307" s="95"/>
      <c r="V307" s="96"/>
      <c r="W307" s="96"/>
      <c r="X307" s="97"/>
      <c r="Y307" s="97"/>
      <c r="Z307" s="97"/>
      <c r="AA307" s="4"/>
      <c r="AB307" s="5"/>
    </row>
    <row r="308" spans="1:28" x14ac:dyDescent="0.2">
      <c r="A308" s="4"/>
      <c r="B308" s="90"/>
      <c r="C308" s="90"/>
      <c r="D308" s="90"/>
      <c r="E308" s="90"/>
      <c r="F308" s="90"/>
      <c r="G308" s="90"/>
      <c r="H308" s="90"/>
      <c r="I308" s="90"/>
      <c r="J308" s="90"/>
      <c r="K308" s="90"/>
      <c r="L308" s="90"/>
      <c r="M308" s="90"/>
      <c r="N308" s="91"/>
      <c r="O308" s="91"/>
      <c r="P308" s="91"/>
      <c r="Q308" s="91"/>
      <c r="R308" s="91"/>
      <c r="S308" s="91"/>
      <c r="T308" s="91"/>
      <c r="U308" s="91"/>
      <c r="V308" s="92"/>
      <c r="W308" s="92"/>
      <c r="X308" s="93"/>
      <c r="Y308" s="93"/>
      <c r="Z308" s="93"/>
      <c r="AA308" s="4"/>
      <c r="AB308" s="5"/>
    </row>
    <row r="309" spans="1:28" x14ac:dyDescent="0.2">
      <c r="A309" s="4"/>
      <c r="B309" s="94"/>
      <c r="C309" s="94"/>
      <c r="D309" s="94"/>
      <c r="E309" s="94"/>
      <c r="F309" s="94"/>
      <c r="G309" s="94"/>
      <c r="H309" s="94"/>
      <c r="I309" s="94"/>
      <c r="J309" s="94"/>
      <c r="K309" s="94"/>
      <c r="L309" s="94"/>
      <c r="M309" s="94"/>
      <c r="N309" s="95"/>
      <c r="O309" s="95"/>
      <c r="P309" s="95"/>
      <c r="Q309" s="95"/>
      <c r="R309" s="95"/>
      <c r="S309" s="95"/>
      <c r="T309" s="95"/>
      <c r="U309" s="95"/>
      <c r="V309" s="96"/>
      <c r="W309" s="96"/>
      <c r="X309" s="97"/>
      <c r="Y309" s="97"/>
      <c r="Z309" s="97"/>
      <c r="AA309" s="4"/>
      <c r="AB309" s="5"/>
    </row>
    <row r="310" spans="1:28" x14ac:dyDescent="0.2">
      <c r="A310" s="4"/>
      <c r="B310" s="90"/>
      <c r="C310" s="90"/>
      <c r="D310" s="90"/>
      <c r="E310" s="90"/>
      <c r="F310" s="90"/>
      <c r="G310" s="90"/>
      <c r="H310" s="90"/>
      <c r="I310" s="90"/>
      <c r="J310" s="90"/>
      <c r="K310" s="90"/>
      <c r="L310" s="90"/>
      <c r="M310" s="90"/>
      <c r="N310" s="91"/>
      <c r="O310" s="91"/>
      <c r="P310" s="91"/>
      <c r="Q310" s="91"/>
      <c r="R310" s="91"/>
      <c r="S310" s="91"/>
      <c r="T310" s="91"/>
      <c r="U310" s="91"/>
      <c r="V310" s="92"/>
      <c r="W310" s="92"/>
      <c r="X310" s="93"/>
      <c r="Y310" s="93"/>
      <c r="Z310" s="93"/>
      <c r="AA310" s="4"/>
      <c r="AB310" s="5"/>
    </row>
    <row r="311" spans="1:28" x14ac:dyDescent="0.2">
      <c r="A311" s="4"/>
      <c r="B311" s="94"/>
      <c r="C311" s="94"/>
      <c r="D311" s="94"/>
      <c r="E311" s="94"/>
      <c r="F311" s="94"/>
      <c r="G311" s="94"/>
      <c r="H311" s="94"/>
      <c r="I311" s="94"/>
      <c r="J311" s="94"/>
      <c r="K311" s="94"/>
      <c r="L311" s="94"/>
      <c r="M311" s="94"/>
      <c r="N311" s="95"/>
      <c r="O311" s="95"/>
      <c r="P311" s="95"/>
      <c r="Q311" s="95"/>
      <c r="R311" s="95"/>
      <c r="S311" s="95"/>
      <c r="T311" s="95"/>
      <c r="U311" s="95"/>
      <c r="V311" s="96"/>
      <c r="W311" s="96"/>
      <c r="X311" s="97"/>
      <c r="Y311" s="97"/>
      <c r="Z311" s="97"/>
      <c r="AA311" s="4"/>
      <c r="AB311" s="5"/>
    </row>
    <row r="312" spans="1:28" x14ac:dyDescent="0.2">
      <c r="A312" s="4"/>
      <c r="B312" s="90"/>
      <c r="C312" s="90"/>
      <c r="D312" s="90"/>
      <c r="E312" s="90"/>
      <c r="F312" s="90"/>
      <c r="G312" s="90"/>
      <c r="H312" s="90"/>
      <c r="I312" s="90"/>
      <c r="J312" s="90"/>
      <c r="K312" s="90"/>
      <c r="L312" s="90"/>
      <c r="M312" s="90"/>
      <c r="N312" s="91"/>
      <c r="O312" s="91"/>
      <c r="P312" s="91"/>
      <c r="Q312" s="91"/>
      <c r="R312" s="91"/>
      <c r="S312" s="91"/>
      <c r="T312" s="91"/>
      <c r="U312" s="91"/>
      <c r="V312" s="92"/>
      <c r="W312" s="92"/>
      <c r="X312" s="93"/>
      <c r="Y312" s="93"/>
      <c r="Z312" s="93"/>
      <c r="AA312" s="4"/>
      <c r="AB312" s="5"/>
    </row>
    <row r="313" spans="1:28" x14ac:dyDescent="0.2">
      <c r="A313" s="4"/>
      <c r="B313" s="94"/>
      <c r="C313" s="94"/>
      <c r="D313" s="94"/>
      <c r="E313" s="94"/>
      <c r="F313" s="94"/>
      <c r="G313" s="94"/>
      <c r="H313" s="94"/>
      <c r="I313" s="94"/>
      <c r="J313" s="94"/>
      <c r="K313" s="94"/>
      <c r="L313" s="94"/>
      <c r="M313" s="94"/>
      <c r="N313" s="95"/>
      <c r="O313" s="95"/>
      <c r="P313" s="95"/>
      <c r="Q313" s="95"/>
      <c r="R313" s="95"/>
      <c r="S313" s="95"/>
      <c r="T313" s="95"/>
      <c r="U313" s="95"/>
      <c r="V313" s="96"/>
      <c r="W313" s="96"/>
      <c r="X313" s="97"/>
      <c r="Y313" s="97"/>
      <c r="Z313" s="97"/>
      <c r="AA313" s="4"/>
      <c r="AB313" s="5"/>
    </row>
    <row r="314" spans="1:28" x14ac:dyDescent="0.2">
      <c r="A314" s="4"/>
      <c r="B314" s="90"/>
      <c r="C314" s="90"/>
      <c r="D314" s="90"/>
      <c r="E314" s="90"/>
      <c r="F314" s="90"/>
      <c r="G314" s="90"/>
      <c r="H314" s="90"/>
      <c r="I314" s="90"/>
      <c r="J314" s="90"/>
      <c r="K314" s="90"/>
      <c r="L314" s="90"/>
      <c r="M314" s="90"/>
      <c r="N314" s="91"/>
      <c r="O314" s="91"/>
      <c r="P314" s="91"/>
      <c r="Q314" s="91"/>
      <c r="R314" s="91"/>
      <c r="S314" s="91"/>
      <c r="T314" s="91"/>
      <c r="U314" s="91"/>
      <c r="V314" s="92"/>
      <c r="W314" s="92"/>
      <c r="X314" s="93"/>
      <c r="Y314" s="93"/>
      <c r="Z314" s="93"/>
      <c r="AA314" s="4"/>
      <c r="AB314" s="5"/>
    </row>
    <row r="315" spans="1:28" x14ac:dyDescent="0.2">
      <c r="A315" s="4"/>
      <c r="B315" s="94"/>
      <c r="C315" s="94"/>
      <c r="D315" s="94"/>
      <c r="E315" s="94"/>
      <c r="F315" s="94"/>
      <c r="G315" s="94"/>
      <c r="H315" s="94"/>
      <c r="I315" s="94"/>
      <c r="J315" s="94"/>
      <c r="K315" s="94"/>
      <c r="L315" s="94"/>
      <c r="M315" s="94"/>
      <c r="N315" s="95"/>
      <c r="O315" s="95"/>
      <c r="P315" s="95"/>
      <c r="Q315" s="95"/>
      <c r="R315" s="95"/>
      <c r="S315" s="95"/>
      <c r="T315" s="95"/>
      <c r="U315" s="95"/>
      <c r="V315" s="96"/>
      <c r="W315" s="96"/>
      <c r="X315" s="97"/>
      <c r="Y315" s="97"/>
      <c r="Z315" s="97"/>
      <c r="AA315" s="4"/>
      <c r="AB315" s="5"/>
    </row>
    <row r="316" spans="1:28" x14ac:dyDescent="0.2">
      <c r="A316" s="4"/>
      <c r="B316" s="90"/>
      <c r="C316" s="90"/>
      <c r="D316" s="90"/>
      <c r="E316" s="90"/>
      <c r="F316" s="90"/>
      <c r="G316" s="90"/>
      <c r="H316" s="90"/>
      <c r="I316" s="90"/>
      <c r="J316" s="90"/>
      <c r="K316" s="90"/>
      <c r="L316" s="90"/>
      <c r="M316" s="90"/>
      <c r="N316" s="91"/>
      <c r="O316" s="91"/>
      <c r="P316" s="91"/>
      <c r="Q316" s="91"/>
      <c r="R316" s="91"/>
      <c r="S316" s="91"/>
      <c r="T316" s="91"/>
      <c r="U316" s="91"/>
      <c r="V316" s="92"/>
      <c r="W316" s="92"/>
      <c r="X316" s="93"/>
      <c r="Y316" s="93"/>
      <c r="Z316" s="93"/>
      <c r="AA316" s="4"/>
      <c r="AB316" s="5"/>
    </row>
    <row r="317" spans="1:28" x14ac:dyDescent="0.2">
      <c r="A317" s="4"/>
      <c r="B317" s="94"/>
      <c r="C317" s="94"/>
      <c r="D317" s="94"/>
      <c r="E317" s="94"/>
      <c r="F317" s="94"/>
      <c r="G317" s="94"/>
      <c r="H317" s="94"/>
      <c r="I317" s="94"/>
      <c r="J317" s="94"/>
      <c r="K317" s="94"/>
      <c r="L317" s="94"/>
      <c r="M317" s="94"/>
      <c r="N317" s="95"/>
      <c r="O317" s="95"/>
      <c r="P317" s="95"/>
      <c r="Q317" s="95"/>
      <c r="R317" s="95"/>
      <c r="S317" s="95"/>
      <c r="T317" s="95"/>
      <c r="U317" s="95"/>
      <c r="V317" s="96"/>
      <c r="W317" s="96"/>
      <c r="X317" s="97"/>
      <c r="Y317" s="97"/>
      <c r="Z317" s="97"/>
      <c r="AA317" s="4"/>
      <c r="AB317" s="5"/>
    </row>
    <row r="318" spans="1:28" x14ac:dyDescent="0.2">
      <c r="A318" s="4"/>
      <c r="B318" s="90"/>
      <c r="C318" s="90"/>
      <c r="D318" s="90"/>
      <c r="E318" s="90"/>
      <c r="F318" s="90"/>
      <c r="G318" s="90"/>
      <c r="H318" s="90"/>
      <c r="I318" s="90"/>
      <c r="J318" s="90"/>
      <c r="K318" s="90"/>
      <c r="L318" s="90"/>
      <c r="M318" s="90"/>
      <c r="N318" s="91"/>
      <c r="O318" s="91"/>
      <c r="P318" s="91"/>
      <c r="Q318" s="91"/>
      <c r="R318" s="91"/>
      <c r="S318" s="91"/>
      <c r="T318" s="91"/>
      <c r="U318" s="91"/>
      <c r="V318" s="92"/>
      <c r="W318" s="92"/>
      <c r="X318" s="93"/>
      <c r="Y318" s="93"/>
      <c r="Z318" s="93"/>
      <c r="AA318" s="4"/>
      <c r="AB318" s="5"/>
    </row>
    <row r="319" spans="1:28" x14ac:dyDescent="0.2">
      <c r="A319" s="4"/>
      <c r="B319" s="94"/>
      <c r="C319" s="94"/>
      <c r="D319" s="94"/>
      <c r="E319" s="94"/>
      <c r="F319" s="94"/>
      <c r="G319" s="94"/>
      <c r="H319" s="94"/>
      <c r="I319" s="94"/>
      <c r="J319" s="94"/>
      <c r="K319" s="94"/>
      <c r="L319" s="94"/>
      <c r="M319" s="94"/>
      <c r="N319" s="95"/>
      <c r="O319" s="95"/>
      <c r="P319" s="95"/>
      <c r="Q319" s="95"/>
      <c r="R319" s="95"/>
      <c r="S319" s="95"/>
      <c r="T319" s="95"/>
      <c r="U319" s="95"/>
      <c r="V319" s="96"/>
      <c r="W319" s="96"/>
      <c r="X319" s="97"/>
      <c r="Y319" s="97"/>
      <c r="Z319" s="97"/>
      <c r="AA319" s="4"/>
      <c r="AB319" s="5"/>
    </row>
    <row r="320" spans="1:28" x14ac:dyDescent="0.2">
      <c r="A320" s="4"/>
      <c r="B320" s="90"/>
      <c r="C320" s="90"/>
      <c r="D320" s="90"/>
      <c r="E320" s="90"/>
      <c r="F320" s="90"/>
      <c r="G320" s="90"/>
      <c r="H320" s="90"/>
      <c r="I320" s="90"/>
      <c r="J320" s="90"/>
      <c r="K320" s="90"/>
      <c r="L320" s="90"/>
      <c r="M320" s="90"/>
      <c r="N320" s="91"/>
      <c r="O320" s="91"/>
      <c r="P320" s="91"/>
      <c r="Q320" s="91"/>
      <c r="R320" s="91"/>
      <c r="S320" s="91"/>
      <c r="T320" s="91"/>
      <c r="U320" s="91"/>
      <c r="V320" s="92"/>
      <c r="W320" s="92"/>
      <c r="X320" s="93"/>
      <c r="Y320" s="93"/>
      <c r="Z320" s="93"/>
      <c r="AA320" s="4"/>
      <c r="AB320" s="5"/>
    </row>
    <row r="321" spans="1:28" x14ac:dyDescent="0.2">
      <c r="A321" s="4"/>
      <c r="B321" s="94"/>
      <c r="C321" s="94"/>
      <c r="D321" s="94"/>
      <c r="E321" s="94"/>
      <c r="F321" s="94"/>
      <c r="G321" s="94"/>
      <c r="H321" s="94"/>
      <c r="I321" s="94"/>
      <c r="J321" s="94"/>
      <c r="K321" s="94"/>
      <c r="L321" s="94"/>
      <c r="M321" s="94"/>
      <c r="N321" s="95"/>
      <c r="O321" s="95"/>
      <c r="P321" s="95"/>
      <c r="Q321" s="95"/>
      <c r="R321" s="95"/>
      <c r="S321" s="95"/>
      <c r="T321" s="95"/>
      <c r="U321" s="95"/>
      <c r="V321" s="96"/>
      <c r="W321" s="96"/>
      <c r="X321" s="97"/>
      <c r="Y321" s="97"/>
      <c r="Z321" s="97"/>
      <c r="AA321" s="4"/>
      <c r="AB321" s="5"/>
    </row>
    <row r="322" spans="1:28" x14ac:dyDescent="0.2">
      <c r="A322" s="4"/>
      <c r="B322" s="90"/>
      <c r="C322" s="90"/>
      <c r="D322" s="90"/>
      <c r="E322" s="90"/>
      <c r="F322" s="90"/>
      <c r="G322" s="90"/>
      <c r="H322" s="90"/>
      <c r="I322" s="90"/>
      <c r="J322" s="90"/>
      <c r="K322" s="90"/>
      <c r="L322" s="90"/>
      <c r="M322" s="90"/>
      <c r="N322" s="91"/>
      <c r="O322" s="91"/>
      <c r="P322" s="91"/>
      <c r="Q322" s="91"/>
      <c r="R322" s="91"/>
      <c r="S322" s="91"/>
      <c r="T322" s="91"/>
      <c r="U322" s="91"/>
      <c r="V322" s="92"/>
      <c r="W322" s="92"/>
      <c r="X322" s="93"/>
      <c r="Y322" s="93"/>
      <c r="Z322" s="93"/>
      <c r="AA322" s="4"/>
      <c r="AB322" s="5"/>
    </row>
    <row r="323" spans="1:28" x14ac:dyDescent="0.2">
      <c r="A323" s="4"/>
      <c r="B323" s="94"/>
      <c r="C323" s="94"/>
      <c r="D323" s="94"/>
      <c r="E323" s="94"/>
      <c r="F323" s="94"/>
      <c r="G323" s="94"/>
      <c r="H323" s="94"/>
      <c r="I323" s="94"/>
      <c r="J323" s="94"/>
      <c r="K323" s="94"/>
      <c r="L323" s="94"/>
      <c r="M323" s="94"/>
      <c r="N323" s="95"/>
      <c r="O323" s="95"/>
      <c r="P323" s="95"/>
      <c r="Q323" s="95"/>
      <c r="R323" s="95"/>
      <c r="S323" s="95"/>
      <c r="T323" s="95"/>
      <c r="U323" s="95"/>
      <c r="V323" s="96"/>
      <c r="W323" s="96"/>
      <c r="X323" s="97"/>
      <c r="Y323" s="97"/>
      <c r="Z323" s="97"/>
      <c r="AA323" s="4"/>
      <c r="AB323" s="5"/>
    </row>
    <row r="324" spans="1:28" x14ac:dyDescent="0.2">
      <c r="A324" s="4"/>
      <c r="B324" s="90"/>
      <c r="C324" s="90"/>
      <c r="D324" s="90"/>
      <c r="E324" s="90"/>
      <c r="F324" s="90"/>
      <c r="G324" s="90"/>
      <c r="H324" s="90"/>
      <c r="I324" s="90"/>
      <c r="J324" s="90"/>
      <c r="K324" s="90"/>
      <c r="L324" s="90"/>
      <c r="M324" s="90"/>
      <c r="N324" s="91"/>
      <c r="O324" s="91"/>
      <c r="P324" s="91"/>
      <c r="Q324" s="91"/>
      <c r="R324" s="91"/>
      <c r="S324" s="91"/>
      <c r="T324" s="91"/>
      <c r="U324" s="91"/>
      <c r="V324" s="92"/>
      <c r="W324" s="92"/>
      <c r="X324" s="93"/>
      <c r="Y324" s="93"/>
      <c r="Z324" s="93"/>
      <c r="AA324" s="4"/>
      <c r="AB324" s="5"/>
    </row>
    <row r="325" spans="1:28" x14ac:dyDescent="0.2">
      <c r="A325" s="4"/>
      <c r="B325" s="94"/>
      <c r="C325" s="94"/>
      <c r="D325" s="94"/>
      <c r="E325" s="94"/>
      <c r="F325" s="94"/>
      <c r="G325" s="94"/>
      <c r="H325" s="94"/>
      <c r="I325" s="94"/>
      <c r="J325" s="94"/>
      <c r="K325" s="94"/>
      <c r="L325" s="94"/>
      <c r="M325" s="94"/>
      <c r="N325" s="95"/>
      <c r="O325" s="95"/>
      <c r="P325" s="95"/>
      <c r="Q325" s="95"/>
      <c r="R325" s="95"/>
      <c r="S325" s="95"/>
      <c r="T325" s="95"/>
      <c r="U325" s="95"/>
      <c r="V325" s="96"/>
      <c r="W325" s="96"/>
      <c r="X325" s="97"/>
      <c r="Y325" s="97"/>
      <c r="Z325" s="97"/>
      <c r="AA325" s="4"/>
      <c r="AB325" s="5"/>
    </row>
    <row r="326" spans="1:28" x14ac:dyDescent="0.2">
      <c r="A326" s="4"/>
      <c r="B326" s="90"/>
      <c r="C326" s="90"/>
      <c r="D326" s="90"/>
      <c r="E326" s="90"/>
      <c r="F326" s="90"/>
      <c r="G326" s="90"/>
      <c r="H326" s="90"/>
      <c r="I326" s="90"/>
      <c r="J326" s="90"/>
      <c r="K326" s="90"/>
      <c r="L326" s="90"/>
      <c r="M326" s="90"/>
      <c r="N326" s="91"/>
      <c r="O326" s="91"/>
      <c r="P326" s="91"/>
      <c r="Q326" s="91"/>
      <c r="R326" s="91"/>
      <c r="S326" s="91"/>
      <c r="T326" s="91"/>
      <c r="U326" s="91"/>
      <c r="V326" s="92"/>
      <c r="W326" s="92"/>
      <c r="X326" s="93"/>
      <c r="Y326" s="93"/>
      <c r="Z326" s="93"/>
      <c r="AA326" s="4"/>
      <c r="AB326" s="5"/>
    </row>
    <row r="327" spans="1:28" x14ac:dyDescent="0.2">
      <c r="A327" s="4"/>
      <c r="B327" s="94"/>
      <c r="C327" s="94"/>
      <c r="D327" s="94"/>
      <c r="E327" s="94"/>
      <c r="F327" s="94"/>
      <c r="G327" s="94"/>
      <c r="H327" s="94"/>
      <c r="I327" s="94"/>
      <c r="J327" s="94"/>
      <c r="K327" s="94"/>
      <c r="L327" s="94"/>
      <c r="M327" s="94"/>
      <c r="N327" s="95"/>
      <c r="O327" s="95"/>
      <c r="P327" s="95"/>
      <c r="Q327" s="95"/>
      <c r="R327" s="95"/>
      <c r="S327" s="95"/>
      <c r="T327" s="95"/>
      <c r="U327" s="95"/>
      <c r="V327" s="96"/>
      <c r="W327" s="96"/>
      <c r="X327" s="97"/>
      <c r="Y327" s="97"/>
      <c r="Z327" s="97"/>
      <c r="AA327" s="4"/>
      <c r="AB327" s="5"/>
    </row>
    <row r="328" spans="1:28" x14ac:dyDescent="0.2">
      <c r="A328" s="4"/>
      <c r="B328" s="90"/>
      <c r="C328" s="90"/>
      <c r="D328" s="90"/>
      <c r="E328" s="90"/>
      <c r="F328" s="90"/>
      <c r="G328" s="90"/>
      <c r="H328" s="90"/>
      <c r="I328" s="90"/>
      <c r="J328" s="90"/>
      <c r="K328" s="90"/>
      <c r="L328" s="90"/>
      <c r="M328" s="90"/>
      <c r="N328" s="91"/>
      <c r="O328" s="91"/>
      <c r="P328" s="91"/>
      <c r="Q328" s="91"/>
      <c r="R328" s="91"/>
      <c r="S328" s="91"/>
      <c r="T328" s="91"/>
      <c r="U328" s="91"/>
      <c r="V328" s="92"/>
      <c r="W328" s="92"/>
      <c r="X328" s="93"/>
      <c r="Y328" s="93"/>
      <c r="Z328" s="93"/>
      <c r="AA328" s="4"/>
      <c r="AB328" s="5"/>
    </row>
    <row r="329" spans="1:28" x14ac:dyDescent="0.2">
      <c r="A329" s="4"/>
      <c r="B329" s="94"/>
      <c r="C329" s="94"/>
      <c r="D329" s="94"/>
      <c r="E329" s="94"/>
      <c r="F329" s="94"/>
      <c r="G329" s="94"/>
      <c r="H329" s="94"/>
      <c r="I329" s="94"/>
      <c r="J329" s="94"/>
      <c r="K329" s="94"/>
      <c r="L329" s="94"/>
      <c r="M329" s="94"/>
      <c r="N329" s="95"/>
      <c r="O329" s="95"/>
      <c r="P329" s="95"/>
      <c r="Q329" s="95"/>
      <c r="R329" s="95"/>
      <c r="S329" s="95"/>
      <c r="T329" s="95"/>
      <c r="U329" s="95"/>
      <c r="V329" s="96"/>
      <c r="W329" s="96"/>
      <c r="X329" s="97"/>
      <c r="Y329" s="97"/>
      <c r="Z329" s="97"/>
      <c r="AA329" s="4"/>
      <c r="AB329" s="5"/>
    </row>
    <row r="330" spans="1:28" x14ac:dyDescent="0.2">
      <c r="A330" s="4"/>
      <c r="B330" s="90"/>
      <c r="C330" s="90"/>
      <c r="D330" s="90"/>
      <c r="E330" s="90"/>
      <c r="F330" s="90"/>
      <c r="G330" s="90"/>
      <c r="H330" s="90"/>
      <c r="I330" s="90"/>
      <c r="J330" s="90"/>
      <c r="K330" s="90"/>
      <c r="L330" s="90"/>
      <c r="M330" s="90"/>
      <c r="N330" s="91"/>
      <c r="O330" s="91"/>
      <c r="P330" s="91"/>
      <c r="Q330" s="91"/>
      <c r="R330" s="91"/>
      <c r="S330" s="91"/>
      <c r="T330" s="91"/>
      <c r="U330" s="91"/>
      <c r="V330" s="92"/>
      <c r="W330" s="92"/>
      <c r="X330" s="93"/>
      <c r="Y330" s="93"/>
      <c r="Z330" s="93"/>
      <c r="AA330" s="4"/>
      <c r="AB330" s="5"/>
    </row>
    <row r="331" spans="1:28" x14ac:dyDescent="0.2">
      <c r="A331" s="4"/>
      <c r="B331" s="94"/>
      <c r="C331" s="94"/>
      <c r="D331" s="94"/>
      <c r="E331" s="94"/>
      <c r="F331" s="94"/>
      <c r="G331" s="94"/>
      <c r="H331" s="94"/>
      <c r="I331" s="94"/>
      <c r="J331" s="94"/>
      <c r="K331" s="94"/>
      <c r="L331" s="94"/>
      <c r="M331" s="94"/>
      <c r="N331" s="95"/>
      <c r="O331" s="95"/>
      <c r="P331" s="95"/>
      <c r="Q331" s="95"/>
      <c r="R331" s="95"/>
      <c r="S331" s="95"/>
      <c r="T331" s="95"/>
      <c r="U331" s="95"/>
      <c r="V331" s="96"/>
      <c r="W331" s="96"/>
      <c r="X331" s="97"/>
      <c r="Y331" s="97"/>
      <c r="Z331" s="97"/>
      <c r="AA331" s="4"/>
      <c r="AB331" s="5"/>
    </row>
    <row r="332" spans="1:28" x14ac:dyDescent="0.2">
      <c r="A332" s="4"/>
      <c r="B332" s="90"/>
      <c r="C332" s="90"/>
      <c r="D332" s="90"/>
      <c r="E332" s="90"/>
      <c r="F332" s="90"/>
      <c r="G332" s="90"/>
      <c r="H332" s="90"/>
      <c r="I332" s="90"/>
      <c r="J332" s="90"/>
      <c r="K332" s="90"/>
      <c r="L332" s="90"/>
      <c r="M332" s="90"/>
      <c r="N332" s="91"/>
      <c r="O332" s="91"/>
      <c r="P332" s="91"/>
      <c r="Q332" s="91"/>
      <c r="R332" s="91"/>
      <c r="S332" s="91"/>
      <c r="T332" s="91"/>
      <c r="U332" s="91"/>
      <c r="V332" s="92"/>
      <c r="W332" s="92"/>
      <c r="X332" s="93"/>
      <c r="Y332" s="93"/>
      <c r="Z332" s="93"/>
      <c r="AA332" s="4"/>
      <c r="AB332" s="5"/>
    </row>
    <row r="333" spans="1:28" x14ac:dyDescent="0.2">
      <c r="A333" s="4"/>
      <c r="B333" s="94"/>
      <c r="C333" s="94"/>
      <c r="D333" s="94"/>
      <c r="E333" s="94"/>
      <c r="F333" s="94"/>
      <c r="G333" s="94"/>
      <c r="H333" s="94"/>
      <c r="I333" s="94"/>
      <c r="J333" s="94"/>
      <c r="K333" s="94"/>
      <c r="L333" s="94"/>
      <c r="M333" s="94"/>
      <c r="N333" s="95"/>
      <c r="O333" s="95"/>
      <c r="P333" s="95"/>
      <c r="Q333" s="95"/>
      <c r="R333" s="95"/>
      <c r="S333" s="95"/>
      <c r="T333" s="95"/>
      <c r="U333" s="95"/>
      <c r="V333" s="96"/>
      <c r="W333" s="96"/>
      <c r="X333" s="97"/>
      <c r="Y333" s="97"/>
      <c r="Z333" s="97"/>
      <c r="AA333" s="4"/>
      <c r="AB333" s="5"/>
    </row>
    <row r="334" spans="1:28" x14ac:dyDescent="0.2">
      <c r="A334" s="4"/>
      <c r="B334" s="90"/>
      <c r="C334" s="90"/>
      <c r="D334" s="90"/>
      <c r="E334" s="90"/>
      <c r="F334" s="90"/>
      <c r="G334" s="90"/>
      <c r="H334" s="90"/>
      <c r="I334" s="90"/>
      <c r="J334" s="90"/>
      <c r="K334" s="90"/>
      <c r="L334" s="90"/>
      <c r="M334" s="90"/>
      <c r="N334" s="91"/>
      <c r="O334" s="91"/>
      <c r="P334" s="91"/>
      <c r="Q334" s="91"/>
      <c r="R334" s="91"/>
      <c r="S334" s="91"/>
      <c r="T334" s="91"/>
      <c r="U334" s="91"/>
      <c r="V334" s="92"/>
      <c r="W334" s="92"/>
      <c r="X334" s="93"/>
      <c r="Y334" s="93"/>
      <c r="Z334" s="93"/>
      <c r="AA334" s="4"/>
      <c r="AB334" s="5"/>
    </row>
    <row r="335" spans="1:28" x14ac:dyDescent="0.2">
      <c r="A335" s="4"/>
      <c r="B335" s="94"/>
      <c r="C335" s="94"/>
      <c r="D335" s="94"/>
      <c r="E335" s="94"/>
      <c r="F335" s="94"/>
      <c r="G335" s="94"/>
      <c r="H335" s="94"/>
      <c r="I335" s="94"/>
      <c r="J335" s="94"/>
      <c r="K335" s="94"/>
      <c r="L335" s="94"/>
      <c r="M335" s="94"/>
      <c r="N335" s="95"/>
      <c r="O335" s="95"/>
      <c r="P335" s="95"/>
      <c r="Q335" s="95"/>
      <c r="R335" s="95"/>
      <c r="S335" s="95"/>
      <c r="T335" s="95"/>
      <c r="U335" s="95"/>
      <c r="V335" s="96"/>
      <c r="W335" s="96"/>
      <c r="X335" s="97"/>
      <c r="Y335" s="97"/>
      <c r="Z335" s="97"/>
      <c r="AA335" s="4"/>
      <c r="AB335" s="5"/>
    </row>
    <row r="336" spans="1:28" x14ac:dyDescent="0.2">
      <c r="A336" s="4"/>
      <c r="B336" s="90"/>
      <c r="C336" s="90"/>
      <c r="D336" s="90"/>
      <c r="E336" s="90"/>
      <c r="F336" s="90"/>
      <c r="G336" s="90"/>
      <c r="H336" s="90"/>
      <c r="I336" s="90"/>
      <c r="J336" s="90"/>
      <c r="K336" s="90"/>
      <c r="L336" s="90"/>
      <c r="M336" s="90"/>
      <c r="N336" s="91"/>
      <c r="O336" s="91"/>
      <c r="P336" s="91"/>
      <c r="Q336" s="91"/>
      <c r="R336" s="91"/>
      <c r="S336" s="91"/>
      <c r="T336" s="91"/>
      <c r="U336" s="91"/>
      <c r="V336" s="92"/>
      <c r="W336" s="92"/>
      <c r="X336" s="93"/>
      <c r="Y336" s="93"/>
      <c r="Z336" s="93"/>
      <c r="AA336" s="4"/>
      <c r="AB336" s="5"/>
    </row>
    <row r="337" spans="1:28" x14ac:dyDescent="0.2">
      <c r="A337" s="4"/>
      <c r="B337" s="94"/>
      <c r="C337" s="94"/>
      <c r="D337" s="94"/>
      <c r="E337" s="94"/>
      <c r="F337" s="94"/>
      <c r="G337" s="94"/>
      <c r="H337" s="94"/>
      <c r="I337" s="94"/>
      <c r="J337" s="94"/>
      <c r="K337" s="94"/>
      <c r="L337" s="94"/>
      <c r="M337" s="94"/>
      <c r="N337" s="95"/>
      <c r="O337" s="95"/>
      <c r="P337" s="95"/>
      <c r="Q337" s="95"/>
      <c r="R337" s="95"/>
      <c r="S337" s="95"/>
      <c r="T337" s="95"/>
      <c r="U337" s="95"/>
      <c r="V337" s="96"/>
      <c r="W337" s="96"/>
      <c r="X337" s="97"/>
      <c r="Y337" s="97"/>
      <c r="Z337" s="97"/>
      <c r="AA337" s="4"/>
      <c r="AB337" s="5"/>
    </row>
    <row r="338" spans="1:28" x14ac:dyDescent="0.2">
      <c r="A338" s="4"/>
      <c r="B338" s="90"/>
      <c r="C338" s="90"/>
      <c r="D338" s="90"/>
      <c r="E338" s="90"/>
      <c r="F338" s="90"/>
      <c r="G338" s="90"/>
      <c r="H338" s="90"/>
      <c r="I338" s="90"/>
      <c r="J338" s="90"/>
      <c r="K338" s="90"/>
      <c r="L338" s="90"/>
      <c r="M338" s="90"/>
      <c r="N338" s="91"/>
      <c r="O338" s="91"/>
      <c r="P338" s="91"/>
      <c r="Q338" s="91"/>
      <c r="R338" s="91"/>
      <c r="S338" s="91"/>
      <c r="T338" s="91"/>
      <c r="U338" s="91"/>
      <c r="V338" s="92"/>
      <c r="W338" s="92"/>
      <c r="X338" s="93"/>
      <c r="Y338" s="93"/>
      <c r="Z338" s="93"/>
      <c r="AA338" s="4"/>
      <c r="AB338" s="5"/>
    </row>
    <row r="339" spans="1:28" x14ac:dyDescent="0.2">
      <c r="A339" s="4"/>
      <c r="B339" s="94"/>
      <c r="C339" s="94"/>
      <c r="D339" s="94"/>
      <c r="E339" s="94"/>
      <c r="F339" s="94"/>
      <c r="G339" s="94"/>
      <c r="H339" s="94"/>
      <c r="I339" s="94"/>
      <c r="J339" s="94"/>
      <c r="K339" s="94"/>
      <c r="L339" s="94"/>
      <c r="M339" s="94"/>
      <c r="N339" s="95"/>
      <c r="O339" s="95"/>
      <c r="P339" s="95"/>
      <c r="Q339" s="95"/>
      <c r="R339" s="95"/>
      <c r="S339" s="95"/>
      <c r="T339" s="95"/>
      <c r="U339" s="95"/>
      <c r="V339" s="96"/>
      <c r="W339" s="96"/>
      <c r="X339" s="97"/>
      <c r="Y339" s="97"/>
      <c r="Z339" s="97"/>
      <c r="AA339" s="4"/>
      <c r="AB339" s="5"/>
    </row>
    <row r="340" spans="1:28" x14ac:dyDescent="0.2">
      <c r="A340" s="4"/>
      <c r="B340" s="90"/>
      <c r="C340" s="90"/>
      <c r="D340" s="90"/>
      <c r="E340" s="90"/>
      <c r="F340" s="90"/>
      <c r="G340" s="90"/>
      <c r="H340" s="90"/>
      <c r="I340" s="90"/>
      <c r="J340" s="90"/>
      <c r="K340" s="90"/>
      <c r="L340" s="90"/>
      <c r="M340" s="90"/>
      <c r="N340" s="91"/>
      <c r="O340" s="91"/>
      <c r="P340" s="91"/>
      <c r="Q340" s="91"/>
      <c r="R340" s="91"/>
      <c r="S340" s="91"/>
      <c r="T340" s="91"/>
      <c r="U340" s="91"/>
      <c r="V340" s="92"/>
      <c r="W340" s="92"/>
      <c r="X340" s="93"/>
      <c r="Y340" s="93"/>
      <c r="Z340" s="93"/>
      <c r="AA340" s="4"/>
      <c r="AB340" s="5"/>
    </row>
    <row r="341" spans="1:28" x14ac:dyDescent="0.2">
      <c r="A341" s="4"/>
      <c r="B341" s="94"/>
      <c r="C341" s="94"/>
      <c r="D341" s="94"/>
      <c r="E341" s="94"/>
      <c r="F341" s="94"/>
      <c r="G341" s="94"/>
      <c r="H341" s="94"/>
      <c r="I341" s="94"/>
      <c r="J341" s="94"/>
      <c r="K341" s="94"/>
      <c r="L341" s="94"/>
      <c r="M341" s="94"/>
      <c r="N341" s="95"/>
      <c r="O341" s="95"/>
      <c r="P341" s="95"/>
      <c r="Q341" s="95"/>
      <c r="R341" s="95"/>
      <c r="S341" s="95"/>
      <c r="T341" s="95"/>
      <c r="U341" s="95"/>
      <c r="V341" s="96"/>
      <c r="W341" s="96"/>
      <c r="X341" s="97"/>
      <c r="Y341" s="97"/>
      <c r="Z341" s="97"/>
      <c r="AA341" s="4"/>
      <c r="AB341" s="5"/>
    </row>
    <row r="342" spans="1:28" x14ac:dyDescent="0.2">
      <c r="A342" s="4"/>
      <c r="B342" s="90"/>
      <c r="C342" s="90"/>
      <c r="D342" s="90"/>
      <c r="E342" s="90"/>
      <c r="F342" s="90"/>
      <c r="G342" s="90"/>
      <c r="H342" s="90"/>
      <c r="I342" s="90"/>
      <c r="J342" s="90"/>
      <c r="K342" s="90"/>
      <c r="L342" s="90"/>
      <c r="M342" s="90"/>
      <c r="N342" s="91"/>
      <c r="O342" s="91"/>
      <c r="P342" s="91"/>
      <c r="Q342" s="91"/>
      <c r="R342" s="91"/>
      <c r="S342" s="91"/>
      <c r="T342" s="91"/>
      <c r="U342" s="91"/>
      <c r="V342" s="92"/>
      <c r="W342" s="92"/>
      <c r="X342" s="93"/>
      <c r="Y342" s="93"/>
      <c r="Z342" s="93"/>
      <c r="AA342" s="4"/>
      <c r="AB342" s="5"/>
    </row>
    <row r="343" spans="1:28" x14ac:dyDescent="0.2">
      <c r="A343" s="4"/>
      <c r="B343" s="94"/>
      <c r="C343" s="94"/>
      <c r="D343" s="94"/>
      <c r="E343" s="94"/>
      <c r="F343" s="94"/>
      <c r="G343" s="94"/>
      <c r="H343" s="94"/>
      <c r="I343" s="94"/>
      <c r="J343" s="94"/>
      <c r="K343" s="94"/>
      <c r="L343" s="94"/>
      <c r="M343" s="94"/>
      <c r="N343" s="95"/>
      <c r="O343" s="95"/>
      <c r="P343" s="95"/>
      <c r="Q343" s="95"/>
      <c r="R343" s="95"/>
      <c r="S343" s="95"/>
      <c r="T343" s="95"/>
      <c r="U343" s="95"/>
      <c r="V343" s="96"/>
      <c r="W343" s="96"/>
      <c r="X343" s="97"/>
      <c r="Y343" s="97"/>
      <c r="Z343" s="97"/>
      <c r="AA343" s="4"/>
      <c r="AB343" s="5"/>
    </row>
    <row r="344" spans="1:28" x14ac:dyDescent="0.2">
      <c r="A344" s="4"/>
      <c r="B344" s="90"/>
      <c r="C344" s="90"/>
      <c r="D344" s="90"/>
      <c r="E344" s="90"/>
      <c r="F344" s="90"/>
      <c r="G344" s="90"/>
      <c r="H344" s="90"/>
      <c r="I344" s="90"/>
      <c r="J344" s="90"/>
      <c r="K344" s="90"/>
      <c r="L344" s="90"/>
      <c r="M344" s="90"/>
      <c r="N344" s="91"/>
      <c r="O344" s="91"/>
      <c r="P344" s="91"/>
      <c r="Q344" s="91"/>
      <c r="R344" s="91"/>
      <c r="S344" s="91"/>
      <c r="T344" s="91"/>
      <c r="U344" s="91"/>
      <c r="V344" s="92"/>
      <c r="W344" s="92"/>
      <c r="X344" s="93"/>
      <c r="Y344" s="93"/>
      <c r="Z344" s="93"/>
      <c r="AA344" s="4"/>
      <c r="AB344" s="5"/>
    </row>
    <row r="345" spans="1:28" x14ac:dyDescent="0.2">
      <c r="A345" s="4"/>
      <c r="B345" s="94"/>
      <c r="C345" s="94"/>
      <c r="D345" s="94"/>
      <c r="E345" s="94"/>
      <c r="F345" s="94"/>
      <c r="G345" s="94"/>
      <c r="H345" s="94"/>
      <c r="I345" s="94"/>
      <c r="J345" s="94"/>
      <c r="K345" s="94"/>
      <c r="L345" s="94"/>
      <c r="M345" s="94"/>
      <c r="N345" s="95"/>
      <c r="O345" s="95"/>
      <c r="P345" s="95"/>
      <c r="Q345" s="95"/>
      <c r="R345" s="95"/>
      <c r="S345" s="95"/>
      <c r="T345" s="95"/>
      <c r="U345" s="95"/>
      <c r="V345" s="96"/>
      <c r="W345" s="96"/>
      <c r="X345" s="97"/>
      <c r="Y345" s="97"/>
      <c r="Z345" s="97"/>
      <c r="AA345" s="4"/>
      <c r="AB345" s="5"/>
    </row>
    <row r="346" spans="1:28" x14ac:dyDescent="0.2">
      <c r="A346" s="4"/>
      <c r="B346" s="90"/>
      <c r="C346" s="90"/>
      <c r="D346" s="90"/>
      <c r="E346" s="90"/>
      <c r="F346" s="90"/>
      <c r="G346" s="90"/>
      <c r="H346" s="90"/>
      <c r="I346" s="90"/>
      <c r="J346" s="90"/>
      <c r="K346" s="90"/>
      <c r="L346" s="90"/>
      <c r="M346" s="90"/>
      <c r="N346" s="91"/>
      <c r="O346" s="91"/>
      <c r="P346" s="91"/>
      <c r="Q346" s="91"/>
      <c r="R346" s="91"/>
      <c r="S346" s="91"/>
      <c r="T346" s="91"/>
      <c r="U346" s="91"/>
      <c r="V346" s="92"/>
      <c r="W346" s="92"/>
      <c r="X346" s="93"/>
      <c r="Y346" s="93"/>
      <c r="Z346" s="93"/>
      <c r="AA346" s="4"/>
      <c r="AB346" s="5"/>
    </row>
    <row r="347" spans="1:28" x14ac:dyDescent="0.2">
      <c r="A347" s="4"/>
      <c r="B347" s="94"/>
      <c r="C347" s="94"/>
      <c r="D347" s="94"/>
      <c r="E347" s="94"/>
      <c r="F347" s="94"/>
      <c r="G347" s="94"/>
      <c r="H347" s="94"/>
      <c r="I347" s="94"/>
      <c r="J347" s="94"/>
      <c r="K347" s="94"/>
      <c r="L347" s="94"/>
      <c r="M347" s="94"/>
      <c r="N347" s="95"/>
      <c r="O347" s="95"/>
      <c r="P347" s="95"/>
      <c r="Q347" s="95"/>
      <c r="R347" s="95"/>
      <c r="S347" s="95"/>
      <c r="T347" s="95"/>
      <c r="U347" s="95"/>
      <c r="V347" s="96"/>
      <c r="W347" s="96"/>
      <c r="X347" s="97"/>
      <c r="Y347" s="97"/>
      <c r="Z347" s="97"/>
      <c r="AA347" s="4"/>
      <c r="AB347" s="5"/>
    </row>
    <row r="348" spans="1:28" x14ac:dyDescent="0.2">
      <c r="A348" s="4"/>
      <c r="B348" s="90"/>
      <c r="C348" s="90"/>
      <c r="D348" s="90"/>
      <c r="E348" s="90"/>
      <c r="F348" s="90"/>
      <c r="G348" s="90"/>
      <c r="H348" s="90"/>
      <c r="I348" s="90"/>
      <c r="J348" s="90"/>
      <c r="K348" s="90"/>
      <c r="L348" s="90"/>
      <c r="M348" s="90"/>
      <c r="N348" s="91"/>
      <c r="O348" s="91"/>
      <c r="P348" s="91"/>
      <c r="Q348" s="91"/>
      <c r="R348" s="91"/>
      <c r="S348" s="91"/>
      <c r="T348" s="91"/>
      <c r="U348" s="91"/>
      <c r="V348" s="92"/>
      <c r="W348" s="92"/>
      <c r="X348" s="93"/>
      <c r="Y348" s="93"/>
      <c r="Z348" s="93"/>
      <c r="AA348" s="4"/>
      <c r="AB348" s="5"/>
    </row>
    <row r="349" spans="1:28" x14ac:dyDescent="0.2">
      <c r="A349" s="4"/>
      <c r="B349" s="94"/>
      <c r="C349" s="94"/>
      <c r="D349" s="94"/>
      <c r="E349" s="94"/>
      <c r="F349" s="94"/>
      <c r="G349" s="94"/>
      <c r="H349" s="94"/>
      <c r="I349" s="94"/>
      <c r="J349" s="94"/>
      <c r="K349" s="94"/>
      <c r="L349" s="94"/>
      <c r="M349" s="94"/>
      <c r="N349" s="95"/>
      <c r="O349" s="95"/>
      <c r="P349" s="95"/>
      <c r="Q349" s="95"/>
      <c r="R349" s="95"/>
      <c r="S349" s="95"/>
      <c r="T349" s="95"/>
      <c r="U349" s="95"/>
      <c r="V349" s="96"/>
      <c r="W349" s="96"/>
      <c r="X349" s="97"/>
      <c r="Y349" s="97"/>
      <c r="Z349" s="97"/>
      <c r="AA349" s="4"/>
      <c r="AB349" s="5"/>
    </row>
    <row r="350" spans="1:28" x14ac:dyDescent="0.2">
      <c r="A350" s="4"/>
      <c r="B350" s="90"/>
      <c r="C350" s="90"/>
      <c r="D350" s="90"/>
      <c r="E350" s="90"/>
      <c r="F350" s="90"/>
      <c r="G350" s="90"/>
      <c r="H350" s="90"/>
      <c r="I350" s="90"/>
      <c r="J350" s="90"/>
      <c r="K350" s="90"/>
      <c r="L350" s="90"/>
      <c r="M350" s="90"/>
      <c r="N350" s="91"/>
      <c r="O350" s="91"/>
      <c r="P350" s="91"/>
      <c r="Q350" s="91"/>
      <c r="R350" s="91"/>
      <c r="S350" s="91"/>
      <c r="T350" s="91"/>
      <c r="U350" s="91"/>
      <c r="V350" s="92"/>
      <c r="W350" s="92"/>
      <c r="X350" s="93"/>
      <c r="Y350" s="93"/>
      <c r="Z350" s="93"/>
      <c r="AA350" s="4"/>
      <c r="AB350" s="5"/>
    </row>
    <row r="351" spans="1:28" x14ac:dyDescent="0.2">
      <c r="A351" s="4"/>
      <c r="B351" s="94"/>
      <c r="C351" s="94"/>
      <c r="D351" s="94"/>
      <c r="E351" s="94"/>
      <c r="F351" s="94"/>
      <c r="G351" s="94"/>
      <c r="H351" s="94"/>
      <c r="I351" s="94"/>
      <c r="J351" s="94"/>
      <c r="K351" s="94"/>
      <c r="L351" s="94"/>
      <c r="M351" s="94"/>
      <c r="N351" s="95"/>
      <c r="O351" s="95"/>
      <c r="P351" s="95"/>
      <c r="Q351" s="95"/>
      <c r="R351" s="95"/>
      <c r="S351" s="95"/>
      <c r="T351" s="95"/>
      <c r="U351" s="95"/>
      <c r="V351" s="96"/>
      <c r="W351" s="96"/>
      <c r="X351" s="97"/>
      <c r="Y351" s="97"/>
      <c r="Z351" s="97"/>
      <c r="AA351" s="4"/>
      <c r="AB351" s="5"/>
    </row>
    <row r="352" spans="1:28" x14ac:dyDescent="0.2">
      <c r="A352" s="4"/>
      <c r="B352" s="90"/>
      <c r="C352" s="90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1"/>
      <c r="O352" s="91"/>
      <c r="P352" s="91"/>
      <c r="Q352" s="91"/>
      <c r="R352" s="91"/>
      <c r="S352" s="91"/>
      <c r="T352" s="91"/>
      <c r="U352" s="91"/>
      <c r="V352" s="92"/>
      <c r="W352" s="92"/>
      <c r="X352" s="93"/>
      <c r="Y352" s="93"/>
      <c r="Z352" s="93"/>
      <c r="AA352" s="4"/>
      <c r="AB352" s="5"/>
    </row>
    <row r="353" spans="1:28" x14ac:dyDescent="0.2">
      <c r="A353" s="4"/>
      <c r="B353" s="94"/>
      <c r="C353" s="94"/>
      <c r="D353" s="94"/>
      <c r="E353" s="94"/>
      <c r="F353" s="94"/>
      <c r="G353" s="94"/>
      <c r="H353" s="94"/>
      <c r="I353" s="94"/>
      <c r="J353" s="94"/>
      <c r="K353" s="94"/>
      <c r="L353" s="94"/>
      <c r="M353" s="94"/>
      <c r="N353" s="95"/>
      <c r="O353" s="95"/>
      <c r="P353" s="95"/>
      <c r="Q353" s="95"/>
      <c r="R353" s="95"/>
      <c r="S353" s="95"/>
      <c r="T353" s="95"/>
      <c r="U353" s="95"/>
      <c r="V353" s="96"/>
      <c r="W353" s="96"/>
      <c r="X353" s="97"/>
      <c r="Y353" s="97"/>
      <c r="Z353" s="97"/>
      <c r="AA353" s="4"/>
      <c r="AB353" s="5"/>
    </row>
    <row r="354" spans="1:28" x14ac:dyDescent="0.2">
      <c r="A354" s="4"/>
      <c r="B354" s="90"/>
      <c r="C354" s="90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1"/>
      <c r="O354" s="91"/>
      <c r="P354" s="91"/>
      <c r="Q354" s="91"/>
      <c r="R354" s="91"/>
      <c r="S354" s="91"/>
      <c r="T354" s="91"/>
      <c r="U354" s="91"/>
      <c r="V354" s="92"/>
      <c r="W354" s="92"/>
      <c r="X354" s="93"/>
      <c r="Y354" s="93"/>
      <c r="Z354" s="93"/>
      <c r="AA354" s="4"/>
      <c r="AB354" s="5"/>
    </row>
    <row r="355" spans="1:28" x14ac:dyDescent="0.2">
      <c r="A355" s="4"/>
      <c r="B355" s="94"/>
      <c r="C355" s="94"/>
      <c r="D355" s="94"/>
      <c r="E355" s="94"/>
      <c r="F355" s="94"/>
      <c r="G355" s="94"/>
      <c r="H355" s="94"/>
      <c r="I355" s="94"/>
      <c r="J355" s="94"/>
      <c r="K355" s="94"/>
      <c r="L355" s="94"/>
      <c r="M355" s="94"/>
      <c r="N355" s="95"/>
      <c r="O355" s="95"/>
      <c r="P355" s="95"/>
      <c r="Q355" s="95"/>
      <c r="R355" s="95"/>
      <c r="S355" s="95"/>
      <c r="T355" s="95"/>
      <c r="U355" s="95"/>
      <c r="V355" s="96"/>
      <c r="W355" s="96"/>
      <c r="X355" s="97"/>
      <c r="Y355" s="97"/>
      <c r="Z355" s="97"/>
      <c r="AA355" s="4"/>
      <c r="AB355" s="5"/>
    </row>
    <row r="356" spans="1:28" x14ac:dyDescent="0.2">
      <c r="A356" s="4"/>
      <c r="B356" s="90"/>
      <c r="C356" s="90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1"/>
      <c r="O356" s="91"/>
      <c r="P356" s="91"/>
      <c r="Q356" s="91"/>
      <c r="R356" s="91"/>
      <c r="S356" s="91"/>
      <c r="T356" s="91"/>
      <c r="U356" s="91"/>
      <c r="V356" s="92"/>
      <c r="W356" s="92"/>
      <c r="X356" s="93"/>
      <c r="Y356" s="93"/>
      <c r="Z356" s="93"/>
      <c r="AA356" s="4"/>
      <c r="AB356" s="5"/>
    </row>
    <row r="357" spans="1:28" x14ac:dyDescent="0.2">
      <c r="A357" s="4"/>
      <c r="B357" s="94"/>
      <c r="C357" s="94"/>
      <c r="D357" s="94"/>
      <c r="E357" s="94"/>
      <c r="F357" s="94"/>
      <c r="G357" s="94"/>
      <c r="H357" s="94"/>
      <c r="I357" s="94"/>
      <c r="J357" s="94"/>
      <c r="K357" s="94"/>
      <c r="L357" s="94"/>
      <c r="M357" s="94"/>
      <c r="N357" s="95"/>
      <c r="O357" s="95"/>
      <c r="P357" s="95"/>
      <c r="Q357" s="95"/>
      <c r="R357" s="95"/>
      <c r="S357" s="95"/>
      <c r="T357" s="95"/>
      <c r="U357" s="95"/>
      <c r="V357" s="96"/>
      <c r="W357" s="96"/>
      <c r="X357" s="97"/>
      <c r="Y357" s="97"/>
      <c r="Z357" s="97"/>
      <c r="AA357" s="4"/>
      <c r="AB357" s="5"/>
    </row>
    <row r="358" spans="1:28" x14ac:dyDescent="0.2">
      <c r="A358" s="4"/>
      <c r="B358" s="90"/>
      <c r="C358" s="90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1"/>
      <c r="O358" s="91"/>
      <c r="P358" s="91"/>
      <c r="Q358" s="91"/>
      <c r="R358" s="91"/>
      <c r="S358" s="91"/>
      <c r="T358" s="91"/>
      <c r="U358" s="91"/>
      <c r="V358" s="92"/>
      <c r="W358" s="92"/>
      <c r="X358" s="93"/>
      <c r="Y358" s="93"/>
      <c r="Z358" s="93"/>
      <c r="AA358" s="4"/>
      <c r="AB358" s="5"/>
    </row>
    <row r="359" spans="1:28" x14ac:dyDescent="0.2">
      <c r="A359" s="4"/>
      <c r="B359" s="94"/>
      <c r="C359" s="94"/>
      <c r="D359" s="94"/>
      <c r="E359" s="94"/>
      <c r="F359" s="94"/>
      <c r="G359" s="94"/>
      <c r="H359" s="94"/>
      <c r="I359" s="94"/>
      <c r="J359" s="94"/>
      <c r="K359" s="94"/>
      <c r="L359" s="94"/>
      <c r="M359" s="94"/>
      <c r="N359" s="95"/>
      <c r="O359" s="95"/>
      <c r="P359" s="95"/>
      <c r="Q359" s="95"/>
      <c r="R359" s="95"/>
      <c r="S359" s="95"/>
      <c r="T359" s="95"/>
      <c r="U359" s="95"/>
      <c r="V359" s="96"/>
      <c r="W359" s="96"/>
      <c r="X359" s="97"/>
      <c r="Y359" s="97"/>
      <c r="Z359" s="97"/>
      <c r="AA359" s="4"/>
      <c r="AB359" s="5"/>
    </row>
    <row r="360" spans="1:28" x14ac:dyDescent="0.2">
      <c r="A360" s="4"/>
      <c r="B360" s="90"/>
      <c r="C360" s="90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1"/>
      <c r="O360" s="91"/>
      <c r="P360" s="91"/>
      <c r="Q360" s="91"/>
      <c r="R360" s="91"/>
      <c r="S360" s="91"/>
      <c r="T360" s="91"/>
      <c r="U360" s="91"/>
      <c r="V360" s="92"/>
      <c r="W360" s="92"/>
      <c r="X360" s="93"/>
      <c r="Y360" s="93"/>
      <c r="Z360" s="93"/>
      <c r="AA360" s="4"/>
      <c r="AB360" s="5"/>
    </row>
    <row r="361" spans="1:28" x14ac:dyDescent="0.2">
      <c r="A361" s="4"/>
      <c r="B361" s="94"/>
      <c r="C361" s="94"/>
      <c r="D361" s="94"/>
      <c r="E361" s="94"/>
      <c r="F361" s="94"/>
      <c r="G361" s="94"/>
      <c r="H361" s="94"/>
      <c r="I361" s="94"/>
      <c r="J361" s="94"/>
      <c r="K361" s="94"/>
      <c r="L361" s="94"/>
      <c r="M361" s="94"/>
      <c r="N361" s="95"/>
      <c r="O361" s="95"/>
      <c r="P361" s="95"/>
      <c r="Q361" s="95"/>
      <c r="R361" s="95"/>
      <c r="S361" s="95"/>
      <c r="T361" s="95"/>
      <c r="U361" s="95"/>
      <c r="V361" s="96"/>
      <c r="W361" s="96"/>
      <c r="X361" s="97"/>
      <c r="Y361" s="97"/>
      <c r="Z361" s="97"/>
      <c r="AA361" s="4"/>
      <c r="AB361" s="5"/>
    </row>
    <row r="362" spans="1:28" x14ac:dyDescent="0.2">
      <c r="A362" s="4"/>
      <c r="B362" s="90"/>
      <c r="C362" s="90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1"/>
      <c r="O362" s="91"/>
      <c r="P362" s="91"/>
      <c r="Q362" s="91"/>
      <c r="R362" s="91"/>
      <c r="S362" s="91"/>
      <c r="T362" s="91"/>
      <c r="U362" s="91"/>
      <c r="V362" s="92"/>
      <c r="W362" s="92"/>
      <c r="X362" s="93"/>
      <c r="Y362" s="93"/>
      <c r="Z362" s="93"/>
      <c r="AA362" s="4"/>
      <c r="AB362" s="5"/>
    </row>
    <row r="363" spans="1:28" x14ac:dyDescent="0.2">
      <c r="A363" s="4"/>
      <c r="B363" s="94"/>
      <c r="C363" s="94"/>
      <c r="D363" s="94"/>
      <c r="E363" s="94"/>
      <c r="F363" s="94"/>
      <c r="G363" s="94"/>
      <c r="H363" s="94"/>
      <c r="I363" s="94"/>
      <c r="J363" s="94"/>
      <c r="K363" s="94"/>
      <c r="L363" s="94"/>
      <c r="M363" s="94"/>
      <c r="N363" s="95"/>
      <c r="O363" s="95"/>
      <c r="P363" s="95"/>
      <c r="Q363" s="95"/>
      <c r="R363" s="95"/>
      <c r="S363" s="95"/>
      <c r="T363" s="95"/>
      <c r="U363" s="95"/>
      <c r="V363" s="96"/>
      <c r="W363" s="96"/>
      <c r="X363" s="97"/>
      <c r="Y363" s="97"/>
      <c r="Z363" s="97"/>
      <c r="AA363" s="4"/>
      <c r="AB363" s="5"/>
    </row>
    <row r="364" spans="1:28" x14ac:dyDescent="0.2">
      <c r="A364" s="4"/>
      <c r="B364" s="90"/>
      <c r="C364" s="90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1"/>
      <c r="O364" s="91"/>
      <c r="P364" s="91"/>
      <c r="Q364" s="91"/>
      <c r="R364" s="91"/>
      <c r="S364" s="91"/>
      <c r="T364" s="91"/>
      <c r="U364" s="91"/>
      <c r="V364" s="92"/>
      <c r="W364" s="92"/>
      <c r="X364" s="93"/>
      <c r="Y364" s="93"/>
      <c r="Z364" s="93"/>
      <c r="AA364" s="4"/>
      <c r="AB364" s="5"/>
    </row>
    <row r="365" spans="1:28" x14ac:dyDescent="0.2">
      <c r="A365" s="4"/>
      <c r="B365" s="94"/>
      <c r="C365" s="94"/>
      <c r="D365" s="94"/>
      <c r="E365" s="94"/>
      <c r="F365" s="94"/>
      <c r="G365" s="94"/>
      <c r="H365" s="94"/>
      <c r="I365" s="94"/>
      <c r="J365" s="94"/>
      <c r="K365" s="94"/>
      <c r="L365" s="94"/>
      <c r="M365" s="94"/>
      <c r="N365" s="95"/>
      <c r="O365" s="95"/>
      <c r="P365" s="95"/>
      <c r="Q365" s="95"/>
      <c r="R365" s="95"/>
      <c r="S365" s="95"/>
      <c r="T365" s="95"/>
      <c r="U365" s="95"/>
      <c r="V365" s="96"/>
      <c r="W365" s="96"/>
      <c r="X365" s="97"/>
      <c r="Y365" s="97"/>
      <c r="Z365" s="97"/>
      <c r="AA365" s="4"/>
      <c r="AB365" s="5"/>
    </row>
    <row r="366" spans="1:28" x14ac:dyDescent="0.2">
      <c r="A366" s="4"/>
      <c r="B366" s="90"/>
      <c r="C366" s="90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1"/>
      <c r="O366" s="91"/>
      <c r="P366" s="91"/>
      <c r="Q366" s="91"/>
      <c r="R366" s="91"/>
      <c r="S366" s="91"/>
      <c r="T366" s="91"/>
      <c r="U366" s="91"/>
      <c r="V366" s="92"/>
      <c r="W366" s="92"/>
      <c r="X366" s="93"/>
      <c r="Y366" s="93"/>
      <c r="Z366" s="93"/>
      <c r="AA366" s="4"/>
      <c r="AB366" s="5"/>
    </row>
    <row r="367" spans="1:28" x14ac:dyDescent="0.2">
      <c r="A367" s="4"/>
      <c r="B367" s="94"/>
      <c r="C367" s="94"/>
      <c r="D367" s="94"/>
      <c r="E367" s="94"/>
      <c r="F367" s="94"/>
      <c r="G367" s="94"/>
      <c r="H367" s="94"/>
      <c r="I367" s="94"/>
      <c r="J367" s="94"/>
      <c r="K367" s="94"/>
      <c r="L367" s="94"/>
      <c r="M367" s="94"/>
      <c r="N367" s="95"/>
      <c r="O367" s="95"/>
      <c r="P367" s="95"/>
      <c r="Q367" s="95"/>
      <c r="R367" s="95"/>
      <c r="S367" s="95"/>
      <c r="T367" s="95"/>
      <c r="U367" s="95"/>
      <c r="V367" s="96"/>
      <c r="W367" s="96"/>
      <c r="X367" s="97"/>
      <c r="Y367" s="97"/>
      <c r="Z367" s="97"/>
      <c r="AA367" s="4"/>
      <c r="AB367" s="5"/>
    </row>
    <row r="368" spans="1:28" x14ac:dyDescent="0.2">
      <c r="A368" s="4"/>
      <c r="B368" s="90"/>
      <c r="C368" s="90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1"/>
      <c r="O368" s="91"/>
      <c r="P368" s="91"/>
      <c r="Q368" s="91"/>
      <c r="R368" s="91"/>
      <c r="S368" s="91"/>
      <c r="T368" s="91"/>
      <c r="U368" s="91"/>
      <c r="V368" s="92"/>
      <c r="W368" s="92"/>
      <c r="X368" s="93"/>
      <c r="Y368" s="93"/>
      <c r="Z368" s="93"/>
      <c r="AA368" s="4"/>
      <c r="AB368" s="5"/>
    </row>
    <row r="369" spans="1:28" x14ac:dyDescent="0.2">
      <c r="A369" s="4"/>
      <c r="B369" s="94"/>
      <c r="C369" s="94"/>
      <c r="D369" s="94"/>
      <c r="E369" s="94"/>
      <c r="F369" s="94"/>
      <c r="G369" s="94"/>
      <c r="H369" s="94"/>
      <c r="I369" s="94"/>
      <c r="J369" s="94"/>
      <c r="K369" s="94"/>
      <c r="L369" s="94"/>
      <c r="M369" s="94"/>
      <c r="N369" s="95"/>
      <c r="O369" s="95"/>
      <c r="P369" s="95"/>
      <c r="Q369" s="95"/>
      <c r="R369" s="95"/>
      <c r="S369" s="95"/>
      <c r="T369" s="95"/>
      <c r="U369" s="95"/>
      <c r="V369" s="96"/>
      <c r="W369" s="96"/>
      <c r="X369" s="97"/>
      <c r="Y369" s="97"/>
      <c r="Z369" s="97"/>
      <c r="AA369" s="4"/>
      <c r="AB369" s="5"/>
    </row>
    <row r="370" spans="1:28" x14ac:dyDescent="0.2">
      <c r="A370" s="4"/>
      <c r="B370" s="90"/>
      <c r="C370" s="90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1"/>
      <c r="O370" s="91"/>
      <c r="P370" s="91"/>
      <c r="Q370" s="91"/>
      <c r="R370" s="91"/>
      <c r="S370" s="91"/>
      <c r="T370" s="91"/>
      <c r="U370" s="91"/>
      <c r="V370" s="92"/>
      <c r="W370" s="92"/>
      <c r="X370" s="93"/>
      <c r="Y370" s="93"/>
      <c r="Z370" s="93"/>
      <c r="AA370" s="4"/>
      <c r="AB370" s="5"/>
    </row>
    <row r="371" spans="1:28" x14ac:dyDescent="0.2">
      <c r="A371" s="4"/>
      <c r="B371" s="94"/>
      <c r="C371" s="94"/>
      <c r="D371" s="94"/>
      <c r="E371" s="94"/>
      <c r="F371" s="94"/>
      <c r="G371" s="94"/>
      <c r="H371" s="94"/>
      <c r="I371" s="94"/>
      <c r="J371" s="94"/>
      <c r="K371" s="94"/>
      <c r="L371" s="94"/>
      <c r="M371" s="94"/>
      <c r="N371" s="95"/>
      <c r="O371" s="95"/>
      <c r="P371" s="95"/>
      <c r="Q371" s="95"/>
      <c r="R371" s="95"/>
      <c r="S371" s="95"/>
      <c r="T371" s="95"/>
      <c r="U371" s="95"/>
      <c r="V371" s="96"/>
      <c r="W371" s="96"/>
      <c r="X371" s="97"/>
      <c r="Y371" s="97"/>
      <c r="Z371" s="97"/>
      <c r="AA371" s="4"/>
      <c r="AB371" s="5"/>
    </row>
    <row r="372" spans="1:28" x14ac:dyDescent="0.2">
      <c r="A372" s="4"/>
      <c r="B372" s="90"/>
      <c r="C372" s="90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1"/>
      <c r="O372" s="91"/>
      <c r="P372" s="91"/>
      <c r="Q372" s="91"/>
      <c r="R372" s="91"/>
      <c r="S372" s="91"/>
      <c r="T372" s="91"/>
      <c r="U372" s="91"/>
      <c r="V372" s="92"/>
      <c r="W372" s="92"/>
      <c r="X372" s="93"/>
      <c r="Y372" s="93"/>
      <c r="Z372" s="93"/>
      <c r="AA372" s="4"/>
      <c r="AB372" s="5"/>
    </row>
    <row r="373" spans="1:28" x14ac:dyDescent="0.2">
      <c r="A373" s="4"/>
      <c r="B373" s="94"/>
      <c r="C373" s="94"/>
      <c r="D373" s="94"/>
      <c r="E373" s="94"/>
      <c r="F373" s="94"/>
      <c r="G373" s="94"/>
      <c r="H373" s="94"/>
      <c r="I373" s="94"/>
      <c r="J373" s="94"/>
      <c r="K373" s="94"/>
      <c r="L373" s="94"/>
      <c r="M373" s="94"/>
      <c r="N373" s="95"/>
      <c r="O373" s="95"/>
      <c r="P373" s="95"/>
      <c r="Q373" s="95"/>
      <c r="R373" s="95"/>
      <c r="S373" s="95"/>
      <c r="T373" s="95"/>
      <c r="U373" s="95"/>
      <c r="V373" s="96"/>
      <c r="W373" s="96"/>
      <c r="X373" s="97"/>
      <c r="Y373" s="97"/>
      <c r="Z373" s="97"/>
      <c r="AA373" s="4"/>
      <c r="AB373" s="5"/>
    </row>
    <row r="374" spans="1:28" x14ac:dyDescent="0.2">
      <c r="A374" s="4"/>
      <c r="B374" s="90"/>
      <c r="C374" s="90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1"/>
      <c r="O374" s="91"/>
      <c r="P374" s="91"/>
      <c r="Q374" s="91"/>
      <c r="R374" s="91"/>
      <c r="S374" s="91"/>
      <c r="T374" s="91"/>
      <c r="U374" s="91"/>
      <c r="V374" s="92"/>
      <c r="W374" s="92"/>
      <c r="X374" s="93"/>
      <c r="Y374" s="93"/>
      <c r="Z374" s="93"/>
      <c r="AA374" s="4"/>
      <c r="AB374" s="5"/>
    </row>
    <row r="375" spans="1:28" x14ac:dyDescent="0.2">
      <c r="A375" s="4"/>
      <c r="B375" s="94"/>
      <c r="C375" s="94"/>
      <c r="D375" s="94"/>
      <c r="E375" s="94"/>
      <c r="F375" s="94"/>
      <c r="G375" s="94"/>
      <c r="H375" s="94"/>
      <c r="I375" s="94"/>
      <c r="J375" s="94"/>
      <c r="K375" s="94"/>
      <c r="L375" s="94"/>
      <c r="M375" s="94"/>
      <c r="N375" s="95"/>
      <c r="O375" s="95"/>
      <c r="P375" s="95"/>
      <c r="Q375" s="95"/>
      <c r="R375" s="95"/>
      <c r="S375" s="95"/>
      <c r="T375" s="95"/>
      <c r="U375" s="95"/>
      <c r="V375" s="96"/>
      <c r="W375" s="96"/>
      <c r="X375" s="97"/>
      <c r="Y375" s="97"/>
      <c r="Z375" s="97"/>
      <c r="AA375" s="4"/>
      <c r="AB375" s="5"/>
    </row>
    <row r="376" spans="1:28" x14ac:dyDescent="0.2">
      <c r="A376" s="4"/>
      <c r="B376" s="90"/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1"/>
      <c r="O376" s="91"/>
      <c r="P376" s="91"/>
      <c r="Q376" s="91"/>
      <c r="R376" s="91"/>
      <c r="S376" s="91"/>
      <c r="T376" s="91"/>
      <c r="U376" s="91"/>
      <c r="V376" s="92"/>
      <c r="W376" s="92"/>
      <c r="X376" s="93"/>
      <c r="Y376" s="93"/>
      <c r="Z376" s="93"/>
      <c r="AA376" s="4"/>
      <c r="AB376" s="5"/>
    </row>
    <row r="377" spans="1:28" x14ac:dyDescent="0.2">
      <c r="A377" s="4"/>
      <c r="B377" s="94"/>
      <c r="C377" s="94"/>
      <c r="D377" s="94"/>
      <c r="E377" s="94"/>
      <c r="F377" s="94"/>
      <c r="G377" s="94"/>
      <c r="H377" s="94"/>
      <c r="I377" s="94"/>
      <c r="J377" s="94"/>
      <c r="K377" s="94"/>
      <c r="L377" s="94"/>
      <c r="M377" s="94"/>
      <c r="N377" s="95"/>
      <c r="O377" s="95"/>
      <c r="P377" s="95"/>
      <c r="Q377" s="95"/>
      <c r="R377" s="95"/>
      <c r="S377" s="95"/>
      <c r="T377" s="95"/>
      <c r="U377" s="95"/>
      <c r="V377" s="96"/>
      <c r="W377" s="96"/>
      <c r="X377" s="97"/>
      <c r="Y377" s="97"/>
      <c r="Z377" s="97"/>
      <c r="AA377" s="4"/>
      <c r="AB377" s="5"/>
    </row>
    <row r="378" spans="1:28" x14ac:dyDescent="0.2">
      <c r="A378" s="4"/>
      <c r="B378" s="90"/>
      <c r="C378" s="90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1"/>
      <c r="O378" s="91"/>
      <c r="P378" s="91"/>
      <c r="Q378" s="91"/>
      <c r="R378" s="91"/>
      <c r="S378" s="91"/>
      <c r="T378" s="91"/>
      <c r="U378" s="91"/>
      <c r="V378" s="92"/>
      <c r="W378" s="92"/>
      <c r="X378" s="93"/>
      <c r="Y378" s="93"/>
      <c r="Z378" s="93"/>
      <c r="AA378" s="4"/>
      <c r="AB378" s="5"/>
    </row>
    <row r="379" spans="1:28" x14ac:dyDescent="0.2">
      <c r="A379" s="4"/>
      <c r="B379" s="94"/>
      <c r="C379" s="94"/>
      <c r="D379" s="94"/>
      <c r="E379" s="94"/>
      <c r="F379" s="94"/>
      <c r="G379" s="94"/>
      <c r="H379" s="94"/>
      <c r="I379" s="94"/>
      <c r="J379" s="94"/>
      <c r="K379" s="94"/>
      <c r="L379" s="94"/>
      <c r="M379" s="94"/>
      <c r="N379" s="95"/>
      <c r="O379" s="95"/>
      <c r="P379" s="95"/>
      <c r="Q379" s="95"/>
      <c r="R379" s="95"/>
      <c r="S379" s="95"/>
      <c r="T379" s="95"/>
      <c r="U379" s="95"/>
      <c r="V379" s="96"/>
      <c r="W379" s="96"/>
      <c r="X379" s="97"/>
      <c r="Y379" s="97"/>
      <c r="Z379" s="97"/>
      <c r="AA379" s="4"/>
      <c r="AB379" s="5"/>
    </row>
    <row r="380" spans="1:28" x14ac:dyDescent="0.2">
      <c r="A380" s="4"/>
      <c r="B380" s="90"/>
      <c r="C380" s="90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1"/>
      <c r="O380" s="91"/>
      <c r="P380" s="91"/>
      <c r="Q380" s="91"/>
      <c r="R380" s="91"/>
      <c r="S380" s="91"/>
      <c r="T380" s="91"/>
      <c r="U380" s="91"/>
      <c r="V380" s="92"/>
      <c r="W380" s="92"/>
      <c r="X380" s="93"/>
      <c r="Y380" s="93"/>
      <c r="Z380" s="93"/>
      <c r="AA380" s="4"/>
      <c r="AB380" s="5"/>
    </row>
    <row r="381" spans="1:28" x14ac:dyDescent="0.2">
      <c r="A381" s="4"/>
      <c r="B381" s="94"/>
      <c r="C381" s="94"/>
      <c r="D381" s="94"/>
      <c r="E381" s="94"/>
      <c r="F381" s="94"/>
      <c r="G381" s="94"/>
      <c r="H381" s="94"/>
      <c r="I381" s="94"/>
      <c r="J381" s="94"/>
      <c r="K381" s="94"/>
      <c r="L381" s="94"/>
      <c r="M381" s="94"/>
      <c r="N381" s="95"/>
      <c r="O381" s="95"/>
      <c r="P381" s="95"/>
      <c r="Q381" s="95"/>
      <c r="R381" s="95"/>
      <c r="S381" s="95"/>
      <c r="T381" s="95"/>
      <c r="U381" s="95"/>
      <c r="V381" s="96"/>
      <c r="W381" s="96"/>
      <c r="X381" s="97"/>
      <c r="Y381" s="97"/>
      <c r="Z381" s="97"/>
      <c r="AA381" s="4"/>
      <c r="AB381" s="5"/>
    </row>
    <row r="382" spans="1:28" x14ac:dyDescent="0.2">
      <c r="A382" s="4"/>
      <c r="B382" s="90"/>
      <c r="C382" s="90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1"/>
      <c r="O382" s="91"/>
      <c r="P382" s="91"/>
      <c r="Q382" s="91"/>
      <c r="R382" s="91"/>
      <c r="S382" s="91"/>
      <c r="T382" s="91"/>
      <c r="U382" s="91"/>
      <c r="V382" s="92"/>
      <c r="W382" s="92"/>
      <c r="X382" s="93"/>
      <c r="Y382" s="93"/>
      <c r="Z382" s="93"/>
      <c r="AA382" s="4"/>
      <c r="AB382" s="5"/>
    </row>
    <row r="383" spans="1:28" x14ac:dyDescent="0.2">
      <c r="A383" s="4"/>
      <c r="B383" s="94"/>
      <c r="C383" s="94"/>
      <c r="D383" s="94"/>
      <c r="E383" s="94"/>
      <c r="F383" s="94"/>
      <c r="G383" s="94"/>
      <c r="H383" s="94"/>
      <c r="I383" s="94"/>
      <c r="J383" s="94"/>
      <c r="K383" s="94"/>
      <c r="L383" s="94"/>
      <c r="M383" s="94"/>
      <c r="N383" s="95"/>
      <c r="O383" s="95"/>
      <c r="P383" s="95"/>
      <c r="Q383" s="95"/>
      <c r="R383" s="95"/>
      <c r="S383" s="95"/>
      <c r="T383" s="95"/>
      <c r="U383" s="95"/>
      <c r="V383" s="96"/>
      <c r="W383" s="96"/>
      <c r="X383" s="97"/>
      <c r="Y383" s="97"/>
      <c r="Z383" s="97"/>
      <c r="AA383" s="4"/>
      <c r="AB383" s="5"/>
    </row>
    <row r="384" spans="1:28" x14ac:dyDescent="0.2">
      <c r="A384" s="4"/>
      <c r="B384" s="90"/>
      <c r="C384" s="90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1"/>
      <c r="O384" s="91"/>
      <c r="P384" s="91"/>
      <c r="Q384" s="91"/>
      <c r="R384" s="91"/>
      <c r="S384" s="91"/>
      <c r="T384" s="91"/>
      <c r="U384" s="91"/>
      <c r="V384" s="92"/>
      <c r="W384" s="92"/>
      <c r="X384" s="93"/>
      <c r="Y384" s="93"/>
      <c r="Z384" s="93"/>
      <c r="AA384" s="4"/>
      <c r="AB384" s="5"/>
    </row>
    <row r="385" spans="1:28" x14ac:dyDescent="0.2">
      <c r="A385" s="4"/>
      <c r="B385" s="94"/>
      <c r="C385" s="94"/>
      <c r="D385" s="94"/>
      <c r="E385" s="94"/>
      <c r="F385" s="94"/>
      <c r="G385" s="94"/>
      <c r="H385" s="94"/>
      <c r="I385" s="94"/>
      <c r="J385" s="94"/>
      <c r="K385" s="94"/>
      <c r="L385" s="94"/>
      <c r="M385" s="94"/>
      <c r="N385" s="95"/>
      <c r="O385" s="95"/>
      <c r="P385" s="95"/>
      <c r="Q385" s="95"/>
      <c r="R385" s="95"/>
      <c r="S385" s="95"/>
      <c r="T385" s="95"/>
      <c r="U385" s="95"/>
      <c r="V385" s="96"/>
      <c r="W385" s="96"/>
      <c r="X385" s="97"/>
      <c r="Y385" s="97"/>
      <c r="Z385" s="97"/>
      <c r="AA385" s="4"/>
      <c r="AB385" s="5"/>
    </row>
    <row r="386" spans="1:28" x14ac:dyDescent="0.2">
      <c r="A386" s="4"/>
      <c r="B386" s="90"/>
      <c r="C386" s="90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1"/>
      <c r="O386" s="91"/>
      <c r="P386" s="91"/>
      <c r="Q386" s="91"/>
      <c r="R386" s="91"/>
      <c r="S386" s="91"/>
      <c r="T386" s="91"/>
      <c r="U386" s="91"/>
      <c r="V386" s="92"/>
      <c r="W386" s="92"/>
      <c r="X386" s="93"/>
      <c r="Y386" s="93"/>
      <c r="Z386" s="93"/>
      <c r="AA386" s="4"/>
      <c r="AB386" s="5"/>
    </row>
    <row r="387" spans="1:28" x14ac:dyDescent="0.2">
      <c r="A387" s="4"/>
      <c r="B387" s="94"/>
      <c r="C387" s="94"/>
      <c r="D387" s="94"/>
      <c r="E387" s="94"/>
      <c r="F387" s="94"/>
      <c r="G387" s="94"/>
      <c r="H387" s="94"/>
      <c r="I387" s="94"/>
      <c r="J387" s="94"/>
      <c r="K387" s="94"/>
      <c r="L387" s="94"/>
      <c r="M387" s="94"/>
      <c r="N387" s="95"/>
      <c r="O387" s="95"/>
      <c r="P387" s="95"/>
      <c r="Q387" s="95"/>
      <c r="R387" s="95"/>
      <c r="S387" s="95"/>
      <c r="T387" s="95"/>
      <c r="U387" s="95"/>
      <c r="V387" s="96"/>
      <c r="W387" s="96"/>
      <c r="X387" s="97"/>
      <c r="Y387" s="97"/>
      <c r="Z387" s="97"/>
      <c r="AA387" s="4"/>
      <c r="AB387" s="5"/>
    </row>
    <row r="388" spans="1:28" x14ac:dyDescent="0.2">
      <c r="A388" s="4"/>
      <c r="B388" s="90"/>
      <c r="C388" s="90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1"/>
      <c r="O388" s="91"/>
      <c r="P388" s="91"/>
      <c r="Q388" s="91"/>
      <c r="R388" s="91"/>
      <c r="S388" s="91"/>
      <c r="T388" s="91"/>
      <c r="U388" s="91"/>
      <c r="V388" s="92"/>
      <c r="W388" s="92"/>
      <c r="X388" s="93"/>
      <c r="Y388" s="93"/>
      <c r="Z388" s="93"/>
      <c r="AA388" s="4"/>
      <c r="AB388" s="5"/>
    </row>
    <row r="389" spans="1:28" x14ac:dyDescent="0.2">
      <c r="A389" s="4"/>
      <c r="B389" s="94"/>
      <c r="C389" s="94"/>
      <c r="D389" s="94"/>
      <c r="E389" s="94"/>
      <c r="F389" s="94"/>
      <c r="G389" s="94"/>
      <c r="H389" s="94"/>
      <c r="I389" s="94"/>
      <c r="J389" s="94"/>
      <c r="K389" s="94"/>
      <c r="L389" s="94"/>
      <c r="M389" s="94"/>
      <c r="N389" s="95"/>
      <c r="O389" s="95"/>
      <c r="P389" s="95"/>
      <c r="Q389" s="95"/>
      <c r="R389" s="95"/>
      <c r="S389" s="95"/>
      <c r="T389" s="95"/>
      <c r="U389" s="95"/>
      <c r="V389" s="96"/>
      <c r="W389" s="96"/>
      <c r="X389" s="97"/>
      <c r="Y389" s="97"/>
      <c r="Z389" s="97"/>
      <c r="AA389" s="4"/>
      <c r="AB389" s="5"/>
    </row>
    <row r="390" spans="1:28" x14ac:dyDescent="0.2">
      <c r="A390" s="4"/>
      <c r="B390" s="90"/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1"/>
      <c r="O390" s="91"/>
      <c r="P390" s="91"/>
      <c r="Q390" s="91"/>
      <c r="R390" s="91"/>
      <c r="S390" s="91"/>
      <c r="T390" s="91"/>
      <c r="U390" s="91"/>
      <c r="V390" s="92"/>
      <c r="W390" s="92"/>
      <c r="X390" s="93"/>
      <c r="Y390" s="93"/>
      <c r="Z390" s="93"/>
      <c r="AA390" s="4"/>
      <c r="AB390" s="5"/>
    </row>
    <row r="391" spans="1:28" x14ac:dyDescent="0.2">
      <c r="A391" s="4"/>
      <c r="B391" s="94"/>
      <c r="C391" s="94"/>
      <c r="D391" s="94"/>
      <c r="E391" s="94"/>
      <c r="F391" s="94"/>
      <c r="G391" s="94"/>
      <c r="H391" s="94"/>
      <c r="I391" s="94"/>
      <c r="J391" s="94"/>
      <c r="K391" s="94"/>
      <c r="L391" s="94"/>
      <c r="M391" s="94"/>
      <c r="N391" s="95"/>
      <c r="O391" s="95"/>
      <c r="P391" s="95"/>
      <c r="Q391" s="95"/>
      <c r="R391" s="95"/>
      <c r="S391" s="95"/>
      <c r="T391" s="95"/>
      <c r="U391" s="95"/>
      <c r="V391" s="96"/>
      <c r="W391" s="96"/>
      <c r="X391" s="97"/>
      <c r="Y391" s="97"/>
      <c r="Z391" s="97"/>
      <c r="AA391" s="4"/>
      <c r="AB391" s="5"/>
    </row>
    <row r="392" spans="1:28" x14ac:dyDescent="0.2">
      <c r="A392" s="4"/>
      <c r="B392" s="90"/>
      <c r="C392" s="90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1"/>
      <c r="O392" s="91"/>
      <c r="P392" s="91"/>
      <c r="Q392" s="91"/>
      <c r="R392" s="91"/>
      <c r="S392" s="91"/>
      <c r="T392" s="91"/>
      <c r="U392" s="91"/>
      <c r="V392" s="92"/>
      <c r="W392" s="92"/>
      <c r="X392" s="93"/>
      <c r="Y392" s="93"/>
      <c r="Z392" s="93"/>
      <c r="AA392" s="4"/>
      <c r="AB392" s="5"/>
    </row>
    <row r="393" spans="1:28" x14ac:dyDescent="0.2">
      <c r="A393" s="4"/>
      <c r="B393" s="94"/>
      <c r="C393" s="94"/>
      <c r="D393" s="94"/>
      <c r="E393" s="94"/>
      <c r="F393" s="94"/>
      <c r="G393" s="94"/>
      <c r="H393" s="94"/>
      <c r="I393" s="94"/>
      <c r="J393" s="94"/>
      <c r="K393" s="94"/>
      <c r="L393" s="94"/>
      <c r="M393" s="94"/>
      <c r="N393" s="95"/>
      <c r="O393" s="95"/>
      <c r="P393" s="95"/>
      <c r="Q393" s="95"/>
      <c r="R393" s="95"/>
      <c r="S393" s="95"/>
      <c r="T393" s="95"/>
      <c r="U393" s="95"/>
      <c r="V393" s="96"/>
      <c r="W393" s="96"/>
      <c r="X393" s="97"/>
      <c r="Y393" s="97"/>
      <c r="Z393" s="97"/>
      <c r="AA393" s="4"/>
      <c r="AB393" s="5"/>
    </row>
    <row r="394" spans="1:28" x14ac:dyDescent="0.2">
      <c r="A394" s="4"/>
      <c r="B394" s="90"/>
      <c r="C394" s="90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1"/>
      <c r="O394" s="91"/>
      <c r="P394" s="91"/>
      <c r="Q394" s="91"/>
      <c r="R394" s="91"/>
      <c r="S394" s="91"/>
      <c r="T394" s="91"/>
      <c r="U394" s="91"/>
      <c r="V394" s="92"/>
      <c r="W394" s="92"/>
      <c r="X394" s="93"/>
      <c r="Y394" s="93"/>
      <c r="Z394" s="93"/>
      <c r="AA394" s="4"/>
      <c r="AB394" s="5"/>
    </row>
    <row r="395" spans="1:28" x14ac:dyDescent="0.2">
      <c r="A395" s="4"/>
      <c r="B395" s="94"/>
      <c r="C395" s="94"/>
      <c r="D395" s="94"/>
      <c r="E395" s="94"/>
      <c r="F395" s="94"/>
      <c r="G395" s="94"/>
      <c r="H395" s="94"/>
      <c r="I395" s="94"/>
      <c r="J395" s="94"/>
      <c r="K395" s="94"/>
      <c r="L395" s="94"/>
      <c r="M395" s="94"/>
      <c r="N395" s="95"/>
      <c r="O395" s="95"/>
      <c r="P395" s="95"/>
      <c r="Q395" s="95"/>
      <c r="R395" s="95"/>
      <c r="S395" s="95"/>
      <c r="T395" s="95"/>
      <c r="U395" s="95"/>
      <c r="V395" s="96"/>
      <c r="W395" s="96"/>
      <c r="X395" s="97"/>
      <c r="Y395" s="97"/>
      <c r="Z395" s="97"/>
      <c r="AA395" s="4"/>
      <c r="AB395" s="5"/>
    </row>
    <row r="396" spans="1:28" x14ac:dyDescent="0.2">
      <c r="A396" s="4"/>
      <c r="B396" s="90"/>
      <c r="C396" s="90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1"/>
      <c r="O396" s="91"/>
      <c r="P396" s="91"/>
      <c r="Q396" s="91"/>
      <c r="R396" s="91"/>
      <c r="S396" s="91"/>
      <c r="T396" s="91"/>
      <c r="U396" s="91"/>
      <c r="V396" s="92"/>
      <c r="W396" s="92"/>
      <c r="X396" s="93"/>
      <c r="Y396" s="93"/>
      <c r="Z396" s="93"/>
      <c r="AA396" s="4"/>
      <c r="AB396" s="5"/>
    </row>
    <row r="397" spans="1:28" x14ac:dyDescent="0.2">
      <c r="A397" s="4"/>
      <c r="B397" s="94"/>
      <c r="C397" s="94"/>
      <c r="D397" s="94"/>
      <c r="E397" s="94"/>
      <c r="F397" s="94"/>
      <c r="G397" s="94"/>
      <c r="H397" s="94"/>
      <c r="I397" s="94"/>
      <c r="J397" s="94"/>
      <c r="K397" s="94"/>
      <c r="L397" s="94"/>
      <c r="M397" s="94"/>
      <c r="N397" s="95"/>
      <c r="O397" s="95"/>
      <c r="P397" s="95"/>
      <c r="Q397" s="95"/>
      <c r="R397" s="95"/>
      <c r="S397" s="95"/>
      <c r="T397" s="95"/>
      <c r="U397" s="95"/>
      <c r="V397" s="96"/>
      <c r="W397" s="96"/>
      <c r="X397" s="97"/>
      <c r="Y397" s="97"/>
      <c r="Z397" s="97"/>
      <c r="AA397" s="4"/>
      <c r="AB397" s="5"/>
    </row>
    <row r="398" spans="1:28" x14ac:dyDescent="0.2">
      <c r="A398" s="4"/>
      <c r="B398" s="90"/>
      <c r="C398" s="90"/>
      <c r="D398" s="90"/>
      <c r="E398" s="90"/>
      <c r="F398" s="90"/>
      <c r="G398" s="90"/>
      <c r="H398" s="90"/>
      <c r="I398" s="90"/>
      <c r="J398" s="90"/>
      <c r="K398" s="90"/>
      <c r="L398" s="90"/>
      <c r="M398" s="90"/>
      <c r="N398" s="91"/>
      <c r="O398" s="91"/>
      <c r="P398" s="91"/>
      <c r="Q398" s="91"/>
      <c r="R398" s="91"/>
      <c r="S398" s="91"/>
      <c r="T398" s="91"/>
      <c r="U398" s="91"/>
      <c r="V398" s="92"/>
      <c r="W398" s="92"/>
      <c r="X398" s="93"/>
      <c r="Y398" s="93"/>
      <c r="Z398" s="93"/>
      <c r="AA398" s="4"/>
      <c r="AB398" s="5"/>
    </row>
    <row r="399" spans="1:28" x14ac:dyDescent="0.2">
      <c r="A399" s="4"/>
      <c r="B399" s="94"/>
      <c r="C399" s="94"/>
      <c r="D399" s="94"/>
      <c r="E399" s="94"/>
      <c r="F399" s="94"/>
      <c r="G399" s="94"/>
      <c r="H399" s="94"/>
      <c r="I399" s="94"/>
      <c r="J399" s="94"/>
      <c r="K399" s="94"/>
      <c r="L399" s="94"/>
      <c r="M399" s="94"/>
      <c r="N399" s="95"/>
      <c r="O399" s="95"/>
      <c r="P399" s="95"/>
      <c r="Q399" s="95"/>
      <c r="R399" s="95"/>
      <c r="S399" s="95"/>
      <c r="T399" s="95"/>
      <c r="U399" s="95"/>
      <c r="V399" s="96"/>
      <c r="W399" s="96"/>
      <c r="X399" s="97"/>
      <c r="Y399" s="97"/>
      <c r="Z399" s="97"/>
      <c r="AA399" s="4"/>
      <c r="AB399" s="5"/>
    </row>
    <row r="400" spans="1:28" x14ac:dyDescent="0.2">
      <c r="A400" s="4"/>
      <c r="B400" s="90"/>
      <c r="C400" s="90"/>
      <c r="D400" s="90"/>
      <c r="E400" s="90"/>
      <c r="F400" s="90"/>
      <c r="G400" s="90"/>
      <c r="H400" s="90"/>
      <c r="I400" s="90"/>
      <c r="J400" s="90"/>
      <c r="K400" s="90"/>
      <c r="L400" s="90"/>
      <c r="M400" s="90"/>
      <c r="N400" s="91"/>
      <c r="O400" s="91"/>
      <c r="P400" s="91"/>
      <c r="Q400" s="91"/>
      <c r="R400" s="91"/>
      <c r="S400" s="91"/>
      <c r="T400" s="91"/>
      <c r="U400" s="91"/>
      <c r="V400" s="92"/>
      <c r="W400" s="92"/>
      <c r="X400" s="93"/>
      <c r="Y400" s="93"/>
      <c r="Z400" s="93"/>
      <c r="AA400" s="4"/>
      <c r="AB400" s="5"/>
    </row>
    <row r="401" spans="1:28" x14ac:dyDescent="0.2">
      <c r="A401" s="4"/>
      <c r="B401" s="94"/>
      <c r="C401" s="94"/>
      <c r="D401" s="94"/>
      <c r="E401" s="94"/>
      <c r="F401" s="94"/>
      <c r="G401" s="94"/>
      <c r="H401" s="94"/>
      <c r="I401" s="94"/>
      <c r="J401" s="94"/>
      <c r="K401" s="94"/>
      <c r="L401" s="94"/>
      <c r="M401" s="94"/>
      <c r="N401" s="95"/>
      <c r="O401" s="95"/>
      <c r="P401" s="95"/>
      <c r="Q401" s="95"/>
      <c r="R401" s="95"/>
      <c r="S401" s="95"/>
      <c r="T401" s="95"/>
      <c r="U401" s="95"/>
      <c r="V401" s="96"/>
      <c r="W401" s="96"/>
      <c r="X401" s="97"/>
      <c r="Y401" s="97"/>
      <c r="Z401" s="97"/>
      <c r="AA401" s="4"/>
      <c r="AB401" s="5"/>
    </row>
    <row r="402" spans="1:28" x14ac:dyDescent="0.2">
      <c r="A402" s="4"/>
      <c r="B402" s="90"/>
      <c r="C402" s="90"/>
      <c r="D402" s="90"/>
      <c r="E402" s="90"/>
      <c r="F402" s="90"/>
      <c r="G402" s="90"/>
      <c r="H402" s="90"/>
      <c r="I402" s="90"/>
      <c r="J402" s="90"/>
      <c r="K402" s="90"/>
      <c r="L402" s="90"/>
      <c r="M402" s="90"/>
      <c r="N402" s="91"/>
      <c r="O402" s="91"/>
      <c r="P402" s="91"/>
      <c r="Q402" s="91"/>
      <c r="R402" s="91"/>
      <c r="S402" s="91"/>
      <c r="T402" s="91"/>
      <c r="U402" s="91"/>
      <c r="V402" s="92"/>
      <c r="W402" s="92"/>
      <c r="X402" s="93"/>
      <c r="Y402" s="93"/>
      <c r="Z402" s="93"/>
      <c r="AA402" s="4"/>
      <c r="AB402" s="5"/>
    </row>
    <row r="403" spans="1:28" x14ac:dyDescent="0.2">
      <c r="A403" s="4"/>
      <c r="B403" s="94"/>
      <c r="C403" s="94"/>
      <c r="D403" s="94"/>
      <c r="E403" s="94"/>
      <c r="F403" s="94"/>
      <c r="G403" s="94"/>
      <c r="H403" s="94"/>
      <c r="I403" s="94"/>
      <c r="J403" s="94"/>
      <c r="K403" s="94"/>
      <c r="L403" s="94"/>
      <c r="M403" s="94"/>
      <c r="N403" s="95"/>
      <c r="O403" s="95"/>
      <c r="P403" s="95"/>
      <c r="Q403" s="95"/>
      <c r="R403" s="95"/>
      <c r="S403" s="95"/>
      <c r="T403" s="95"/>
      <c r="U403" s="95"/>
      <c r="V403" s="96"/>
      <c r="W403" s="96"/>
      <c r="X403" s="97"/>
      <c r="Y403" s="97"/>
      <c r="Z403" s="97"/>
      <c r="AA403" s="4"/>
      <c r="AB403" s="5"/>
    </row>
    <row r="404" spans="1:28" x14ac:dyDescent="0.2">
      <c r="A404" s="4"/>
      <c r="B404" s="90"/>
      <c r="C404" s="90"/>
      <c r="D404" s="90"/>
      <c r="E404" s="90"/>
      <c r="F404" s="90"/>
      <c r="G404" s="90"/>
      <c r="H404" s="90"/>
      <c r="I404" s="90"/>
      <c r="J404" s="90"/>
      <c r="K404" s="90"/>
      <c r="L404" s="90"/>
      <c r="M404" s="90"/>
      <c r="N404" s="91"/>
      <c r="O404" s="91"/>
      <c r="P404" s="91"/>
      <c r="Q404" s="91"/>
      <c r="R404" s="91"/>
      <c r="S404" s="91"/>
      <c r="T404" s="91"/>
      <c r="U404" s="91"/>
      <c r="V404" s="92"/>
      <c r="W404" s="92"/>
      <c r="X404" s="93"/>
      <c r="Y404" s="93"/>
      <c r="Z404" s="93"/>
      <c r="AA404" s="4"/>
      <c r="AB404" s="5"/>
    </row>
    <row r="405" spans="1:28" x14ac:dyDescent="0.2">
      <c r="A405" s="4"/>
      <c r="B405" s="94"/>
      <c r="C405" s="94"/>
      <c r="D405" s="94"/>
      <c r="E405" s="94"/>
      <c r="F405" s="94"/>
      <c r="G405" s="94"/>
      <c r="H405" s="94"/>
      <c r="I405" s="94"/>
      <c r="J405" s="94"/>
      <c r="K405" s="94"/>
      <c r="L405" s="94"/>
      <c r="M405" s="94"/>
      <c r="N405" s="95"/>
      <c r="O405" s="95"/>
      <c r="P405" s="95"/>
      <c r="Q405" s="95"/>
      <c r="R405" s="95"/>
      <c r="S405" s="95"/>
      <c r="T405" s="95"/>
      <c r="U405" s="95"/>
      <c r="V405" s="96"/>
      <c r="W405" s="96"/>
      <c r="X405" s="97"/>
      <c r="Y405" s="97"/>
      <c r="Z405" s="97"/>
      <c r="AA405" s="4"/>
      <c r="AB405" s="5"/>
    </row>
    <row r="406" spans="1:28" x14ac:dyDescent="0.2">
      <c r="A406" s="4"/>
      <c r="B406" s="90"/>
      <c r="C406" s="90"/>
      <c r="D406" s="90"/>
      <c r="E406" s="90"/>
      <c r="F406" s="90"/>
      <c r="G406" s="90"/>
      <c r="H406" s="90"/>
      <c r="I406" s="90"/>
      <c r="J406" s="90"/>
      <c r="K406" s="90"/>
      <c r="L406" s="90"/>
      <c r="M406" s="90"/>
      <c r="N406" s="91"/>
      <c r="O406" s="91"/>
      <c r="P406" s="91"/>
      <c r="Q406" s="91"/>
      <c r="R406" s="91"/>
      <c r="S406" s="91"/>
      <c r="T406" s="91"/>
      <c r="U406" s="91"/>
      <c r="V406" s="92"/>
      <c r="W406" s="92"/>
      <c r="X406" s="93"/>
      <c r="Y406" s="93"/>
      <c r="Z406" s="93"/>
      <c r="AA406" s="4"/>
      <c r="AB406" s="5"/>
    </row>
    <row r="407" spans="1:28" x14ac:dyDescent="0.2">
      <c r="A407" s="4"/>
      <c r="B407" s="94"/>
      <c r="C407" s="94"/>
      <c r="D407" s="94"/>
      <c r="E407" s="94"/>
      <c r="F407" s="94"/>
      <c r="G407" s="94"/>
      <c r="H407" s="94"/>
      <c r="I407" s="94"/>
      <c r="J407" s="94"/>
      <c r="K407" s="94"/>
      <c r="L407" s="94"/>
      <c r="M407" s="94"/>
      <c r="N407" s="95"/>
      <c r="O407" s="95"/>
      <c r="P407" s="95"/>
      <c r="Q407" s="95"/>
      <c r="R407" s="95"/>
      <c r="S407" s="95"/>
      <c r="T407" s="95"/>
      <c r="U407" s="95"/>
      <c r="V407" s="96"/>
      <c r="W407" s="96"/>
      <c r="X407" s="97"/>
      <c r="Y407" s="97"/>
      <c r="Z407" s="97"/>
      <c r="AA407" s="4"/>
      <c r="AB407" s="5"/>
    </row>
    <row r="408" spans="1:28" x14ac:dyDescent="0.2">
      <c r="A408" s="4"/>
      <c r="B408" s="90"/>
      <c r="C408" s="90"/>
      <c r="D408" s="90"/>
      <c r="E408" s="90"/>
      <c r="F408" s="90"/>
      <c r="G408" s="90"/>
      <c r="H408" s="90"/>
      <c r="I408" s="90"/>
      <c r="J408" s="90"/>
      <c r="K408" s="90"/>
      <c r="L408" s="90"/>
      <c r="M408" s="90"/>
      <c r="N408" s="91"/>
      <c r="O408" s="91"/>
      <c r="P408" s="91"/>
      <c r="Q408" s="91"/>
      <c r="R408" s="91"/>
      <c r="S408" s="91"/>
      <c r="T408" s="91"/>
      <c r="U408" s="91"/>
      <c r="V408" s="92"/>
      <c r="W408" s="92"/>
      <c r="X408" s="93"/>
      <c r="Y408" s="93"/>
      <c r="Z408" s="93"/>
      <c r="AA408" s="4"/>
      <c r="AB408" s="5"/>
    </row>
    <row r="409" spans="1:28" x14ac:dyDescent="0.2">
      <c r="A409" s="4"/>
      <c r="B409" s="94"/>
      <c r="C409" s="94"/>
      <c r="D409" s="94"/>
      <c r="E409" s="94"/>
      <c r="F409" s="94"/>
      <c r="G409" s="94"/>
      <c r="H409" s="94"/>
      <c r="I409" s="94"/>
      <c r="J409" s="94"/>
      <c r="K409" s="94"/>
      <c r="L409" s="94"/>
      <c r="M409" s="94"/>
      <c r="N409" s="95"/>
      <c r="O409" s="95"/>
      <c r="P409" s="95"/>
      <c r="Q409" s="95"/>
      <c r="R409" s="95"/>
      <c r="S409" s="95"/>
      <c r="T409" s="95"/>
      <c r="U409" s="95"/>
      <c r="V409" s="96"/>
      <c r="W409" s="96"/>
      <c r="X409" s="97"/>
      <c r="Y409" s="97"/>
      <c r="Z409" s="97"/>
      <c r="AA409" s="4"/>
      <c r="AB409" s="5"/>
    </row>
    <row r="410" spans="1:28" x14ac:dyDescent="0.2">
      <c r="A410" s="4"/>
      <c r="B410" s="90"/>
      <c r="C410" s="90"/>
      <c r="D410" s="90"/>
      <c r="E410" s="90"/>
      <c r="F410" s="90"/>
      <c r="G410" s="90"/>
      <c r="H410" s="90"/>
      <c r="I410" s="90"/>
      <c r="J410" s="90"/>
      <c r="K410" s="90"/>
      <c r="L410" s="90"/>
      <c r="M410" s="90"/>
      <c r="N410" s="91"/>
      <c r="O410" s="91"/>
      <c r="P410" s="91"/>
      <c r="Q410" s="91"/>
      <c r="R410" s="91"/>
      <c r="S410" s="91"/>
      <c r="T410" s="91"/>
      <c r="U410" s="91"/>
      <c r="V410" s="92"/>
      <c r="W410" s="92"/>
      <c r="X410" s="93"/>
      <c r="Y410" s="93"/>
      <c r="Z410" s="93"/>
      <c r="AA410" s="4"/>
      <c r="AB410" s="5"/>
    </row>
    <row r="411" spans="1:28" x14ac:dyDescent="0.2">
      <c r="A411" s="4"/>
      <c r="B411" s="94"/>
      <c r="C411" s="94"/>
      <c r="D411" s="94"/>
      <c r="E411" s="94"/>
      <c r="F411" s="94"/>
      <c r="G411" s="94"/>
      <c r="H411" s="94"/>
      <c r="I411" s="94"/>
      <c r="J411" s="94"/>
      <c r="K411" s="94"/>
      <c r="L411" s="94"/>
      <c r="M411" s="94"/>
      <c r="N411" s="95"/>
      <c r="O411" s="95"/>
      <c r="P411" s="95"/>
      <c r="Q411" s="95"/>
      <c r="R411" s="95"/>
      <c r="S411" s="95"/>
      <c r="T411" s="95"/>
      <c r="U411" s="95"/>
      <c r="V411" s="96"/>
      <c r="W411" s="96"/>
      <c r="X411" s="97"/>
      <c r="Y411" s="97"/>
      <c r="Z411" s="97"/>
      <c r="AA411" s="4"/>
      <c r="AB411" s="5"/>
    </row>
    <row r="412" spans="1:28" x14ac:dyDescent="0.2">
      <c r="A412" s="4"/>
      <c r="B412" s="90"/>
      <c r="C412" s="90"/>
      <c r="D412" s="90"/>
      <c r="E412" s="90"/>
      <c r="F412" s="90"/>
      <c r="G412" s="90"/>
      <c r="H412" s="90"/>
      <c r="I412" s="90"/>
      <c r="J412" s="90"/>
      <c r="K412" s="90"/>
      <c r="L412" s="90"/>
      <c r="M412" s="90"/>
      <c r="N412" s="91"/>
      <c r="O412" s="91"/>
      <c r="P412" s="91"/>
      <c r="Q412" s="91"/>
      <c r="R412" s="91"/>
      <c r="S412" s="91"/>
      <c r="T412" s="91"/>
      <c r="U412" s="91"/>
      <c r="V412" s="92"/>
      <c r="W412" s="92"/>
      <c r="X412" s="93"/>
      <c r="Y412" s="93"/>
      <c r="Z412" s="93"/>
      <c r="AA412" s="4"/>
      <c r="AB412" s="5"/>
    </row>
    <row r="413" spans="1:28" x14ac:dyDescent="0.2">
      <c r="A413" s="4"/>
      <c r="B413" s="94"/>
      <c r="C413" s="94"/>
      <c r="D413" s="94"/>
      <c r="E413" s="94"/>
      <c r="F413" s="94"/>
      <c r="G413" s="94"/>
      <c r="H413" s="94"/>
      <c r="I413" s="94"/>
      <c r="J413" s="94"/>
      <c r="K413" s="94"/>
      <c r="L413" s="94"/>
      <c r="M413" s="94"/>
      <c r="N413" s="95"/>
      <c r="O413" s="95"/>
      <c r="P413" s="95"/>
      <c r="Q413" s="95"/>
      <c r="R413" s="95"/>
      <c r="S413" s="95"/>
      <c r="T413" s="95"/>
      <c r="U413" s="95"/>
      <c r="V413" s="96"/>
      <c r="W413" s="96"/>
      <c r="X413" s="97"/>
      <c r="Y413" s="97"/>
      <c r="Z413" s="97"/>
      <c r="AA413" s="4"/>
      <c r="AB413" s="5"/>
    </row>
    <row r="414" spans="1:28" x14ac:dyDescent="0.2">
      <c r="A414" s="4"/>
      <c r="B414" s="90"/>
      <c r="C414" s="90"/>
      <c r="D414" s="90"/>
      <c r="E414" s="90"/>
      <c r="F414" s="90"/>
      <c r="G414" s="90"/>
      <c r="H414" s="90"/>
      <c r="I414" s="90"/>
      <c r="J414" s="90"/>
      <c r="K414" s="90"/>
      <c r="L414" s="90"/>
      <c r="M414" s="90"/>
      <c r="N414" s="91"/>
      <c r="O414" s="91"/>
      <c r="P414" s="91"/>
      <c r="Q414" s="91"/>
      <c r="R414" s="91"/>
      <c r="S414" s="91"/>
      <c r="T414" s="91"/>
      <c r="U414" s="91"/>
      <c r="V414" s="92"/>
      <c r="W414" s="92"/>
      <c r="X414" s="93"/>
      <c r="Y414" s="93"/>
      <c r="Z414" s="93"/>
      <c r="AA414" s="4"/>
      <c r="AB414" s="5"/>
    </row>
    <row r="415" spans="1:28" x14ac:dyDescent="0.2">
      <c r="A415" s="4"/>
      <c r="B415" s="94"/>
      <c r="C415" s="94"/>
      <c r="D415" s="94"/>
      <c r="E415" s="94"/>
      <c r="F415" s="94"/>
      <c r="G415" s="94"/>
      <c r="H415" s="94"/>
      <c r="I415" s="94"/>
      <c r="J415" s="94"/>
      <c r="K415" s="94"/>
      <c r="L415" s="94"/>
      <c r="M415" s="94"/>
      <c r="N415" s="95"/>
      <c r="O415" s="95"/>
      <c r="P415" s="95"/>
      <c r="Q415" s="95"/>
      <c r="R415" s="95"/>
      <c r="S415" s="95"/>
      <c r="T415" s="95"/>
      <c r="U415" s="95"/>
      <c r="V415" s="96"/>
      <c r="W415" s="96"/>
      <c r="X415" s="97"/>
      <c r="Y415" s="97"/>
      <c r="Z415" s="97"/>
      <c r="AA415" s="4"/>
      <c r="AB415" s="5"/>
    </row>
    <row r="416" spans="1:28" x14ac:dyDescent="0.2">
      <c r="A416" s="4"/>
      <c r="B416" s="90"/>
      <c r="C416" s="90"/>
      <c r="D416" s="90"/>
      <c r="E416" s="90"/>
      <c r="F416" s="90"/>
      <c r="G416" s="90"/>
      <c r="H416" s="90"/>
      <c r="I416" s="90"/>
      <c r="J416" s="90"/>
      <c r="K416" s="90"/>
      <c r="L416" s="90"/>
      <c r="M416" s="90"/>
      <c r="N416" s="91"/>
      <c r="O416" s="91"/>
      <c r="P416" s="91"/>
      <c r="Q416" s="91"/>
      <c r="R416" s="91"/>
      <c r="S416" s="91"/>
      <c r="T416" s="91"/>
      <c r="U416" s="91"/>
      <c r="V416" s="92"/>
      <c r="W416" s="92"/>
      <c r="X416" s="93"/>
      <c r="Y416" s="93"/>
      <c r="Z416" s="93"/>
      <c r="AA416" s="4"/>
      <c r="AB416" s="5"/>
    </row>
    <row r="417" spans="1:28" x14ac:dyDescent="0.2">
      <c r="A417" s="4"/>
      <c r="B417" s="94"/>
      <c r="C417" s="94"/>
      <c r="D417" s="94"/>
      <c r="E417" s="94"/>
      <c r="F417" s="94"/>
      <c r="G417" s="94"/>
      <c r="H417" s="94"/>
      <c r="I417" s="94"/>
      <c r="J417" s="94"/>
      <c r="K417" s="94"/>
      <c r="L417" s="94"/>
      <c r="M417" s="94"/>
      <c r="N417" s="95"/>
      <c r="O417" s="95"/>
      <c r="P417" s="95"/>
      <c r="Q417" s="95"/>
      <c r="R417" s="95"/>
      <c r="S417" s="95"/>
      <c r="T417" s="95"/>
      <c r="U417" s="95"/>
      <c r="V417" s="96"/>
      <c r="W417" s="96"/>
      <c r="X417" s="97"/>
      <c r="Y417" s="97"/>
      <c r="Z417" s="97"/>
      <c r="AA417" s="4"/>
      <c r="AB417" s="5"/>
    </row>
    <row r="418" spans="1:28" x14ac:dyDescent="0.2">
      <c r="A418" s="4"/>
      <c r="B418" s="90"/>
      <c r="C418" s="90"/>
      <c r="D418" s="90"/>
      <c r="E418" s="90"/>
      <c r="F418" s="90"/>
      <c r="G418" s="90"/>
      <c r="H418" s="90"/>
      <c r="I418" s="90"/>
      <c r="J418" s="90"/>
      <c r="K418" s="90"/>
      <c r="L418" s="90"/>
      <c r="M418" s="90"/>
      <c r="N418" s="91"/>
      <c r="O418" s="91"/>
      <c r="P418" s="91"/>
      <c r="Q418" s="91"/>
      <c r="R418" s="91"/>
      <c r="S418" s="91"/>
      <c r="T418" s="91"/>
      <c r="U418" s="91"/>
      <c r="V418" s="92"/>
      <c r="W418" s="92"/>
      <c r="X418" s="93"/>
      <c r="Y418" s="93"/>
      <c r="Z418" s="93"/>
      <c r="AA418" s="4"/>
      <c r="AB418" s="5"/>
    </row>
    <row r="419" spans="1:28" x14ac:dyDescent="0.2">
      <c r="A419" s="4"/>
      <c r="B419" s="94"/>
      <c r="C419" s="94"/>
      <c r="D419" s="94"/>
      <c r="E419" s="94"/>
      <c r="F419" s="94"/>
      <c r="G419" s="94"/>
      <c r="H419" s="94"/>
      <c r="I419" s="94"/>
      <c r="J419" s="94"/>
      <c r="K419" s="94"/>
      <c r="L419" s="94"/>
      <c r="M419" s="94"/>
      <c r="N419" s="95"/>
      <c r="O419" s="95"/>
      <c r="P419" s="95"/>
      <c r="Q419" s="95"/>
      <c r="R419" s="95"/>
      <c r="S419" s="95"/>
      <c r="T419" s="95"/>
      <c r="U419" s="95"/>
      <c r="V419" s="96"/>
      <c r="W419" s="96"/>
      <c r="X419" s="97"/>
      <c r="Y419" s="97"/>
      <c r="Z419" s="97"/>
      <c r="AA419" s="4"/>
      <c r="AB419" s="5"/>
    </row>
    <row r="420" spans="1:28" x14ac:dyDescent="0.2">
      <c r="A420" s="4"/>
      <c r="B420" s="90"/>
      <c r="C420" s="90"/>
      <c r="D420" s="90"/>
      <c r="E420" s="90"/>
      <c r="F420" s="90"/>
      <c r="G420" s="90"/>
      <c r="H420" s="90"/>
      <c r="I420" s="90"/>
      <c r="J420" s="90"/>
      <c r="K420" s="90"/>
      <c r="L420" s="90"/>
      <c r="M420" s="90"/>
      <c r="N420" s="91"/>
      <c r="O420" s="91"/>
      <c r="P420" s="91"/>
      <c r="Q420" s="91"/>
      <c r="R420" s="91"/>
      <c r="S420" s="91"/>
      <c r="T420" s="91"/>
      <c r="U420" s="91"/>
      <c r="V420" s="92"/>
      <c r="W420" s="92"/>
      <c r="X420" s="93"/>
      <c r="Y420" s="93"/>
      <c r="Z420" s="93"/>
      <c r="AA420" s="4"/>
      <c r="AB420" s="5"/>
    </row>
    <row r="421" spans="1:28" x14ac:dyDescent="0.2">
      <c r="A421" s="4"/>
      <c r="B421" s="94"/>
      <c r="C421" s="94"/>
      <c r="D421" s="94"/>
      <c r="E421" s="94"/>
      <c r="F421" s="94"/>
      <c r="G421" s="94"/>
      <c r="H421" s="94"/>
      <c r="I421" s="94"/>
      <c r="J421" s="94"/>
      <c r="K421" s="94"/>
      <c r="L421" s="94"/>
      <c r="M421" s="94"/>
      <c r="N421" s="95"/>
      <c r="O421" s="95"/>
      <c r="P421" s="95"/>
      <c r="Q421" s="95"/>
      <c r="R421" s="95"/>
      <c r="S421" s="95"/>
      <c r="T421" s="95"/>
      <c r="U421" s="95"/>
      <c r="V421" s="96"/>
      <c r="W421" s="96"/>
      <c r="X421" s="97"/>
      <c r="Y421" s="97"/>
      <c r="Z421" s="97"/>
      <c r="AA421" s="4"/>
      <c r="AB421" s="5"/>
    </row>
    <row r="422" spans="1:28" x14ac:dyDescent="0.2">
      <c r="A422" s="4"/>
      <c r="B422" s="90"/>
      <c r="C422" s="90"/>
      <c r="D422" s="90"/>
      <c r="E422" s="90"/>
      <c r="F422" s="90"/>
      <c r="G422" s="90"/>
      <c r="H422" s="90"/>
      <c r="I422" s="90"/>
      <c r="J422" s="90"/>
      <c r="K422" s="90"/>
      <c r="L422" s="90"/>
      <c r="M422" s="90"/>
      <c r="N422" s="91"/>
      <c r="O422" s="91"/>
      <c r="P422" s="91"/>
      <c r="Q422" s="91"/>
      <c r="R422" s="91"/>
      <c r="S422" s="91"/>
      <c r="T422" s="91"/>
      <c r="U422" s="91"/>
      <c r="V422" s="92"/>
      <c r="W422" s="92"/>
      <c r="X422" s="93"/>
      <c r="Y422" s="93"/>
      <c r="Z422" s="93"/>
      <c r="AA422" s="4"/>
      <c r="AB422" s="5"/>
    </row>
    <row r="423" spans="1:28" x14ac:dyDescent="0.2">
      <c r="A423" s="4"/>
      <c r="B423" s="94"/>
      <c r="C423" s="94"/>
      <c r="D423" s="94"/>
      <c r="E423" s="94"/>
      <c r="F423" s="94"/>
      <c r="G423" s="94"/>
      <c r="H423" s="94"/>
      <c r="I423" s="94"/>
      <c r="J423" s="94"/>
      <c r="K423" s="94"/>
      <c r="L423" s="94"/>
      <c r="M423" s="94"/>
      <c r="N423" s="95"/>
      <c r="O423" s="95"/>
      <c r="P423" s="95"/>
      <c r="Q423" s="95"/>
      <c r="R423" s="95"/>
      <c r="S423" s="95"/>
      <c r="T423" s="95"/>
      <c r="U423" s="95"/>
      <c r="V423" s="96"/>
      <c r="W423" s="96"/>
      <c r="X423" s="97"/>
      <c r="Y423" s="97"/>
      <c r="Z423" s="97"/>
      <c r="AA423" s="4"/>
      <c r="AB423" s="5"/>
    </row>
    <row r="424" spans="1:28" x14ac:dyDescent="0.2">
      <c r="A424" s="4"/>
      <c r="B424" s="90"/>
      <c r="C424" s="90"/>
      <c r="D424" s="90"/>
      <c r="E424" s="90"/>
      <c r="F424" s="90"/>
      <c r="G424" s="90"/>
      <c r="H424" s="90"/>
      <c r="I424" s="90"/>
      <c r="J424" s="90"/>
      <c r="K424" s="90"/>
      <c r="L424" s="90"/>
      <c r="M424" s="90"/>
      <c r="N424" s="91"/>
      <c r="O424" s="91"/>
      <c r="P424" s="91"/>
      <c r="Q424" s="91"/>
      <c r="R424" s="91"/>
      <c r="S424" s="91"/>
      <c r="T424" s="91"/>
      <c r="U424" s="91"/>
      <c r="V424" s="92"/>
      <c r="W424" s="92"/>
      <c r="X424" s="93"/>
      <c r="Y424" s="93"/>
      <c r="Z424" s="93"/>
      <c r="AA424" s="4"/>
      <c r="AB424" s="5"/>
    </row>
    <row r="425" spans="1:28" x14ac:dyDescent="0.2">
      <c r="A425" s="4"/>
      <c r="B425" s="94"/>
      <c r="C425" s="94"/>
      <c r="D425" s="94"/>
      <c r="E425" s="94"/>
      <c r="F425" s="94"/>
      <c r="G425" s="94"/>
      <c r="H425" s="94"/>
      <c r="I425" s="94"/>
      <c r="J425" s="94"/>
      <c r="K425" s="94"/>
      <c r="L425" s="94"/>
      <c r="M425" s="94"/>
      <c r="N425" s="95"/>
      <c r="O425" s="95"/>
      <c r="P425" s="95"/>
      <c r="Q425" s="95"/>
      <c r="R425" s="95"/>
      <c r="S425" s="95"/>
      <c r="T425" s="95"/>
      <c r="U425" s="95"/>
      <c r="V425" s="96"/>
      <c r="W425" s="96"/>
      <c r="X425" s="97"/>
      <c r="Y425" s="97"/>
      <c r="Z425" s="97"/>
      <c r="AA425" s="4"/>
      <c r="AB425" s="5"/>
    </row>
    <row r="426" spans="1:28" x14ac:dyDescent="0.2">
      <c r="A426" s="4"/>
      <c r="B426" s="90"/>
      <c r="C426" s="90"/>
      <c r="D426" s="90"/>
      <c r="E426" s="90"/>
      <c r="F426" s="90"/>
      <c r="G426" s="90"/>
      <c r="H426" s="90"/>
      <c r="I426" s="90"/>
      <c r="J426" s="90"/>
      <c r="K426" s="90"/>
      <c r="L426" s="90"/>
      <c r="M426" s="90"/>
      <c r="N426" s="91"/>
      <c r="O426" s="91"/>
      <c r="P426" s="91"/>
      <c r="Q426" s="91"/>
      <c r="R426" s="91"/>
      <c r="S426" s="91"/>
      <c r="T426" s="91"/>
      <c r="U426" s="91"/>
      <c r="V426" s="92"/>
      <c r="W426" s="92"/>
      <c r="X426" s="93"/>
      <c r="Y426" s="93"/>
      <c r="Z426" s="93"/>
      <c r="AA426" s="4"/>
      <c r="AB426" s="5"/>
    </row>
    <row r="427" spans="1:28" x14ac:dyDescent="0.2">
      <c r="A427" s="4"/>
      <c r="B427" s="94"/>
      <c r="C427" s="94"/>
      <c r="D427" s="94"/>
      <c r="E427" s="94"/>
      <c r="F427" s="94"/>
      <c r="G427" s="94"/>
      <c r="H427" s="94"/>
      <c r="I427" s="94"/>
      <c r="J427" s="94"/>
      <c r="K427" s="94"/>
      <c r="L427" s="94"/>
      <c r="M427" s="94"/>
      <c r="N427" s="95"/>
      <c r="O427" s="95"/>
      <c r="P427" s="95"/>
      <c r="Q427" s="95"/>
      <c r="R427" s="95"/>
      <c r="S427" s="95"/>
      <c r="T427" s="95"/>
      <c r="U427" s="95"/>
      <c r="V427" s="96"/>
      <c r="W427" s="96"/>
      <c r="X427" s="97"/>
      <c r="Y427" s="97"/>
      <c r="Z427" s="97"/>
      <c r="AA427" s="4"/>
      <c r="AB427" s="5"/>
    </row>
    <row r="428" spans="1:28" x14ac:dyDescent="0.2">
      <c r="A428" s="4"/>
      <c r="B428" s="90"/>
      <c r="C428" s="90"/>
      <c r="D428" s="90"/>
      <c r="E428" s="90"/>
      <c r="F428" s="90"/>
      <c r="G428" s="90"/>
      <c r="H428" s="90"/>
      <c r="I428" s="90"/>
      <c r="J428" s="90"/>
      <c r="K428" s="90"/>
      <c r="L428" s="90"/>
      <c r="M428" s="90"/>
      <c r="N428" s="91"/>
      <c r="O428" s="91"/>
      <c r="P428" s="91"/>
      <c r="Q428" s="91"/>
      <c r="R428" s="91"/>
      <c r="S428" s="91"/>
      <c r="T428" s="91"/>
      <c r="U428" s="91"/>
      <c r="V428" s="92"/>
      <c r="W428" s="92"/>
      <c r="X428" s="93"/>
      <c r="Y428" s="93"/>
      <c r="Z428" s="93"/>
      <c r="AA428" s="4"/>
      <c r="AB428" s="5"/>
    </row>
    <row r="429" spans="1:28" x14ac:dyDescent="0.2">
      <c r="A429" s="4"/>
      <c r="B429" s="94"/>
      <c r="C429" s="94"/>
      <c r="D429" s="94"/>
      <c r="E429" s="94"/>
      <c r="F429" s="94"/>
      <c r="G429" s="94"/>
      <c r="H429" s="94"/>
      <c r="I429" s="94"/>
      <c r="J429" s="94"/>
      <c r="K429" s="94"/>
      <c r="L429" s="94"/>
      <c r="M429" s="94"/>
      <c r="N429" s="95"/>
      <c r="O429" s="95"/>
      <c r="P429" s="95"/>
      <c r="Q429" s="95"/>
      <c r="R429" s="95"/>
      <c r="S429" s="95"/>
      <c r="T429" s="95"/>
      <c r="U429" s="95"/>
      <c r="V429" s="96"/>
      <c r="W429" s="96"/>
      <c r="X429" s="97"/>
      <c r="Y429" s="97"/>
      <c r="Z429" s="97"/>
      <c r="AA429" s="4"/>
      <c r="AB429" s="5"/>
    </row>
    <row r="430" spans="1:28" x14ac:dyDescent="0.2">
      <c r="A430" s="4"/>
      <c r="B430" s="90"/>
      <c r="C430" s="90"/>
      <c r="D430" s="90"/>
      <c r="E430" s="90"/>
      <c r="F430" s="90"/>
      <c r="G430" s="90"/>
      <c r="H430" s="90"/>
      <c r="I430" s="90"/>
      <c r="J430" s="90"/>
      <c r="K430" s="90"/>
      <c r="L430" s="90"/>
      <c r="M430" s="90"/>
      <c r="N430" s="91"/>
      <c r="O430" s="91"/>
      <c r="P430" s="91"/>
      <c r="Q430" s="91"/>
      <c r="R430" s="91"/>
      <c r="S430" s="91"/>
      <c r="T430" s="91"/>
      <c r="U430" s="91"/>
      <c r="V430" s="92"/>
      <c r="W430" s="92"/>
      <c r="X430" s="93"/>
      <c r="Y430" s="93"/>
      <c r="Z430" s="93"/>
      <c r="AA430" s="4"/>
      <c r="AB430" s="5"/>
    </row>
    <row r="431" spans="1:28" x14ac:dyDescent="0.2">
      <c r="A431" s="4"/>
      <c r="B431" s="94"/>
      <c r="C431" s="94"/>
      <c r="D431" s="94"/>
      <c r="E431" s="94"/>
      <c r="F431" s="94"/>
      <c r="G431" s="94"/>
      <c r="H431" s="94"/>
      <c r="I431" s="94"/>
      <c r="J431" s="94"/>
      <c r="K431" s="94"/>
      <c r="L431" s="94"/>
      <c r="M431" s="94"/>
      <c r="N431" s="95"/>
      <c r="O431" s="95"/>
      <c r="P431" s="95"/>
      <c r="Q431" s="95"/>
      <c r="R431" s="95"/>
      <c r="S431" s="95"/>
      <c r="T431" s="95"/>
      <c r="U431" s="95"/>
      <c r="V431" s="96"/>
      <c r="W431" s="96"/>
      <c r="X431" s="97"/>
      <c r="Y431" s="97"/>
      <c r="Z431" s="97"/>
      <c r="AA431" s="4"/>
      <c r="AB431" s="5"/>
    </row>
    <row r="432" spans="1:28" x14ac:dyDescent="0.2">
      <c r="A432" s="4"/>
      <c r="B432" s="90"/>
      <c r="C432" s="90"/>
      <c r="D432" s="90"/>
      <c r="E432" s="90"/>
      <c r="F432" s="90"/>
      <c r="G432" s="90"/>
      <c r="H432" s="90"/>
      <c r="I432" s="90"/>
      <c r="J432" s="90"/>
      <c r="K432" s="90"/>
      <c r="L432" s="90"/>
      <c r="M432" s="90"/>
      <c r="N432" s="91"/>
      <c r="O432" s="91"/>
      <c r="P432" s="91"/>
      <c r="Q432" s="91"/>
      <c r="R432" s="91"/>
      <c r="S432" s="91"/>
      <c r="T432" s="91"/>
      <c r="U432" s="91"/>
      <c r="V432" s="92"/>
      <c r="W432" s="92"/>
      <c r="X432" s="93"/>
      <c r="Y432" s="93"/>
      <c r="Z432" s="93"/>
      <c r="AA432" s="4"/>
      <c r="AB432" s="5"/>
    </row>
    <row r="433" spans="1:28" x14ac:dyDescent="0.2">
      <c r="A433" s="4"/>
      <c r="B433" s="94"/>
      <c r="C433" s="94"/>
      <c r="D433" s="94"/>
      <c r="E433" s="94"/>
      <c r="F433" s="94"/>
      <c r="G433" s="94"/>
      <c r="H433" s="94"/>
      <c r="I433" s="94"/>
      <c r="J433" s="94"/>
      <c r="K433" s="94"/>
      <c r="L433" s="94"/>
      <c r="M433" s="94"/>
      <c r="N433" s="95"/>
      <c r="O433" s="95"/>
      <c r="P433" s="95"/>
      <c r="Q433" s="95"/>
      <c r="R433" s="95"/>
      <c r="S433" s="95"/>
      <c r="T433" s="95"/>
      <c r="U433" s="95"/>
      <c r="V433" s="96"/>
      <c r="W433" s="96"/>
      <c r="X433" s="97"/>
      <c r="Y433" s="97"/>
      <c r="Z433" s="97"/>
      <c r="AA433" s="4"/>
      <c r="AB433" s="5"/>
    </row>
    <row r="434" spans="1:28" x14ac:dyDescent="0.2">
      <c r="A434" s="4"/>
      <c r="B434" s="90"/>
      <c r="C434" s="90"/>
      <c r="D434" s="90"/>
      <c r="E434" s="90"/>
      <c r="F434" s="90"/>
      <c r="G434" s="90"/>
      <c r="H434" s="90"/>
      <c r="I434" s="90"/>
      <c r="J434" s="90"/>
      <c r="K434" s="90"/>
      <c r="L434" s="90"/>
      <c r="M434" s="90"/>
      <c r="N434" s="91"/>
      <c r="O434" s="91"/>
      <c r="P434" s="91"/>
      <c r="Q434" s="91"/>
      <c r="R434" s="91"/>
      <c r="S434" s="91"/>
      <c r="T434" s="91"/>
      <c r="U434" s="91"/>
      <c r="V434" s="92"/>
      <c r="W434" s="92"/>
      <c r="X434" s="93"/>
      <c r="Y434" s="93"/>
      <c r="Z434" s="93"/>
      <c r="AA434" s="4"/>
      <c r="AB434" s="5"/>
    </row>
    <row r="435" spans="1:28" x14ac:dyDescent="0.2">
      <c r="A435" s="4"/>
      <c r="B435" s="94"/>
      <c r="C435" s="94"/>
      <c r="D435" s="94"/>
      <c r="E435" s="94"/>
      <c r="F435" s="94"/>
      <c r="G435" s="94"/>
      <c r="H435" s="94"/>
      <c r="I435" s="94"/>
      <c r="J435" s="94"/>
      <c r="K435" s="94"/>
      <c r="L435" s="94"/>
      <c r="M435" s="94"/>
      <c r="N435" s="95"/>
      <c r="O435" s="95"/>
      <c r="P435" s="95"/>
      <c r="Q435" s="95"/>
      <c r="R435" s="95"/>
      <c r="S435" s="95"/>
      <c r="T435" s="95"/>
      <c r="U435" s="95"/>
      <c r="V435" s="96"/>
      <c r="W435" s="96"/>
      <c r="X435" s="97"/>
      <c r="Y435" s="97"/>
      <c r="Z435" s="97"/>
      <c r="AA435" s="4"/>
      <c r="AB435" s="5"/>
    </row>
    <row r="436" spans="1:28" x14ac:dyDescent="0.2">
      <c r="A436" s="4"/>
      <c r="B436" s="90"/>
      <c r="C436" s="90"/>
      <c r="D436" s="90"/>
      <c r="E436" s="90"/>
      <c r="F436" s="90"/>
      <c r="G436" s="90"/>
      <c r="H436" s="90"/>
      <c r="I436" s="90"/>
      <c r="J436" s="90"/>
      <c r="K436" s="90"/>
      <c r="L436" s="90"/>
      <c r="M436" s="90"/>
      <c r="N436" s="91"/>
      <c r="O436" s="91"/>
      <c r="P436" s="91"/>
      <c r="Q436" s="91"/>
      <c r="R436" s="91"/>
      <c r="S436" s="91"/>
      <c r="T436" s="91"/>
      <c r="U436" s="91"/>
      <c r="V436" s="92"/>
      <c r="W436" s="92"/>
      <c r="X436" s="93"/>
      <c r="Y436" s="93"/>
      <c r="Z436" s="93"/>
      <c r="AA436" s="4"/>
      <c r="AB436" s="5"/>
    </row>
    <row r="437" spans="1:28" x14ac:dyDescent="0.2">
      <c r="A437" s="4"/>
      <c r="B437" s="94"/>
      <c r="C437" s="94"/>
      <c r="D437" s="94"/>
      <c r="E437" s="94"/>
      <c r="F437" s="94"/>
      <c r="G437" s="94"/>
      <c r="H437" s="94"/>
      <c r="I437" s="94"/>
      <c r="J437" s="94"/>
      <c r="K437" s="94"/>
      <c r="L437" s="94"/>
      <c r="M437" s="94"/>
      <c r="N437" s="95"/>
      <c r="O437" s="95"/>
      <c r="P437" s="95"/>
      <c r="Q437" s="95"/>
      <c r="R437" s="95"/>
      <c r="S437" s="95"/>
      <c r="T437" s="95"/>
      <c r="U437" s="95"/>
      <c r="V437" s="96"/>
      <c r="W437" s="96"/>
      <c r="X437" s="97"/>
      <c r="Y437" s="97"/>
      <c r="Z437" s="97"/>
      <c r="AA437" s="4"/>
      <c r="AB437" s="5"/>
    </row>
    <row r="438" spans="1:28" x14ac:dyDescent="0.2">
      <c r="A438" s="4"/>
      <c r="B438" s="90"/>
      <c r="C438" s="90"/>
      <c r="D438" s="90"/>
      <c r="E438" s="90"/>
      <c r="F438" s="90"/>
      <c r="G438" s="90"/>
      <c r="H438" s="90"/>
      <c r="I438" s="90"/>
      <c r="J438" s="90"/>
      <c r="K438" s="90"/>
      <c r="L438" s="90"/>
      <c r="M438" s="90"/>
      <c r="N438" s="91"/>
      <c r="O438" s="91"/>
      <c r="P438" s="91"/>
      <c r="Q438" s="91"/>
      <c r="R438" s="91"/>
      <c r="S438" s="91"/>
      <c r="T438" s="91"/>
      <c r="U438" s="91"/>
      <c r="V438" s="92"/>
      <c r="W438" s="92"/>
      <c r="X438" s="93"/>
      <c r="Y438" s="93"/>
      <c r="Z438" s="93"/>
      <c r="AA438" s="4"/>
      <c r="AB438" s="5"/>
    </row>
    <row r="439" spans="1:28" x14ac:dyDescent="0.2">
      <c r="A439" s="4"/>
      <c r="B439" s="94"/>
      <c r="C439" s="94"/>
      <c r="D439" s="94"/>
      <c r="E439" s="94"/>
      <c r="F439" s="94"/>
      <c r="G439" s="94"/>
      <c r="H439" s="94"/>
      <c r="I439" s="94"/>
      <c r="J439" s="94"/>
      <c r="K439" s="94"/>
      <c r="L439" s="94"/>
      <c r="M439" s="94"/>
      <c r="N439" s="95"/>
      <c r="O439" s="95"/>
      <c r="P439" s="95"/>
      <c r="Q439" s="95"/>
      <c r="R439" s="95"/>
      <c r="S439" s="95"/>
      <c r="T439" s="95"/>
      <c r="U439" s="95"/>
      <c r="V439" s="96"/>
      <c r="W439" s="96"/>
      <c r="X439" s="97"/>
      <c r="Y439" s="97"/>
      <c r="Z439" s="97"/>
      <c r="AA439" s="4"/>
      <c r="AB439" s="5"/>
    </row>
    <row r="440" spans="1:28" x14ac:dyDescent="0.2">
      <c r="A440" s="4"/>
      <c r="B440" s="90"/>
      <c r="C440" s="90"/>
      <c r="D440" s="90"/>
      <c r="E440" s="90"/>
      <c r="F440" s="90"/>
      <c r="G440" s="90"/>
      <c r="H440" s="90"/>
      <c r="I440" s="90"/>
      <c r="J440" s="90"/>
      <c r="K440" s="90"/>
      <c r="L440" s="90"/>
      <c r="M440" s="90"/>
      <c r="N440" s="91"/>
      <c r="O440" s="91"/>
      <c r="P440" s="91"/>
      <c r="Q440" s="91"/>
      <c r="R440" s="91"/>
      <c r="S440" s="91"/>
      <c r="T440" s="91"/>
      <c r="U440" s="91"/>
      <c r="V440" s="92"/>
      <c r="W440" s="92"/>
      <c r="X440" s="93"/>
      <c r="Y440" s="93"/>
      <c r="Z440" s="93"/>
      <c r="AA440" s="4"/>
      <c r="AB440" s="5"/>
    </row>
    <row r="441" spans="1:28" x14ac:dyDescent="0.2">
      <c r="A441" s="4"/>
      <c r="B441" s="94"/>
      <c r="C441" s="94"/>
      <c r="D441" s="94"/>
      <c r="E441" s="94"/>
      <c r="F441" s="94"/>
      <c r="G441" s="94"/>
      <c r="H441" s="94"/>
      <c r="I441" s="94"/>
      <c r="J441" s="94"/>
      <c r="K441" s="94"/>
      <c r="L441" s="94"/>
      <c r="M441" s="94"/>
      <c r="N441" s="95"/>
      <c r="O441" s="95"/>
      <c r="P441" s="95"/>
      <c r="Q441" s="95"/>
      <c r="R441" s="95"/>
      <c r="S441" s="95"/>
      <c r="T441" s="95"/>
      <c r="U441" s="95"/>
      <c r="V441" s="96"/>
      <c r="W441" s="96"/>
      <c r="X441" s="97"/>
      <c r="Y441" s="97"/>
      <c r="Z441" s="97"/>
      <c r="AA441" s="4"/>
      <c r="AB441" s="5"/>
    </row>
    <row r="442" spans="1:28" x14ac:dyDescent="0.2">
      <c r="A442" s="4"/>
      <c r="B442" s="90"/>
      <c r="C442" s="90"/>
      <c r="D442" s="90"/>
      <c r="E442" s="90"/>
      <c r="F442" s="90"/>
      <c r="G442" s="90"/>
      <c r="H442" s="90"/>
      <c r="I442" s="90"/>
      <c r="J442" s="90"/>
      <c r="K442" s="90"/>
      <c r="L442" s="90"/>
      <c r="M442" s="90"/>
      <c r="N442" s="91"/>
      <c r="O442" s="91"/>
      <c r="P442" s="91"/>
      <c r="Q442" s="91"/>
      <c r="R442" s="91"/>
      <c r="S442" s="91"/>
      <c r="T442" s="91"/>
      <c r="U442" s="91"/>
      <c r="V442" s="92"/>
      <c r="W442" s="92"/>
      <c r="X442" s="93"/>
      <c r="Y442" s="93"/>
      <c r="Z442" s="93"/>
      <c r="AA442" s="4"/>
      <c r="AB442" s="5"/>
    </row>
    <row r="443" spans="1:28" x14ac:dyDescent="0.2">
      <c r="A443" s="4"/>
      <c r="B443" s="94"/>
      <c r="C443" s="94"/>
      <c r="D443" s="94"/>
      <c r="E443" s="94"/>
      <c r="F443" s="94"/>
      <c r="G443" s="94"/>
      <c r="H443" s="94"/>
      <c r="I443" s="94"/>
      <c r="J443" s="94"/>
      <c r="K443" s="94"/>
      <c r="L443" s="94"/>
      <c r="M443" s="94"/>
      <c r="N443" s="95"/>
      <c r="O443" s="95"/>
      <c r="P443" s="95"/>
      <c r="Q443" s="95"/>
      <c r="R443" s="95"/>
      <c r="S443" s="95"/>
      <c r="T443" s="95"/>
      <c r="U443" s="95"/>
      <c r="V443" s="96"/>
      <c r="W443" s="96"/>
      <c r="X443" s="97"/>
      <c r="Y443" s="97"/>
      <c r="Z443" s="97"/>
      <c r="AA443" s="4"/>
      <c r="AB443" s="5"/>
    </row>
    <row r="444" spans="1:28" x14ac:dyDescent="0.2">
      <c r="A444" s="4"/>
      <c r="B444" s="90"/>
      <c r="C444" s="90"/>
      <c r="D444" s="90"/>
      <c r="E444" s="90"/>
      <c r="F444" s="90"/>
      <c r="G444" s="90"/>
      <c r="H444" s="90"/>
      <c r="I444" s="90"/>
      <c r="J444" s="90"/>
      <c r="K444" s="90"/>
      <c r="L444" s="90"/>
      <c r="M444" s="90"/>
      <c r="N444" s="91"/>
      <c r="O444" s="91"/>
      <c r="P444" s="91"/>
      <c r="Q444" s="91"/>
      <c r="R444" s="91"/>
      <c r="S444" s="91"/>
      <c r="T444" s="91"/>
      <c r="U444" s="91"/>
      <c r="V444" s="92"/>
      <c r="W444" s="92"/>
      <c r="X444" s="93"/>
      <c r="Y444" s="93"/>
      <c r="Z444" s="93"/>
      <c r="AA444" s="4"/>
      <c r="AB444" s="5"/>
    </row>
    <row r="445" spans="1:28" x14ac:dyDescent="0.2">
      <c r="A445" s="4"/>
      <c r="B445" s="94"/>
      <c r="C445" s="94"/>
      <c r="D445" s="94"/>
      <c r="E445" s="94"/>
      <c r="F445" s="94"/>
      <c r="G445" s="94"/>
      <c r="H445" s="94"/>
      <c r="I445" s="94"/>
      <c r="J445" s="94"/>
      <c r="K445" s="94"/>
      <c r="L445" s="94"/>
      <c r="M445" s="94"/>
      <c r="N445" s="95"/>
      <c r="O445" s="95"/>
      <c r="P445" s="95"/>
      <c r="Q445" s="95"/>
      <c r="R445" s="95"/>
      <c r="S445" s="95"/>
      <c r="T445" s="95"/>
      <c r="U445" s="95"/>
      <c r="V445" s="96"/>
      <c r="W445" s="96"/>
      <c r="X445" s="97"/>
      <c r="Y445" s="97"/>
      <c r="Z445" s="97"/>
      <c r="AA445" s="4"/>
      <c r="AB445" s="5"/>
    </row>
    <row r="446" spans="1:28" x14ac:dyDescent="0.2">
      <c r="A446" s="4"/>
      <c r="B446" s="90"/>
      <c r="C446" s="90"/>
      <c r="D446" s="90"/>
      <c r="E446" s="90"/>
      <c r="F446" s="90"/>
      <c r="G446" s="90"/>
      <c r="H446" s="90"/>
      <c r="I446" s="90"/>
      <c r="J446" s="90"/>
      <c r="K446" s="90"/>
      <c r="L446" s="90"/>
      <c r="M446" s="90"/>
      <c r="N446" s="91"/>
      <c r="O446" s="91"/>
      <c r="P446" s="91"/>
      <c r="Q446" s="91"/>
      <c r="R446" s="91"/>
      <c r="S446" s="91"/>
      <c r="T446" s="91"/>
      <c r="U446" s="91"/>
      <c r="V446" s="92"/>
      <c r="W446" s="92"/>
      <c r="X446" s="93"/>
      <c r="Y446" s="93"/>
      <c r="Z446" s="93"/>
      <c r="AA446" s="4"/>
      <c r="AB446" s="5"/>
    </row>
    <row r="447" spans="1:28" x14ac:dyDescent="0.2">
      <c r="A447" s="4"/>
      <c r="B447" s="94"/>
      <c r="C447" s="94"/>
      <c r="D447" s="94"/>
      <c r="E447" s="94"/>
      <c r="F447" s="94"/>
      <c r="G447" s="94"/>
      <c r="H447" s="94"/>
      <c r="I447" s="94"/>
      <c r="J447" s="94"/>
      <c r="K447" s="94"/>
      <c r="L447" s="94"/>
      <c r="M447" s="94"/>
      <c r="N447" s="95"/>
      <c r="O447" s="95"/>
      <c r="P447" s="95"/>
      <c r="Q447" s="95"/>
      <c r="R447" s="95"/>
      <c r="S447" s="95"/>
      <c r="T447" s="95"/>
      <c r="U447" s="95"/>
      <c r="V447" s="96"/>
      <c r="W447" s="96"/>
      <c r="X447" s="97"/>
      <c r="Y447" s="97"/>
      <c r="Z447" s="97"/>
      <c r="AA447" s="4"/>
      <c r="AB447" s="5"/>
    </row>
    <row r="448" spans="1:28" x14ac:dyDescent="0.2">
      <c r="A448" s="4"/>
      <c r="B448" s="90"/>
      <c r="C448" s="90"/>
      <c r="D448" s="90"/>
      <c r="E448" s="90"/>
      <c r="F448" s="90"/>
      <c r="G448" s="90"/>
      <c r="H448" s="90"/>
      <c r="I448" s="90"/>
      <c r="J448" s="90"/>
      <c r="K448" s="90"/>
      <c r="L448" s="90"/>
      <c r="M448" s="90"/>
      <c r="N448" s="91"/>
      <c r="O448" s="91"/>
      <c r="P448" s="91"/>
      <c r="Q448" s="91"/>
      <c r="R448" s="91"/>
      <c r="S448" s="91"/>
      <c r="T448" s="91"/>
      <c r="U448" s="91"/>
      <c r="V448" s="92"/>
      <c r="W448" s="92"/>
      <c r="X448" s="93"/>
      <c r="Y448" s="93"/>
      <c r="Z448" s="93"/>
      <c r="AA448" s="4"/>
      <c r="AB448" s="5"/>
    </row>
    <row r="449" spans="1:28" x14ac:dyDescent="0.2">
      <c r="A449" s="4"/>
      <c r="B449" s="94"/>
      <c r="C449" s="94"/>
      <c r="D449" s="94"/>
      <c r="E449" s="94"/>
      <c r="F449" s="94"/>
      <c r="G449" s="94"/>
      <c r="H449" s="94"/>
      <c r="I449" s="94"/>
      <c r="J449" s="94"/>
      <c r="K449" s="94"/>
      <c r="L449" s="94"/>
      <c r="M449" s="94"/>
      <c r="N449" s="95"/>
      <c r="O449" s="95"/>
      <c r="P449" s="95"/>
      <c r="Q449" s="95"/>
      <c r="R449" s="95"/>
      <c r="S449" s="95"/>
      <c r="T449" s="95"/>
      <c r="U449" s="95"/>
      <c r="V449" s="96"/>
      <c r="W449" s="96"/>
      <c r="X449" s="97"/>
      <c r="Y449" s="97"/>
      <c r="Z449" s="97"/>
      <c r="AA449" s="4"/>
      <c r="AB449" s="5"/>
    </row>
    <row r="450" spans="1:28" x14ac:dyDescent="0.2">
      <c r="A450" s="4"/>
      <c r="B450" s="90"/>
      <c r="C450" s="90"/>
      <c r="D450" s="90"/>
      <c r="E450" s="90"/>
      <c r="F450" s="90"/>
      <c r="G450" s="90"/>
      <c r="H450" s="90"/>
      <c r="I450" s="90"/>
      <c r="J450" s="90"/>
      <c r="K450" s="90"/>
      <c r="L450" s="90"/>
      <c r="M450" s="90"/>
      <c r="N450" s="91"/>
      <c r="O450" s="91"/>
      <c r="P450" s="91"/>
      <c r="Q450" s="91"/>
      <c r="R450" s="91"/>
      <c r="S450" s="91"/>
      <c r="T450" s="91"/>
      <c r="U450" s="91"/>
      <c r="V450" s="92"/>
      <c r="W450" s="92"/>
      <c r="X450" s="93"/>
      <c r="Y450" s="93"/>
      <c r="Z450" s="93"/>
      <c r="AA450" s="4"/>
      <c r="AB450" s="5"/>
    </row>
    <row r="451" spans="1:28" x14ac:dyDescent="0.2">
      <c r="A451" s="4"/>
      <c r="B451" s="94"/>
      <c r="C451" s="94"/>
      <c r="D451" s="94"/>
      <c r="E451" s="94"/>
      <c r="F451" s="94"/>
      <c r="G451" s="94"/>
      <c r="H451" s="94"/>
      <c r="I451" s="94"/>
      <c r="J451" s="94"/>
      <c r="K451" s="94"/>
      <c r="L451" s="94"/>
      <c r="M451" s="94"/>
      <c r="N451" s="95"/>
      <c r="O451" s="95"/>
      <c r="P451" s="95"/>
      <c r="Q451" s="95"/>
      <c r="R451" s="95"/>
      <c r="S451" s="95"/>
      <c r="T451" s="95"/>
      <c r="U451" s="95"/>
      <c r="V451" s="96"/>
      <c r="W451" s="96"/>
      <c r="X451" s="97"/>
      <c r="Y451" s="97"/>
      <c r="Z451" s="97"/>
      <c r="AA451" s="4"/>
      <c r="AB451" s="5"/>
    </row>
    <row r="452" spans="1:28" x14ac:dyDescent="0.2">
      <c r="A452" s="4"/>
      <c r="B452" s="90"/>
      <c r="C452" s="90"/>
      <c r="D452" s="90"/>
      <c r="E452" s="90"/>
      <c r="F452" s="90"/>
      <c r="G452" s="90"/>
      <c r="H452" s="90"/>
      <c r="I452" s="90"/>
      <c r="J452" s="90"/>
      <c r="K452" s="90"/>
      <c r="L452" s="90"/>
      <c r="M452" s="90"/>
      <c r="N452" s="91"/>
      <c r="O452" s="91"/>
      <c r="P452" s="91"/>
      <c r="Q452" s="91"/>
      <c r="R452" s="91"/>
      <c r="S452" s="91"/>
      <c r="T452" s="91"/>
      <c r="U452" s="91"/>
      <c r="V452" s="92"/>
      <c r="W452" s="92"/>
      <c r="X452" s="93"/>
      <c r="Y452" s="93"/>
      <c r="Z452" s="93"/>
      <c r="AA452" s="4"/>
      <c r="AB452" s="5"/>
    </row>
    <row r="453" spans="1:28" x14ac:dyDescent="0.2">
      <c r="A453" s="4"/>
      <c r="B453" s="94"/>
      <c r="C453" s="94"/>
      <c r="D453" s="94"/>
      <c r="E453" s="94"/>
      <c r="F453" s="94"/>
      <c r="G453" s="94"/>
      <c r="H453" s="94"/>
      <c r="I453" s="94"/>
      <c r="J453" s="94"/>
      <c r="K453" s="94"/>
      <c r="L453" s="94"/>
      <c r="M453" s="94"/>
      <c r="N453" s="95"/>
      <c r="O453" s="95"/>
      <c r="P453" s="95"/>
      <c r="Q453" s="95"/>
      <c r="R453" s="95"/>
      <c r="S453" s="95"/>
      <c r="T453" s="95"/>
      <c r="U453" s="95"/>
      <c r="V453" s="96"/>
      <c r="W453" s="96"/>
      <c r="X453" s="97"/>
      <c r="Y453" s="97"/>
      <c r="Z453" s="97"/>
      <c r="AA453" s="4"/>
      <c r="AB453" s="5"/>
    </row>
    <row r="454" spans="1:28" x14ac:dyDescent="0.2">
      <c r="A454" s="4"/>
      <c r="B454" s="90"/>
      <c r="C454" s="90"/>
      <c r="D454" s="90"/>
      <c r="E454" s="90"/>
      <c r="F454" s="90"/>
      <c r="G454" s="90"/>
      <c r="H454" s="90"/>
      <c r="I454" s="90"/>
      <c r="J454" s="90"/>
      <c r="K454" s="90"/>
      <c r="L454" s="90"/>
      <c r="M454" s="90"/>
      <c r="N454" s="91"/>
      <c r="O454" s="91"/>
      <c r="P454" s="91"/>
      <c r="Q454" s="91"/>
      <c r="R454" s="91"/>
      <c r="S454" s="91"/>
      <c r="T454" s="91"/>
      <c r="U454" s="91"/>
      <c r="V454" s="92"/>
      <c r="W454" s="92"/>
      <c r="X454" s="93"/>
      <c r="Y454" s="93"/>
      <c r="Z454" s="93"/>
      <c r="AA454" s="4"/>
      <c r="AB454" s="5"/>
    </row>
    <row r="455" spans="1:28" x14ac:dyDescent="0.2">
      <c r="A455" s="4"/>
      <c r="B455" s="94"/>
      <c r="C455" s="94"/>
      <c r="D455" s="94"/>
      <c r="E455" s="94"/>
      <c r="F455" s="94"/>
      <c r="G455" s="94"/>
      <c r="H455" s="94"/>
      <c r="I455" s="94"/>
      <c r="J455" s="94"/>
      <c r="K455" s="94"/>
      <c r="L455" s="94"/>
      <c r="M455" s="94"/>
      <c r="N455" s="95"/>
      <c r="O455" s="95"/>
      <c r="P455" s="95"/>
      <c r="Q455" s="95"/>
      <c r="R455" s="95"/>
      <c r="S455" s="95"/>
      <c r="T455" s="95"/>
      <c r="U455" s="95"/>
      <c r="V455" s="96"/>
      <c r="W455" s="96"/>
      <c r="X455" s="97"/>
      <c r="Y455" s="97"/>
      <c r="Z455" s="97"/>
      <c r="AA455" s="4"/>
      <c r="AB455" s="5"/>
    </row>
    <row r="456" spans="1:28" x14ac:dyDescent="0.2">
      <c r="A456" s="4"/>
      <c r="B456" s="90"/>
      <c r="C456" s="90"/>
      <c r="D456" s="90"/>
      <c r="E456" s="90"/>
      <c r="F456" s="90"/>
      <c r="G456" s="90"/>
      <c r="H456" s="90"/>
      <c r="I456" s="90"/>
      <c r="J456" s="90"/>
      <c r="K456" s="90"/>
      <c r="L456" s="90"/>
      <c r="M456" s="90"/>
      <c r="N456" s="91"/>
      <c r="O456" s="91"/>
      <c r="P456" s="91"/>
      <c r="Q456" s="91"/>
      <c r="R456" s="91"/>
      <c r="S456" s="91"/>
      <c r="T456" s="91"/>
      <c r="U456" s="91"/>
      <c r="V456" s="92"/>
      <c r="W456" s="92"/>
      <c r="X456" s="93"/>
      <c r="Y456" s="93"/>
      <c r="Z456" s="93"/>
      <c r="AA456" s="4"/>
      <c r="AB456" s="5"/>
    </row>
    <row r="457" spans="1:28" x14ac:dyDescent="0.2">
      <c r="A457" s="4"/>
      <c r="B457" s="94"/>
      <c r="C457" s="94"/>
      <c r="D457" s="94"/>
      <c r="E457" s="94"/>
      <c r="F457" s="94"/>
      <c r="G457" s="94"/>
      <c r="H457" s="94"/>
      <c r="I457" s="94"/>
      <c r="J457" s="94"/>
      <c r="K457" s="94"/>
      <c r="L457" s="94"/>
      <c r="M457" s="94"/>
      <c r="N457" s="95"/>
      <c r="O457" s="95"/>
      <c r="P457" s="95"/>
      <c r="Q457" s="95"/>
      <c r="R457" s="95"/>
      <c r="S457" s="95"/>
      <c r="T457" s="95"/>
      <c r="U457" s="95"/>
      <c r="V457" s="96"/>
      <c r="W457" s="96"/>
      <c r="X457" s="97"/>
      <c r="Y457" s="97"/>
      <c r="Z457" s="97"/>
      <c r="AA457" s="4"/>
      <c r="AB457" s="5"/>
    </row>
    <row r="458" spans="1:28" x14ac:dyDescent="0.2">
      <c r="A458" s="4"/>
      <c r="B458" s="90"/>
      <c r="C458" s="90"/>
      <c r="D458" s="90"/>
      <c r="E458" s="90"/>
      <c r="F458" s="90"/>
      <c r="G458" s="90"/>
      <c r="H458" s="90"/>
      <c r="I458" s="90"/>
      <c r="J458" s="90"/>
      <c r="K458" s="90"/>
      <c r="L458" s="90"/>
      <c r="M458" s="90"/>
      <c r="N458" s="91"/>
      <c r="O458" s="91"/>
      <c r="P458" s="91"/>
      <c r="Q458" s="91"/>
      <c r="R458" s="91"/>
      <c r="S458" s="91"/>
      <c r="T458" s="91"/>
      <c r="U458" s="91"/>
      <c r="V458" s="92"/>
      <c r="W458" s="92"/>
      <c r="X458" s="93"/>
      <c r="Y458" s="93"/>
      <c r="Z458" s="93"/>
      <c r="AA458" s="4"/>
      <c r="AB458" s="5"/>
    </row>
    <row r="459" spans="1:28" x14ac:dyDescent="0.2">
      <c r="A459" s="4"/>
      <c r="B459" s="94"/>
      <c r="C459" s="94"/>
      <c r="D459" s="94"/>
      <c r="E459" s="94"/>
      <c r="F459" s="94"/>
      <c r="G459" s="94"/>
      <c r="H459" s="94"/>
      <c r="I459" s="94"/>
      <c r="J459" s="94"/>
      <c r="K459" s="94"/>
      <c r="L459" s="94"/>
      <c r="M459" s="94"/>
      <c r="N459" s="95"/>
      <c r="O459" s="95"/>
      <c r="P459" s="95"/>
      <c r="Q459" s="95"/>
      <c r="R459" s="95"/>
      <c r="S459" s="95"/>
      <c r="T459" s="95"/>
      <c r="U459" s="95"/>
      <c r="V459" s="96"/>
      <c r="W459" s="96"/>
      <c r="X459" s="97"/>
      <c r="Y459" s="97"/>
      <c r="Z459" s="97"/>
      <c r="AA459" s="4"/>
      <c r="AB459" s="5"/>
    </row>
    <row r="460" spans="1:28" x14ac:dyDescent="0.2">
      <c r="A460" s="4"/>
      <c r="B460" s="90"/>
      <c r="C460" s="90"/>
      <c r="D460" s="90"/>
      <c r="E460" s="90"/>
      <c r="F460" s="90"/>
      <c r="G460" s="90"/>
      <c r="H460" s="90"/>
      <c r="I460" s="90"/>
      <c r="J460" s="90"/>
      <c r="K460" s="90"/>
      <c r="L460" s="90"/>
      <c r="M460" s="90"/>
      <c r="N460" s="91"/>
      <c r="O460" s="91"/>
      <c r="P460" s="91"/>
      <c r="Q460" s="91"/>
      <c r="R460" s="91"/>
      <c r="S460" s="91"/>
      <c r="T460" s="91"/>
      <c r="U460" s="91"/>
      <c r="V460" s="92"/>
      <c r="W460" s="92"/>
      <c r="X460" s="93"/>
      <c r="Y460" s="93"/>
      <c r="Z460" s="93"/>
      <c r="AA460" s="4"/>
      <c r="AB460" s="5"/>
    </row>
    <row r="461" spans="1:28" x14ac:dyDescent="0.2">
      <c r="A461" s="4"/>
      <c r="B461" s="94"/>
      <c r="C461" s="94"/>
      <c r="D461" s="94"/>
      <c r="E461" s="94"/>
      <c r="F461" s="94"/>
      <c r="G461" s="94"/>
      <c r="H461" s="94"/>
      <c r="I461" s="94"/>
      <c r="J461" s="94"/>
      <c r="K461" s="94"/>
      <c r="L461" s="94"/>
      <c r="M461" s="94"/>
      <c r="N461" s="95"/>
      <c r="O461" s="95"/>
      <c r="P461" s="95"/>
      <c r="Q461" s="95"/>
      <c r="R461" s="95"/>
      <c r="S461" s="95"/>
      <c r="T461" s="95"/>
      <c r="U461" s="95"/>
      <c r="V461" s="96"/>
      <c r="W461" s="96"/>
      <c r="X461" s="97"/>
      <c r="Y461" s="97"/>
      <c r="Z461" s="97"/>
      <c r="AA461" s="4"/>
      <c r="AB461" s="5"/>
    </row>
    <row r="462" spans="1:28" x14ac:dyDescent="0.2">
      <c r="A462" s="4"/>
      <c r="B462" s="90"/>
      <c r="C462" s="90"/>
      <c r="D462" s="90"/>
      <c r="E462" s="90"/>
      <c r="F462" s="90"/>
      <c r="G462" s="90"/>
      <c r="H462" s="90"/>
      <c r="I462" s="90"/>
      <c r="J462" s="90"/>
      <c r="K462" s="90"/>
      <c r="L462" s="90"/>
      <c r="M462" s="90"/>
      <c r="N462" s="91"/>
      <c r="O462" s="91"/>
      <c r="P462" s="91"/>
      <c r="Q462" s="91"/>
      <c r="R462" s="91"/>
      <c r="S462" s="91"/>
      <c r="T462" s="91"/>
      <c r="U462" s="91"/>
      <c r="V462" s="92"/>
      <c r="W462" s="92"/>
      <c r="X462" s="93"/>
      <c r="Y462" s="93"/>
      <c r="Z462" s="93"/>
      <c r="AA462" s="4"/>
      <c r="AB462" s="5"/>
    </row>
    <row r="463" spans="1:28" x14ac:dyDescent="0.2">
      <c r="A463" s="4"/>
      <c r="B463" s="94"/>
      <c r="C463" s="94"/>
      <c r="D463" s="94"/>
      <c r="E463" s="94"/>
      <c r="F463" s="94"/>
      <c r="G463" s="94"/>
      <c r="H463" s="94"/>
      <c r="I463" s="94"/>
      <c r="J463" s="94"/>
      <c r="K463" s="94"/>
      <c r="L463" s="94"/>
      <c r="M463" s="94"/>
      <c r="N463" s="95"/>
      <c r="O463" s="95"/>
      <c r="P463" s="95"/>
      <c r="Q463" s="95"/>
      <c r="R463" s="95"/>
      <c r="S463" s="95"/>
      <c r="T463" s="95"/>
      <c r="U463" s="95"/>
      <c r="V463" s="96"/>
      <c r="W463" s="96"/>
      <c r="X463" s="97"/>
      <c r="Y463" s="97"/>
      <c r="Z463" s="97"/>
      <c r="AA463" s="4"/>
      <c r="AB463" s="5"/>
    </row>
    <row r="464" spans="1:28" x14ac:dyDescent="0.2">
      <c r="A464" s="4"/>
      <c r="B464" s="90"/>
      <c r="C464" s="90"/>
      <c r="D464" s="90"/>
      <c r="E464" s="90"/>
      <c r="F464" s="90"/>
      <c r="G464" s="90"/>
      <c r="H464" s="90"/>
      <c r="I464" s="90"/>
      <c r="J464" s="90"/>
      <c r="K464" s="90"/>
      <c r="L464" s="90"/>
      <c r="M464" s="90"/>
      <c r="N464" s="91"/>
      <c r="O464" s="91"/>
      <c r="P464" s="91"/>
      <c r="Q464" s="91"/>
      <c r="R464" s="91"/>
      <c r="S464" s="91"/>
      <c r="T464" s="91"/>
      <c r="U464" s="91"/>
      <c r="V464" s="92"/>
      <c r="W464" s="92"/>
      <c r="X464" s="93"/>
      <c r="Y464" s="93"/>
      <c r="Z464" s="93"/>
      <c r="AA464" s="4"/>
      <c r="AB464" s="5"/>
    </row>
    <row r="465" spans="1:28" x14ac:dyDescent="0.2">
      <c r="A465" s="4"/>
      <c r="B465" s="94"/>
      <c r="C465" s="94"/>
      <c r="D465" s="94"/>
      <c r="E465" s="94"/>
      <c r="F465" s="94"/>
      <c r="G465" s="94"/>
      <c r="H465" s="94"/>
      <c r="I465" s="94"/>
      <c r="J465" s="94"/>
      <c r="K465" s="94"/>
      <c r="L465" s="94"/>
      <c r="M465" s="94"/>
      <c r="N465" s="95"/>
      <c r="O465" s="95"/>
      <c r="P465" s="95"/>
      <c r="Q465" s="95"/>
      <c r="R465" s="95"/>
      <c r="S465" s="95"/>
      <c r="T465" s="95"/>
      <c r="U465" s="95"/>
      <c r="V465" s="96"/>
      <c r="W465" s="96"/>
      <c r="X465" s="97"/>
      <c r="Y465" s="97"/>
      <c r="Z465" s="97"/>
      <c r="AA465" s="4"/>
      <c r="AB465" s="5"/>
    </row>
    <row r="466" spans="1:28" x14ac:dyDescent="0.2">
      <c r="A466" s="4"/>
      <c r="B466" s="90"/>
      <c r="C466" s="90"/>
      <c r="D466" s="90"/>
      <c r="E466" s="90"/>
      <c r="F466" s="90"/>
      <c r="G466" s="90"/>
      <c r="H466" s="90"/>
      <c r="I466" s="90"/>
      <c r="J466" s="90"/>
      <c r="K466" s="90"/>
      <c r="L466" s="90"/>
      <c r="M466" s="90"/>
      <c r="N466" s="91"/>
      <c r="O466" s="91"/>
      <c r="P466" s="91"/>
      <c r="Q466" s="91"/>
      <c r="R466" s="91"/>
      <c r="S466" s="91"/>
      <c r="T466" s="91"/>
      <c r="U466" s="91"/>
      <c r="V466" s="92"/>
      <c r="W466" s="92"/>
      <c r="X466" s="93"/>
      <c r="Y466" s="93"/>
      <c r="Z466" s="93"/>
      <c r="AA466" s="4"/>
      <c r="AB466" s="5"/>
    </row>
    <row r="467" spans="1:28" x14ac:dyDescent="0.2">
      <c r="A467" s="4"/>
      <c r="B467" s="94"/>
      <c r="C467" s="94"/>
      <c r="D467" s="94"/>
      <c r="E467" s="94"/>
      <c r="F467" s="94"/>
      <c r="G467" s="94"/>
      <c r="H467" s="94"/>
      <c r="I467" s="94"/>
      <c r="J467" s="94"/>
      <c r="K467" s="94"/>
      <c r="L467" s="94"/>
      <c r="M467" s="94"/>
      <c r="N467" s="95"/>
      <c r="O467" s="95"/>
      <c r="P467" s="95"/>
      <c r="Q467" s="95"/>
      <c r="R467" s="95"/>
      <c r="S467" s="95"/>
      <c r="T467" s="95"/>
      <c r="U467" s="95"/>
      <c r="V467" s="96"/>
      <c r="W467" s="96"/>
      <c r="X467" s="97"/>
      <c r="Y467" s="97"/>
      <c r="Z467" s="97"/>
      <c r="AA467" s="4"/>
      <c r="AB467" s="5"/>
    </row>
    <row r="468" spans="1:28" x14ac:dyDescent="0.2">
      <c r="A468" s="4"/>
      <c r="B468" s="90"/>
      <c r="C468" s="90"/>
      <c r="D468" s="90"/>
      <c r="E468" s="90"/>
      <c r="F468" s="90"/>
      <c r="G468" s="90"/>
      <c r="H468" s="90"/>
      <c r="I468" s="90"/>
      <c r="J468" s="90"/>
      <c r="K468" s="90"/>
      <c r="L468" s="90"/>
      <c r="M468" s="90"/>
      <c r="N468" s="91"/>
      <c r="O468" s="91"/>
      <c r="P468" s="91"/>
      <c r="Q468" s="91"/>
      <c r="R468" s="91"/>
      <c r="S468" s="91"/>
      <c r="T468" s="91"/>
      <c r="U468" s="91"/>
      <c r="V468" s="92"/>
      <c r="W468" s="92"/>
      <c r="X468" s="93"/>
      <c r="Y468" s="93"/>
      <c r="Z468" s="93"/>
      <c r="AA468" s="4"/>
      <c r="AB468" s="5"/>
    </row>
    <row r="469" spans="1:28" x14ac:dyDescent="0.2">
      <c r="A469" s="4"/>
      <c r="B469" s="94"/>
      <c r="C469" s="94"/>
      <c r="D469" s="94"/>
      <c r="E469" s="94"/>
      <c r="F469" s="94"/>
      <c r="G469" s="94"/>
      <c r="H469" s="94"/>
      <c r="I469" s="94"/>
      <c r="J469" s="94"/>
      <c r="K469" s="94"/>
      <c r="L469" s="94"/>
      <c r="M469" s="94"/>
      <c r="N469" s="95"/>
      <c r="O469" s="95"/>
      <c r="P469" s="95"/>
      <c r="Q469" s="95"/>
      <c r="R469" s="95"/>
      <c r="S469" s="95"/>
      <c r="T469" s="95"/>
      <c r="U469" s="95"/>
      <c r="V469" s="96"/>
      <c r="W469" s="96"/>
      <c r="X469" s="97"/>
      <c r="Y469" s="97"/>
      <c r="Z469" s="97"/>
      <c r="AA469" s="4"/>
      <c r="AB469" s="5"/>
    </row>
    <row r="470" spans="1:28" x14ac:dyDescent="0.2">
      <c r="A470" s="4"/>
      <c r="B470" s="90"/>
      <c r="C470" s="90"/>
      <c r="D470" s="90"/>
      <c r="E470" s="90"/>
      <c r="F470" s="90"/>
      <c r="G470" s="90"/>
      <c r="H470" s="90"/>
      <c r="I470" s="90"/>
      <c r="J470" s="90"/>
      <c r="K470" s="90"/>
      <c r="L470" s="90"/>
      <c r="M470" s="90"/>
      <c r="N470" s="91"/>
      <c r="O470" s="91"/>
      <c r="P470" s="91"/>
      <c r="Q470" s="91"/>
      <c r="R470" s="91"/>
      <c r="S470" s="91"/>
      <c r="T470" s="91"/>
      <c r="U470" s="91"/>
      <c r="V470" s="92"/>
      <c r="W470" s="92"/>
      <c r="X470" s="93"/>
      <c r="Y470" s="93"/>
      <c r="Z470" s="93"/>
      <c r="AA470" s="4"/>
      <c r="AB470" s="5"/>
    </row>
    <row r="471" spans="1:28" x14ac:dyDescent="0.2">
      <c r="A471" s="4"/>
      <c r="B471" s="94"/>
      <c r="C471" s="94"/>
      <c r="D471" s="94"/>
      <c r="E471" s="94"/>
      <c r="F471" s="94"/>
      <c r="G471" s="94"/>
      <c r="H471" s="94"/>
      <c r="I471" s="94"/>
      <c r="J471" s="94"/>
      <c r="K471" s="94"/>
      <c r="L471" s="94"/>
      <c r="M471" s="94"/>
      <c r="N471" s="95"/>
      <c r="O471" s="95"/>
      <c r="P471" s="95"/>
      <c r="Q471" s="95"/>
      <c r="R471" s="95"/>
      <c r="S471" s="95"/>
      <c r="T471" s="95"/>
      <c r="U471" s="95"/>
      <c r="V471" s="96"/>
      <c r="W471" s="96"/>
      <c r="X471" s="97"/>
      <c r="Y471" s="97"/>
      <c r="Z471" s="97"/>
      <c r="AA471" s="4"/>
      <c r="AB471" s="5"/>
    </row>
    <row r="472" spans="1:28" x14ac:dyDescent="0.2">
      <c r="A472" s="4"/>
      <c r="B472" s="90"/>
      <c r="C472" s="90"/>
      <c r="D472" s="90"/>
      <c r="E472" s="90"/>
      <c r="F472" s="90"/>
      <c r="G472" s="90"/>
      <c r="H472" s="90"/>
      <c r="I472" s="90"/>
      <c r="J472" s="90"/>
      <c r="K472" s="90"/>
      <c r="L472" s="90"/>
      <c r="M472" s="90"/>
      <c r="N472" s="91"/>
      <c r="O472" s="91"/>
      <c r="P472" s="91"/>
      <c r="Q472" s="91"/>
      <c r="R472" s="91"/>
      <c r="S472" s="91"/>
      <c r="T472" s="91"/>
      <c r="U472" s="91"/>
      <c r="V472" s="92"/>
      <c r="W472" s="92"/>
      <c r="X472" s="93"/>
      <c r="Y472" s="93"/>
      <c r="Z472" s="93"/>
      <c r="AA472" s="4"/>
      <c r="AB472" s="5"/>
    </row>
    <row r="473" spans="1:28" x14ac:dyDescent="0.2">
      <c r="A473" s="4"/>
      <c r="B473" s="94"/>
      <c r="C473" s="94"/>
      <c r="D473" s="94"/>
      <c r="E473" s="94"/>
      <c r="F473" s="94"/>
      <c r="G473" s="94"/>
      <c r="H473" s="94"/>
      <c r="I473" s="94"/>
      <c r="J473" s="94"/>
      <c r="K473" s="94"/>
      <c r="L473" s="94"/>
      <c r="M473" s="94"/>
      <c r="N473" s="95"/>
      <c r="O473" s="95"/>
      <c r="P473" s="95"/>
      <c r="Q473" s="95"/>
      <c r="R473" s="95"/>
      <c r="S473" s="95"/>
      <c r="T473" s="95"/>
      <c r="U473" s="95"/>
      <c r="V473" s="96"/>
      <c r="W473" s="96"/>
      <c r="X473" s="97"/>
      <c r="Y473" s="97"/>
      <c r="Z473" s="97"/>
      <c r="AA473" s="4"/>
      <c r="AB473" s="5"/>
    </row>
    <row r="474" spans="1:28" x14ac:dyDescent="0.2">
      <c r="A474" s="4"/>
      <c r="B474" s="90"/>
      <c r="C474" s="90"/>
      <c r="D474" s="90"/>
      <c r="E474" s="90"/>
      <c r="F474" s="90"/>
      <c r="G474" s="90"/>
      <c r="H474" s="90"/>
      <c r="I474" s="90"/>
      <c r="J474" s="90"/>
      <c r="K474" s="90"/>
      <c r="L474" s="90"/>
      <c r="M474" s="90"/>
      <c r="N474" s="91"/>
      <c r="O474" s="91"/>
      <c r="P474" s="91"/>
      <c r="Q474" s="91"/>
      <c r="R474" s="91"/>
      <c r="S474" s="91"/>
      <c r="T474" s="91"/>
      <c r="U474" s="91"/>
      <c r="V474" s="92"/>
      <c r="W474" s="92"/>
      <c r="X474" s="93"/>
      <c r="Y474" s="93"/>
      <c r="Z474" s="93"/>
      <c r="AA474" s="4"/>
      <c r="AB474" s="5"/>
    </row>
    <row r="475" spans="1:28" x14ac:dyDescent="0.2">
      <c r="A475" s="4"/>
      <c r="B475" s="94"/>
      <c r="C475" s="94"/>
      <c r="D475" s="94"/>
      <c r="E475" s="94"/>
      <c r="F475" s="94"/>
      <c r="G475" s="94"/>
      <c r="H475" s="94"/>
      <c r="I475" s="94"/>
      <c r="J475" s="94"/>
      <c r="K475" s="94"/>
      <c r="L475" s="94"/>
      <c r="M475" s="94"/>
      <c r="N475" s="95"/>
      <c r="O475" s="95"/>
      <c r="P475" s="95"/>
      <c r="Q475" s="95"/>
      <c r="R475" s="95"/>
      <c r="S475" s="95"/>
      <c r="T475" s="95"/>
      <c r="U475" s="95"/>
      <c r="V475" s="96"/>
      <c r="W475" s="96"/>
      <c r="X475" s="97"/>
      <c r="Y475" s="97"/>
      <c r="Z475" s="97"/>
      <c r="AA475" s="4"/>
      <c r="AB475" s="5"/>
    </row>
    <row r="476" spans="1:28" x14ac:dyDescent="0.2">
      <c r="A476" s="4"/>
      <c r="B476" s="90"/>
      <c r="C476" s="90"/>
      <c r="D476" s="90"/>
      <c r="E476" s="90"/>
      <c r="F476" s="90"/>
      <c r="G476" s="90"/>
      <c r="H476" s="90"/>
      <c r="I476" s="90"/>
      <c r="J476" s="90"/>
      <c r="K476" s="90"/>
      <c r="L476" s="90"/>
      <c r="M476" s="90"/>
      <c r="N476" s="91"/>
      <c r="O476" s="91"/>
      <c r="P476" s="91"/>
      <c r="Q476" s="91"/>
      <c r="R476" s="91"/>
      <c r="S476" s="91"/>
      <c r="T476" s="91"/>
      <c r="U476" s="91"/>
      <c r="V476" s="92"/>
      <c r="W476" s="92"/>
      <c r="X476" s="93"/>
      <c r="Y476" s="93"/>
      <c r="Z476" s="93"/>
      <c r="AA476" s="4"/>
      <c r="AB476" s="5"/>
    </row>
    <row r="477" spans="1:28" x14ac:dyDescent="0.2">
      <c r="A477" s="4"/>
      <c r="B477" s="94"/>
      <c r="C477" s="94"/>
      <c r="D477" s="94"/>
      <c r="E477" s="94"/>
      <c r="F477" s="94"/>
      <c r="G477" s="94"/>
      <c r="H477" s="94"/>
      <c r="I477" s="94"/>
      <c r="J477" s="94"/>
      <c r="K477" s="94"/>
      <c r="L477" s="94"/>
      <c r="M477" s="94"/>
      <c r="N477" s="95"/>
      <c r="O477" s="95"/>
      <c r="P477" s="95"/>
      <c r="Q477" s="95"/>
      <c r="R477" s="95"/>
      <c r="S477" s="95"/>
      <c r="T477" s="95"/>
      <c r="U477" s="95"/>
      <c r="V477" s="96"/>
      <c r="W477" s="96"/>
      <c r="X477" s="97"/>
      <c r="Y477" s="97"/>
      <c r="Z477" s="97"/>
      <c r="AA477" s="4"/>
      <c r="AB477" s="5"/>
    </row>
    <row r="478" spans="1:28" x14ac:dyDescent="0.2">
      <c r="A478" s="4"/>
      <c r="B478" s="90"/>
      <c r="C478" s="90"/>
      <c r="D478" s="90"/>
      <c r="E478" s="90"/>
      <c r="F478" s="90"/>
      <c r="G478" s="90"/>
      <c r="H478" s="90"/>
      <c r="I478" s="90"/>
      <c r="J478" s="90"/>
      <c r="K478" s="90"/>
      <c r="L478" s="90"/>
      <c r="M478" s="90"/>
      <c r="N478" s="91"/>
      <c r="O478" s="91"/>
      <c r="P478" s="91"/>
      <c r="Q478" s="91"/>
      <c r="R478" s="91"/>
      <c r="S478" s="91"/>
      <c r="T478" s="91"/>
      <c r="U478" s="91"/>
      <c r="V478" s="92"/>
      <c r="W478" s="92"/>
      <c r="X478" s="93"/>
      <c r="Y478" s="93"/>
      <c r="Z478" s="93"/>
      <c r="AA478" s="4"/>
      <c r="AB478" s="5"/>
    </row>
    <row r="479" spans="1:28" x14ac:dyDescent="0.2">
      <c r="A479" s="4"/>
      <c r="B479" s="94"/>
      <c r="C479" s="94"/>
      <c r="D479" s="94"/>
      <c r="E479" s="94"/>
      <c r="F479" s="94"/>
      <c r="G479" s="94"/>
      <c r="H479" s="94"/>
      <c r="I479" s="94"/>
      <c r="J479" s="94"/>
      <c r="K479" s="94"/>
      <c r="L479" s="94"/>
      <c r="M479" s="94"/>
      <c r="N479" s="95"/>
      <c r="O479" s="95"/>
      <c r="P479" s="95"/>
      <c r="Q479" s="95"/>
      <c r="R479" s="95"/>
      <c r="S479" s="95"/>
      <c r="T479" s="95"/>
      <c r="U479" s="95"/>
      <c r="V479" s="96"/>
      <c r="W479" s="96"/>
      <c r="X479" s="97"/>
      <c r="Y479" s="97"/>
      <c r="Z479" s="97"/>
      <c r="AA479" s="4"/>
      <c r="AB479" s="5"/>
    </row>
    <row r="480" spans="1:28" x14ac:dyDescent="0.2">
      <c r="A480" s="4"/>
      <c r="B480" s="90"/>
      <c r="C480" s="90"/>
      <c r="D480" s="90"/>
      <c r="E480" s="90"/>
      <c r="F480" s="90"/>
      <c r="G480" s="90"/>
      <c r="H480" s="90"/>
      <c r="I480" s="90"/>
      <c r="J480" s="90"/>
      <c r="K480" s="90"/>
      <c r="L480" s="90"/>
      <c r="M480" s="90"/>
      <c r="N480" s="91"/>
      <c r="O480" s="91"/>
      <c r="P480" s="91"/>
      <c r="Q480" s="91"/>
      <c r="R480" s="91"/>
      <c r="S480" s="91"/>
      <c r="T480" s="91"/>
      <c r="U480" s="91"/>
      <c r="V480" s="92"/>
      <c r="W480" s="92"/>
      <c r="X480" s="93"/>
      <c r="Y480" s="93"/>
      <c r="Z480" s="93"/>
      <c r="AA480" s="4"/>
      <c r="AB480" s="5"/>
    </row>
    <row r="481" spans="1:28" x14ac:dyDescent="0.2">
      <c r="A481" s="4"/>
      <c r="B481" s="94"/>
      <c r="C481" s="94"/>
      <c r="D481" s="94"/>
      <c r="E481" s="94"/>
      <c r="F481" s="94"/>
      <c r="G481" s="94"/>
      <c r="H481" s="94"/>
      <c r="I481" s="94"/>
      <c r="J481" s="94"/>
      <c r="K481" s="94"/>
      <c r="L481" s="94"/>
      <c r="M481" s="94"/>
      <c r="N481" s="95"/>
      <c r="O481" s="95"/>
      <c r="P481" s="95"/>
      <c r="Q481" s="95"/>
      <c r="R481" s="95"/>
      <c r="S481" s="95"/>
      <c r="T481" s="95"/>
      <c r="U481" s="95"/>
      <c r="V481" s="96"/>
      <c r="W481" s="96"/>
      <c r="X481" s="97"/>
      <c r="Y481" s="97"/>
      <c r="Z481" s="97"/>
      <c r="AA481" s="4"/>
      <c r="AB481" s="5"/>
    </row>
    <row r="482" spans="1:28" x14ac:dyDescent="0.2">
      <c r="A482" s="4"/>
      <c r="B482" s="90"/>
      <c r="C482" s="90"/>
      <c r="D482" s="90"/>
      <c r="E482" s="90"/>
      <c r="F482" s="90"/>
      <c r="G482" s="90"/>
      <c r="H482" s="90"/>
      <c r="I482" s="90"/>
      <c r="J482" s="90"/>
      <c r="K482" s="90"/>
      <c r="L482" s="90"/>
      <c r="M482" s="90"/>
      <c r="N482" s="91"/>
      <c r="O482" s="91"/>
      <c r="P482" s="91"/>
      <c r="Q482" s="91"/>
      <c r="R482" s="91"/>
      <c r="S482" s="91"/>
      <c r="T482" s="91"/>
      <c r="U482" s="91"/>
      <c r="V482" s="92"/>
      <c r="W482" s="92"/>
      <c r="X482" s="93"/>
      <c r="Y482" s="93"/>
      <c r="Z482" s="93"/>
      <c r="AA482" s="4"/>
      <c r="AB482" s="5"/>
    </row>
    <row r="483" spans="1:28" x14ac:dyDescent="0.2">
      <c r="A483" s="4"/>
      <c r="B483" s="94"/>
      <c r="C483" s="94"/>
      <c r="D483" s="94"/>
      <c r="E483" s="94"/>
      <c r="F483" s="94"/>
      <c r="G483" s="94"/>
      <c r="H483" s="94"/>
      <c r="I483" s="94"/>
      <c r="J483" s="94"/>
      <c r="K483" s="94"/>
      <c r="L483" s="94"/>
      <c r="M483" s="94"/>
      <c r="N483" s="95"/>
      <c r="O483" s="95"/>
      <c r="P483" s="95"/>
      <c r="Q483" s="95"/>
      <c r="R483" s="95"/>
      <c r="S483" s="95"/>
      <c r="T483" s="95"/>
      <c r="U483" s="95"/>
      <c r="V483" s="96"/>
      <c r="W483" s="96"/>
      <c r="X483" s="97"/>
      <c r="Y483" s="97"/>
      <c r="Z483" s="97"/>
      <c r="AA483" s="4"/>
      <c r="AB483" s="5"/>
    </row>
    <row r="484" spans="1:28" x14ac:dyDescent="0.2">
      <c r="A484" s="4"/>
      <c r="B484" s="90"/>
      <c r="C484" s="90"/>
      <c r="D484" s="90"/>
      <c r="E484" s="90"/>
      <c r="F484" s="90"/>
      <c r="G484" s="90"/>
      <c r="H484" s="90"/>
      <c r="I484" s="90"/>
      <c r="J484" s="90"/>
      <c r="K484" s="90"/>
      <c r="L484" s="90"/>
      <c r="M484" s="90"/>
      <c r="N484" s="91"/>
      <c r="O484" s="91"/>
      <c r="P484" s="91"/>
      <c r="Q484" s="91"/>
      <c r="R484" s="91"/>
      <c r="S484" s="91"/>
      <c r="T484" s="91"/>
      <c r="U484" s="91"/>
      <c r="V484" s="92"/>
      <c r="W484" s="92"/>
      <c r="X484" s="93"/>
      <c r="Y484" s="93"/>
      <c r="Z484" s="93"/>
      <c r="AA484" s="4"/>
      <c r="AB484" s="5"/>
    </row>
    <row r="485" spans="1:28" x14ac:dyDescent="0.2">
      <c r="A485" s="4"/>
      <c r="B485" s="94"/>
      <c r="C485" s="94"/>
      <c r="D485" s="94"/>
      <c r="E485" s="94"/>
      <c r="F485" s="94"/>
      <c r="G485" s="94"/>
      <c r="H485" s="94"/>
      <c r="I485" s="94"/>
      <c r="J485" s="94"/>
      <c r="K485" s="94"/>
      <c r="L485" s="94"/>
      <c r="M485" s="94"/>
      <c r="N485" s="95"/>
      <c r="O485" s="95"/>
      <c r="P485" s="95"/>
      <c r="Q485" s="95"/>
      <c r="R485" s="95"/>
      <c r="S485" s="95"/>
      <c r="T485" s="95"/>
      <c r="U485" s="95"/>
      <c r="V485" s="96"/>
      <c r="W485" s="96"/>
      <c r="X485" s="97"/>
      <c r="Y485" s="97"/>
      <c r="Z485" s="97"/>
      <c r="AA485" s="4"/>
      <c r="AB485" s="5"/>
    </row>
    <row r="486" spans="1:28" x14ac:dyDescent="0.2">
      <c r="A486" s="4"/>
      <c r="B486" s="90"/>
      <c r="C486" s="90"/>
      <c r="D486" s="90"/>
      <c r="E486" s="90"/>
      <c r="F486" s="90"/>
      <c r="G486" s="90"/>
      <c r="H486" s="90"/>
      <c r="I486" s="90"/>
      <c r="J486" s="90"/>
      <c r="K486" s="90"/>
      <c r="L486" s="90"/>
      <c r="M486" s="90"/>
      <c r="N486" s="91"/>
      <c r="O486" s="91"/>
      <c r="P486" s="91"/>
      <c r="Q486" s="91"/>
      <c r="R486" s="91"/>
      <c r="S486" s="91"/>
      <c r="T486" s="91"/>
      <c r="U486" s="91"/>
      <c r="V486" s="92"/>
      <c r="W486" s="92"/>
      <c r="X486" s="93"/>
      <c r="Y486" s="93"/>
      <c r="Z486" s="93"/>
      <c r="AA486" s="4"/>
      <c r="AB486" s="5"/>
    </row>
    <row r="487" spans="1:28" x14ac:dyDescent="0.2">
      <c r="A487" s="4"/>
      <c r="B487" s="94"/>
      <c r="C487" s="94"/>
      <c r="D487" s="94"/>
      <c r="E487" s="94"/>
      <c r="F487" s="94"/>
      <c r="G487" s="94"/>
      <c r="H487" s="94"/>
      <c r="I487" s="94"/>
      <c r="J487" s="94"/>
      <c r="K487" s="94"/>
      <c r="L487" s="94"/>
      <c r="M487" s="94"/>
      <c r="N487" s="95"/>
      <c r="O487" s="95"/>
      <c r="P487" s="95"/>
      <c r="Q487" s="95"/>
      <c r="R487" s="95"/>
      <c r="S487" s="95"/>
      <c r="T487" s="95"/>
      <c r="U487" s="95"/>
      <c r="V487" s="96"/>
      <c r="W487" s="96"/>
      <c r="X487" s="97"/>
      <c r="Y487" s="97"/>
      <c r="Z487" s="97"/>
      <c r="AA487" s="4"/>
      <c r="AB487" s="5"/>
    </row>
    <row r="488" spans="1:28" x14ac:dyDescent="0.2">
      <c r="A488" s="4"/>
      <c r="B488" s="90"/>
      <c r="C488" s="90"/>
      <c r="D488" s="90"/>
      <c r="E488" s="90"/>
      <c r="F488" s="90"/>
      <c r="G488" s="90"/>
      <c r="H488" s="90"/>
      <c r="I488" s="90"/>
      <c r="J488" s="90"/>
      <c r="K488" s="90"/>
      <c r="L488" s="90"/>
      <c r="M488" s="90"/>
      <c r="N488" s="91"/>
      <c r="O488" s="91"/>
      <c r="P488" s="91"/>
      <c r="Q488" s="91"/>
      <c r="R488" s="91"/>
      <c r="S488" s="91"/>
      <c r="T488" s="91"/>
      <c r="U488" s="91"/>
      <c r="V488" s="92"/>
      <c r="W488" s="92"/>
      <c r="X488" s="93"/>
      <c r="Y488" s="93"/>
      <c r="Z488" s="93"/>
      <c r="AA488" s="4"/>
      <c r="AB488" s="5"/>
    </row>
    <row r="489" spans="1:28" x14ac:dyDescent="0.2">
      <c r="A489" s="4"/>
      <c r="B489" s="94"/>
      <c r="C489" s="94"/>
      <c r="D489" s="94"/>
      <c r="E489" s="94"/>
      <c r="F489" s="94"/>
      <c r="G489" s="94"/>
      <c r="H489" s="94"/>
      <c r="I489" s="94"/>
      <c r="J489" s="94"/>
      <c r="K489" s="94"/>
      <c r="L489" s="94"/>
      <c r="M489" s="94"/>
      <c r="N489" s="95"/>
      <c r="O489" s="95"/>
      <c r="P489" s="95"/>
      <c r="Q489" s="95"/>
      <c r="R489" s="95"/>
      <c r="S489" s="95"/>
      <c r="T489" s="95"/>
      <c r="U489" s="95"/>
      <c r="V489" s="96"/>
      <c r="W489" s="96"/>
      <c r="X489" s="97"/>
      <c r="Y489" s="97"/>
      <c r="Z489" s="97"/>
      <c r="AA489" s="4"/>
      <c r="AB489" s="5"/>
    </row>
    <row r="490" spans="1:28" x14ac:dyDescent="0.2">
      <c r="A490" s="4"/>
      <c r="B490" s="90"/>
      <c r="C490" s="90"/>
      <c r="D490" s="90"/>
      <c r="E490" s="90"/>
      <c r="F490" s="90"/>
      <c r="G490" s="90"/>
      <c r="H490" s="90"/>
      <c r="I490" s="90"/>
      <c r="J490" s="90"/>
      <c r="K490" s="90"/>
      <c r="L490" s="90"/>
      <c r="M490" s="90"/>
      <c r="N490" s="91"/>
      <c r="O490" s="91"/>
      <c r="P490" s="91"/>
      <c r="Q490" s="91"/>
      <c r="R490" s="91"/>
      <c r="S490" s="91"/>
      <c r="T490" s="91"/>
      <c r="U490" s="91"/>
      <c r="V490" s="92"/>
      <c r="W490" s="92"/>
      <c r="X490" s="93"/>
      <c r="Y490" s="93"/>
      <c r="Z490" s="93"/>
      <c r="AA490" s="4"/>
      <c r="AB490" s="5"/>
    </row>
    <row r="491" spans="1:28" x14ac:dyDescent="0.2">
      <c r="A491" s="4"/>
      <c r="B491" s="94"/>
      <c r="C491" s="94"/>
      <c r="D491" s="94"/>
      <c r="E491" s="94"/>
      <c r="F491" s="94"/>
      <c r="G491" s="94"/>
      <c r="H491" s="94"/>
      <c r="I491" s="94"/>
      <c r="J491" s="94"/>
      <c r="K491" s="94"/>
      <c r="L491" s="94"/>
      <c r="M491" s="94"/>
      <c r="N491" s="95"/>
      <c r="O491" s="95"/>
      <c r="P491" s="95"/>
      <c r="Q491" s="95"/>
      <c r="R491" s="95"/>
      <c r="S491" s="95"/>
      <c r="T491" s="95"/>
      <c r="U491" s="95"/>
      <c r="V491" s="96"/>
      <c r="W491" s="96"/>
      <c r="X491" s="97"/>
      <c r="Y491" s="97"/>
      <c r="Z491" s="97"/>
      <c r="AA491" s="4"/>
      <c r="AB491" s="5"/>
    </row>
    <row r="492" spans="1:28" x14ac:dyDescent="0.2">
      <c r="A492" s="4"/>
      <c r="B492" s="90"/>
      <c r="C492" s="90"/>
      <c r="D492" s="90"/>
      <c r="E492" s="90"/>
      <c r="F492" s="90"/>
      <c r="G492" s="90"/>
      <c r="H492" s="90"/>
      <c r="I492" s="90"/>
      <c r="J492" s="90"/>
      <c r="K492" s="90"/>
      <c r="L492" s="90"/>
      <c r="M492" s="90"/>
      <c r="N492" s="91"/>
      <c r="O492" s="91"/>
      <c r="P492" s="91"/>
      <c r="Q492" s="91"/>
      <c r="R492" s="91"/>
      <c r="S492" s="91"/>
      <c r="T492" s="91"/>
      <c r="U492" s="91"/>
      <c r="V492" s="92"/>
      <c r="W492" s="92"/>
      <c r="X492" s="93"/>
      <c r="Y492" s="93"/>
      <c r="Z492" s="93"/>
      <c r="AA492" s="4"/>
      <c r="AB492" s="5"/>
    </row>
    <row r="493" spans="1:28" x14ac:dyDescent="0.2">
      <c r="A493" s="4"/>
      <c r="B493" s="94"/>
      <c r="C493" s="94"/>
      <c r="D493" s="94"/>
      <c r="E493" s="94"/>
      <c r="F493" s="94"/>
      <c r="G493" s="94"/>
      <c r="H493" s="94"/>
      <c r="I493" s="94"/>
      <c r="J493" s="94"/>
      <c r="K493" s="94"/>
      <c r="L493" s="94"/>
      <c r="M493" s="94"/>
      <c r="N493" s="95"/>
      <c r="O493" s="95"/>
      <c r="P493" s="95"/>
      <c r="Q493" s="95"/>
      <c r="R493" s="95"/>
      <c r="S493" s="95"/>
      <c r="T493" s="95"/>
      <c r="U493" s="95"/>
      <c r="V493" s="96"/>
      <c r="W493" s="96"/>
      <c r="X493" s="97"/>
      <c r="Y493" s="97"/>
      <c r="Z493" s="97"/>
      <c r="AA493" s="4"/>
      <c r="AB493" s="5"/>
    </row>
    <row r="494" spans="1:28" x14ac:dyDescent="0.2">
      <c r="A494" s="4"/>
      <c r="B494" s="90"/>
      <c r="C494" s="90"/>
      <c r="D494" s="90"/>
      <c r="E494" s="90"/>
      <c r="F494" s="90"/>
      <c r="G494" s="90"/>
      <c r="H494" s="90"/>
      <c r="I494" s="90"/>
      <c r="J494" s="90"/>
      <c r="K494" s="90"/>
      <c r="L494" s="90"/>
      <c r="M494" s="90"/>
      <c r="N494" s="91"/>
      <c r="O494" s="91"/>
      <c r="P494" s="91"/>
      <c r="Q494" s="91"/>
      <c r="R494" s="91"/>
      <c r="S494" s="91"/>
      <c r="T494" s="91"/>
      <c r="U494" s="91"/>
      <c r="V494" s="92"/>
      <c r="W494" s="92"/>
      <c r="X494" s="93"/>
      <c r="Y494" s="93"/>
      <c r="Z494" s="93"/>
      <c r="AA494" s="4"/>
      <c r="AB494" s="5"/>
    </row>
    <row r="495" spans="1:28" x14ac:dyDescent="0.2">
      <c r="A495" s="4"/>
      <c r="B495" s="94"/>
      <c r="C495" s="94"/>
      <c r="D495" s="94"/>
      <c r="E495" s="94"/>
      <c r="F495" s="94"/>
      <c r="G495" s="94"/>
      <c r="H495" s="94"/>
      <c r="I495" s="94"/>
      <c r="J495" s="94"/>
      <c r="K495" s="94"/>
      <c r="L495" s="94"/>
      <c r="M495" s="94"/>
      <c r="N495" s="95"/>
      <c r="O495" s="95"/>
      <c r="P495" s="95"/>
      <c r="Q495" s="95"/>
      <c r="R495" s="95"/>
      <c r="S495" s="95"/>
      <c r="T495" s="95"/>
      <c r="U495" s="95"/>
      <c r="V495" s="96"/>
      <c r="W495" s="96"/>
      <c r="X495" s="97"/>
      <c r="Y495" s="97"/>
      <c r="Z495" s="97"/>
      <c r="AA495" s="4"/>
      <c r="AB495" s="5"/>
    </row>
    <row r="496" spans="1:28" x14ac:dyDescent="0.2">
      <c r="A496" s="4"/>
      <c r="B496" s="90"/>
      <c r="C496" s="90"/>
      <c r="D496" s="90"/>
      <c r="E496" s="90"/>
      <c r="F496" s="90"/>
      <c r="G496" s="90"/>
      <c r="H496" s="90"/>
      <c r="I496" s="90"/>
      <c r="J496" s="90"/>
      <c r="K496" s="90"/>
      <c r="L496" s="90"/>
      <c r="M496" s="90"/>
      <c r="N496" s="91"/>
      <c r="O496" s="91"/>
      <c r="P496" s="91"/>
      <c r="Q496" s="91"/>
      <c r="R496" s="91"/>
      <c r="S496" s="91"/>
      <c r="T496" s="91"/>
      <c r="U496" s="91"/>
      <c r="V496" s="92"/>
      <c r="W496" s="92"/>
      <c r="X496" s="93"/>
      <c r="Y496" s="93"/>
      <c r="Z496" s="93"/>
      <c r="AA496" s="4"/>
      <c r="AB496" s="5"/>
    </row>
    <row r="497" spans="1:28" x14ac:dyDescent="0.2">
      <c r="A497" s="4"/>
      <c r="B497" s="94"/>
      <c r="C497" s="94"/>
      <c r="D497" s="94"/>
      <c r="E497" s="94"/>
      <c r="F497" s="94"/>
      <c r="G497" s="94"/>
      <c r="H497" s="94"/>
      <c r="I497" s="94"/>
      <c r="J497" s="94"/>
      <c r="K497" s="94"/>
      <c r="L497" s="94"/>
      <c r="M497" s="94"/>
      <c r="N497" s="95"/>
      <c r="O497" s="95"/>
      <c r="P497" s="95"/>
      <c r="Q497" s="95"/>
      <c r="R497" s="95"/>
      <c r="S497" s="95"/>
      <c r="T497" s="95"/>
      <c r="U497" s="95"/>
      <c r="V497" s="96"/>
      <c r="W497" s="96"/>
      <c r="X497" s="97"/>
      <c r="Y497" s="97"/>
      <c r="Z497" s="97"/>
      <c r="AA497" s="4"/>
      <c r="AB497" s="5"/>
    </row>
    <row r="498" spans="1:28" x14ac:dyDescent="0.2">
      <c r="A498" s="4"/>
      <c r="B498" s="90"/>
      <c r="C498" s="90"/>
      <c r="D498" s="90"/>
      <c r="E498" s="90"/>
      <c r="F498" s="90"/>
      <c r="G498" s="90"/>
      <c r="H498" s="90"/>
      <c r="I498" s="90"/>
      <c r="J498" s="90"/>
      <c r="K498" s="90"/>
      <c r="L498" s="90"/>
      <c r="M498" s="90"/>
      <c r="N498" s="91"/>
      <c r="O498" s="91"/>
      <c r="P498" s="91"/>
      <c r="Q498" s="91"/>
      <c r="R498" s="91"/>
      <c r="S498" s="91"/>
      <c r="T498" s="91"/>
      <c r="U498" s="91"/>
      <c r="V498" s="92"/>
      <c r="W498" s="92"/>
      <c r="X498" s="93"/>
      <c r="Y498" s="93"/>
      <c r="Z498" s="93"/>
      <c r="AA498" s="4"/>
      <c r="AB498" s="5"/>
    </row>
    <row r="499" spans="1:28" x14ac:dyDescent="0.2">
      <c r="A499" s="4"/>
      <c r="B499" s="94"/>
      <c r="C499" s="94"/>
      <c r="D499" s="94"/>
      <c r="E499" s="94"/>
      <c r="F499" s="94"/>
      <c r="G499" s="94"/>
      <c r="H499" s="94"/>
      <c r="I499" s="94"/>
      <c r="J499" s="94"/>
      <c r="K499" s="94"/>
      <c r="L499" s="94"/>
      <c r="M499" s="94"/>
      <c r="N499" s="95"/>
      <c r="O499" s="95"/>
      <c r="P499" s="95"/>
      <c r="Q499" s="95"/>
      <c r="R499" s="95"/>
      <c r="S499" s="95"/>
      <c r="T499" s="95"/>
      <c r="U499" s="95"/>
      <c r="V499" s="96"/>
      <c r="W499" s="96"/>
      <c r="X499" s="97"/>
      <c r="Y499" s="97"/>
      <c r="Z499" s="97"/>
      <c r="AA499" s="4"/>
      <c r="AB499" s="5"/>
    </row>
    <row r="500" spans="1:28" x14ac:dyDescent="0.2">
      <c r="A500" s="4"/>
      <c r="B500" s="90"/>
      <c r="C500" s="90"/>
      <c r="D500" s="90"/>
      <c r="E500" s="90"/>
      <c r="F500" s="90"/>
      <c r="G500" s="90"/>
      <c r="H500" s="90"/>
      <c r="I500" s="90"/>
      <c r="J500" s="90"/>
      <c r="K500" s="90"/>
      <c r="L500" s="90"/>
      <c r="M500" s="90"/>
      <c r="N500" s="91"/>
      <c r="O500" s="91"/>
      <c r="P500" s="91"/>
      <c r="Q500" s="91"/>
      <c r="R500" s="91"/>
      <c r="S500" s="91"/>
      <c r="T500" s="91"/>
      <c r="U500" s="91"/>
      <c r="V500" s="92"/>
      <c r="W500" s="92"/>
      <c r="X500" s="93"/>
      <c r="Y500" s="93"/>
      <c r="Z500" s="93"/>
      <c r="AA500" s="4"/>
      <c r="AB500" s="5"/>
    </row>
    <row r="501" spans="1:28" x14ac:dyDescent="0.2">
      <c r="A501" s="4"/>
      <c r="B501" s="94"/>
      <c r="C501" s="94"/>
      <c r="D501" s="94"/>
      <c r="E501" s="94"/>
      <c r="F501" s="94"/>
      <c r="G501" s="94"/>
      <c r="H501" s="94"/>
      <c r="I501" s="94"/>
      <c r="J501" s="94"/>
      <c r="K501" s="94"/>
      <c r="L501" s="94"/>
      <c r="M501" s="94"/>
      <c r="N501" s="95"/>
      <c r="O501" s="95"/>
      <c r="P501" s="95"/>
      <c r="Q501" s="95"/>
      <c r="R501" s="95"/>
      <c r="S501" s="95"/>
      <c r="T501" s="95"/>
      <c r="U501" s="95"/>
      <c r="V501" s="96"/>
      <c r="W501" s="96"/>
      <c r="X501" s="97"/>
      <c r="Y501" s="97"/>
      <c r="Z501" s="97"/>
      <c r="AA501" s="4"/>
      <c r="AB501" s="5"/>
    </row>
    <row r="502" spans="1:28" x14ac:dyDescent="0.2">
      <c r="A502" s="4"/>
      <c r="B502" s="90"/>
      <c r="C502" s="90"/>
      <c r="D502" s="90"/>
      <c r="E502" s="90"/>
      <c r="F502" s="90"/>
      <c r="G502" s="90"/>
      <c r="H502" s="90"/>
      <c r="I502" s="90"/>
      <c r="J502" s="90"/>
      <c r="K502" s="90"/>
      <c r="L502" s="90"/>
      <c r="M502" s="90"/>
      <c r="N502" s="91"/>
      <c r="O502" s="91"/>
      <c r="P502" s="91"/>
      <c r="Q502" s="91"/>
      <c r="R502" s="91"/>
      <c r="S502" s="91"/>
      <c r="T502" s="91"/>
      <c r="U502" s="91"/>
      <c r="V502" s="92"/>
      <c r="W502" s="92"/>
      <c r="X502" s="93"/>
      <c r="Y502" s="93"/>
      <c r="Z502" s="93"/>
      <c r="AA502" s="4"/>
      <c r="AB502" s="5"/>
    </row>
    <row r="503" spans="1:28" x14ac:dyDescent="0.2">
      <c r="A503" s="4"/>
      <c r="B503" s="94"/>
      <c r="C503" s="94"/>
      <c r="D503" s="94"/>
      <c r="E503" s="94"/>
      <c r="F503" s="94"/>
      <c r="G503" s="94"/>
      <c r="H503" s="94"/>
      <c r="I503" s="94"/>
      <c r="J503" s="94"/>
      <c r="K503" s="94"/>
      <c r="L503" s="94"/>
      <c r="M503" s="94"/>
      <c r="N503" s="95"/>
      <c r="O503" s="95"/>
      <c r="P503" s="95"/>
      <c r="Q503" s="95"/>
      <c r="R503" s="95"/>
      <c r="S503" s="95"/>
      <c r="T503" s="95"/>
      <c r="U503" s="95"/>
      <c r="V503" s="96"/>
      <c r="W503" s="96"/>
      <c r="X503" s="97"/>
      <c r="Y503" s="97"/>
      <c r="Z503" s="97"/>
      <c r="AA503" s="4"/>
      <c r="AB503" s="5"/>
    </row>
    <row r="504" spans="1:28" x14ac:dyDescent="0.2">
      <c r="A504" s="4"/>
      <c r="B504" s="90"/>
      <c r="C504" s="90"/>
      <c r="D504" s="90"/>
      <c r="E504" s="90"/>
      <c r="F504" s="90"/>
      <c r="G504" s="90"/>
      <c r="H504" s="90"/>
      <c r="I504" s="90"/>
      <c r="J504" s="90"/>
      <c r="K504" s="90"/>
      <c r="L504" s="90"/>
      <c r="M504" s="90"/>
      <c r="N504" s="91"/>
      <c r="O504" s="91"/>
      <c r="P504" s="91"/>
      <c r="Q504" s="91"/>
      <c r="R504" s="91"/>
      <c r="S504" s="91"/>
      <c r="T504" s="91"/>
      <c r="U504" s="91"/>
      <c r="V504" s="92"/>
      <c r="W504" s="92"/>
      <c r="X504" s="93"/>
      <c r="Y504" s="93"/>
      <c r="Z504" s="93"/>
      <c r="AA504" s="4"/>
      <c r="AB504" s="5"/>
    </row>
    <row r="505" spans="1:28" x14ac:dyDescent="0.2">
      <c r="A505" s="4"/>
      <c r="B505" s="94"/>
      <c r="C505" s="94"/>
      <c r="D505" s="94"/>
      <c r="E505" s="94"/>
      <c r="F505" s="94"/>
      <c r="G505" s="94"/>
      <c r="H505" s="94"/>
      <c r="I505" s="94"/>
      <c r="J505" s="94"/>
      <c r="K505" s="94"/>
      <c r="L505" s="94"/>
      <c r="M505" s="94"/>
      <c r="N505" s="95"/>
      <c r="O505" s="95"/>
      <c r="P505" s="95"/>
      <c r="Q505" s="95"/>
      <c r="R505" s="95"/>
      <c r="S505" s="95"/>
      <c r="T505" s="95"/>
      <c r="U505" s="95"/>
      <c r="V505" s="96"/>
      <c r="W505" s="96"/>
      <c r="X505" s="97"/>
      <c r="Y505" s="97"/>
      <c r="Z505" s="97"/>
      <c r="AA505" s="4"/>
      <c r="AB505" s="5"/>
    </row>
    <row r="506" spans="1:28" x14ac:dyDescent="0.2">
      <c r="A506" s="4"/>
      <c r="B506" s="90"/>
      <c r="C506" s="90"/>
      <c r="D506" s="90"/>
      <c r="E506" s="90"/>
      <c r="F506" s="90"/>
      <c r="G506" s="90"/>
      <c r="H506" s="90"/>
      <c r="I506" s="90"/>
      <c r="J506" s="90"/>
      <c r="K506" s="90"/>
      <c r="L506" s="90"/>
      <c r="M506" s="90"/>
      <c r="N506" s="91"/>
      <c r="O506" s="91"/>
      <c r="P506" s="91"/>
      <c r="Q506" s="91"/>
      <c r="R506" s="91"/>
      <c r="S506" s="91"/>
      <c r="T506" s="91"/>
      <c r="U506" s="91"/>
      <c r="V506" s="92"/>
      <c r="W506" s="92"/>
      <c r="X506" s="93"/>
      <c r="Y506" s="93"/>
      <c r="Z506" s="93"/>
      <c r="AA506" s="4"/>
      <c r="AB506" s="5"/>
    </row>
    <row r="507" spans="1:28" x14ac:dyDescent="0.2">
      <c r="A507" s="4"/>
      <c r="B507" s="94"/>
      <c r="C507" s="94"/>
      <c r="D507" s="94"/>
      <c r="E507" s="94"/>
      <c r="F507" s="94"/>
      <c r="G507" s="94"/>
      <c r="H507" s="94"/>
      <c r="I507" s="94"/>
      <c r="J507" s="94"/>
      <c r="K507" s="94"/>
      <c r="L507" s="94"/>
      <c r="M507" s="94"/>
      <c r="N507" s="95"/>
      <c r="O507" s="95"/>
      <c r="P507" s="95"/>
      <c r="Q507" s="95"/>
      <c r="R507" s="95"/>
      <c r="S507" s="95"/>
      <c r="T507" s="95"/>
      <c r="U507" s="95"/>
      <c r="V507" s="96"/>
      <c r="W507" s="96"/>
      <c r="X507" s="97"/>
      <c r="Y507" s="97"/>
      <c r="Z507" s="97"/>
      <c r="AA507" s="4"/>
      <c r="AB507" s="5"/>
    </row>
    <row r="508" spans="1:28" x14ac:dyDescent="0.2">
      <c r="A508" s="4"/>
      <c r="B508" s="90"/>
      <c r="C508" s="90"/>
      <c r="D508" s="90"/>
      <c r="E508" s="90"/>
      <c r="F508" s="90"/>
      <c r="G508" s="90"/>
      <c r="H508" s="90"/>
      <c r="I508" s="90"/>
      <c r="J508" s="90"/>
      <c r="K508" s="90"/>
      <c r="L508" s="90"/>
      <c r="M508" s="90"/>
      <c r="N508" s="91"/>
      <c r="O508" s="91"/>
      <c r="P508" s="91"/>
      <c r="Q508" s="91"/>
      <c r="R508" s="91"/>
      <c r="S508" s="91"/>
      <c r="T508" s="91"/>
      <c r="U508" s="91"/>
      <c r="V508" s="92"/>
      <c r="W508" s="92"/>
      <c r="X508" s="93"/>
      <c r="Y508" s="93"/>
      <c r="Z508" s="93"/>
      <c r="AA508" s="4"/>
      <c r="AB508" s="5"/>
    </row>
    <row r="509" spans="1:28" x14ac:dyDescent="0.2">
      <c r="A509" s="4"/>
      <c r="B509" s="94"/>
      <c r="C509" s="94"/>
      <c r="D509" s="94"/>
      <c r="E509" s="94"/>
      <c r="F509" s="94"/>
      <c r="G509" s="94"/>
      <c r="H509" s="94"/>
      <c r="I509" s="94"/>
      <c r="J509" s="94"/>
      <c r="K509" s="94"/>
      <c r="L509" s="94"/>
      <c r="M509" s="94"/>
      <c r="N509" s="95"/>
      <c r="O509" s="95"/>
      <c r="P509" s="95"/>
      <c r="Q509" s="95"/>
      <c r="R509" s="95"/>
      <c r="S509" s="95"/>
      <c r="T509" s="95"/>
      <c r="U509" s="95"/>
      <c r="V509" s="96"/>
      <c r="W509" s="96"/>
      <c r="X509" s="97"/>
      <c r="Y509" s="97"/>
      <c r="Z509" s="97"/>
      <c r="AA509" s="4"/>
      <c r="AB509" s="5"/>
    </row>
    <row r="510" spans="1:28" x14ac:dyDescent="0.2">
      <c r="A510" s="4"/>
      <c r="B510" s="90"/>
      <c r="C510" s="90"/>
      <c r="D510" s="90"/>
      <c r="E510" s="90"/>
      <c r="F510" s="90"/>
      <c r="G510" s="90"/>
      <c r="H510" s="90"/>
      <c r="I510" s="90"/>
      <c r="J510" s="90"/>
      <c r="K510" s="90"/>
      <c r="L510" s="90"/>
      <c r="M510" s="90"/>
      <c r="N510" s="91"/>
      <c r="O510" s="91"/>
      <c r="P510" s="91"/>
      <c r="Q510" s="91"/>
      <c r="R510" s="91"/>
      <c r="S510" s="91"/>
      <c r="T510" s="91"/>
      <c r="U510" s="91"/>
      <c r="V510" s="92"/>
      <c r="W510" s="92"/>
      <c r="X510" s="93"/>
      <c r="Y510" s="93"/>
      <c r="Z510" s="93"/>
      <c r="AA510" s="4"/>
      <c r="AB510" s="5"/>
    </row>
    <row r="511" spans="1:28" x14ac:dyDescent="0.2">
      <c r="A511" s="4"/>
      <c r="B511" s="94"/>
      <c r="C511" s="94"/>
      <c r="D511" s="94"/>
      <c r="E511" s="94"/>
      <c r="F511" s="94"/>
      <c r="G511" s="94"/>
      <c r="H511" s="94"/>
      <c r="I511" s="94"/>
      <c r="J511" s="94"/>
      <c r="K511" s="94"/>
      <c r="L511" s="94"/>
      <c r="M511" s="94"/>
      <c r="N511" s="95"/>
      <c r="O511" s="95"/>
      <c r="P511" s="95"/>
      <c r="Q511" s="95"/>
      <c r="R511" s="95"/>
      <c r="S511" s="95"/>
      <c r="T511" s="95"/>
      <c r="U511" s="95"/>
      <c r="V511" s="96"/>
      <c r="W511" s="96"/>
      <c r="X511" s="97"/>
      <c r="Y511" s="97"/>
      <c r="Z511" s="97"/>
      <c r="AA511" s="4"/>
      <c r="AB511" s="5"/>
    </row>
    <row r="512" spans="1:28" x14ac:dyDescent="0.2">
      <c r="A512" s="4"/>
      <c r="B512" s="90"/>
      <c r="C512" s="90"/>
      <c r="D512" s="90"/>
      <c r="E512" s="90"/>
      <c r="F512" s="90"/>
      <c r="G512" s="90"/>
      <c r="H512" s="90"/>
      <c r="I512" s="90"/>
      <c r="J512" s="90"/>
      <c r="K512" s="90"/>
      <c r="L512" s="90"/>
      <c r="M512" s="90"/>
      <c r="N512" s="91"/>
      <c r="O512" s="91"/>
      <c r="P512" s="91"/>
      <c r="Q512" s="91"/>
      <c r="R512" s="91"/>
      <c r="S512" s="91"/>
      <c r="T512" s="91"/>
      <c r="U512" s="91"/>
      <c r="V512" s="92"/>
      <c r="W512" s="92"/>
      <c r="X512" s="93"/>
      <c r="Y512" s="93"/>
      <c r="Z512" s="93"/>
      <c r="AA512" s="4"/>
      <c r="AB512" s="5"/>
    </row>
    <row r="513" spans="1:28" x14ac:dyDescent="0.2">
      <c r="A513" s="4"/>
      <c r="B513" s="94"/>
      <c r="C513" s="94"/>
      <c r="D513" s="94"/>
      <c r="E513" s="94"/>
      <c r="F513" s="94"/>
      <c r="G513" s="94"/>
      <c r="H513" s="94"/>
      <c r="I513" s="94"/>
      <c r="J513" s="94"/>
      <c r="K513" s="94"/>
      <c r="L513" s="94"/>
      <c r="M513" s="94"/>
      <c r="N513" s="95"/>
      <c r="O513" s="95"/>
      <c r="P513" s="95"/>
      <c r="Q513" s="95"/>
      <c r="R513" s="95"/>
      <c r="S513" s="95"/>
      <c r="T513" s="95"/>
      <c r="U513" s="95"/>
      <c r="V513" s="96"/>
      <c r="W513" s="96"/>
      <c r="X513" s="97"/>
      <c r="Y513" s="97"/>
      <c r="Z513" s="97"/>
      <c r="AA513" s="4"/>
      <c r="AB513" s="5"/>
    </row>
    <row r="514" spans="1:28" x14ac:dyDescent="0.2">
      <c r="A514" s="4"/>
      <c r="B514" s="90"/>
      <c r="C514" s="90"/>
      <c r="D514" s="90"/>
      <c r="E514" s="90"/>
      <c r="F514" s="90"/>
      <c r="G514" s="90"/>
      <c r="H514" s="90"/>
      <c r="I514" s="90"/>
      <c r="J514" s="90"/>
      <c r="K514" s="90"/>
      <c r="L514" s="90"/>
      <c r="M514" s="90"/>
      <c r="N514" s="91"/>
      <c r="O514" s="91"/>
      <c r="P514" s="91"/>
      <c r="Q514" s="91"/>
      <c r="R514" s="91"/>
      <c r="S514" s="91"/>
      <c r="T514" s="91"/>
      <c r="U514" s="91"/>
      <c r="V514" s="92"/>
      <c r="W514" s="92"/>
      <c r="X514" s="93"/>
      <c r="Y514" s="93"/>
      <c r="Z514" s="93"/>
      <c r="AA514" s="4"/>
      <c r="AB514" s="5"/>
    </row>
    <row r="515" spans="1:28" x14ac:dyDescent="0.2">
      <c r="A515" s="4"/>
      <c r="B515" s="94"/>
      <c r="C515" s="94"/>
      <c r="D515" s="94"/>
      <c r="E515" s="94"/>
      <c r="F515" s="94"/>
      <c r="G515" s="94"/>
      <c r="H515" s="94"/>
      <c r="I515" s="94"/>
      <c r="J515" s="94"/>
      <c r="K515" s="94"/>
      <c r="L515" s="94"/>
      <c r="M515" s="94"/>
      <c r="N515" s="95"/>
      <c r="O515" s="95"/>
      <c r="P515" s="95"/>
      <c r="Q515" s="95"/>
      <c r="R515" s="95"/>
      <c r="S515" s="95"/>
      <c r="T515" s="95"/>
      <c r="U515" s="95"/>
      <c r="V515" s="96"/>
      <c r="W515" s="96"/>
      <c r="X515" s="97"/>
      <c r="Y515" s="97"/>
      <c r="Z515" s="97"/>
      <c r="AA515" s="4"/>
      <c r="AB515" s="5"/>
    </row>
    <row r="516" spans="1:28" x14ac:dyDescent="0.2">
      <c r="A516" s="4"/>
      <c r="B516" s="90"/>
      <c r="C516" s="90"/>
      <c r="D516" s="90"/>
      <c r="E516" s="90"/>
      <c r="F516" s="90"/>
      <c r="G516" s="90"/>
      <c r="H516" s="90"/>
      <c r="I516" s="90"/>
      <c r="J516" s="90"/>
      <c r="K516" s="90"/>
      <c r="L516" s="90"/>
      <c r="M516" s="90"/>
      <c r="N516" s="91"/>
      <c r="O516" s="91"/>
      <c r="P516" s="91"/>
      <c r="Q516" s="91"/>
      <c r="R516" s="91"/>
      <c r="S516" s="91"/>
      <c r="T516" s="91"/>
      <c r="U516" s="91"/>
      <c r="V516" s="92"/>
      <c r="W516" s="92"/>
      <c r="X516" s="93"/>
      <c r="Y516" s="93"/>
      <c r="Z516" s="93"/>
      <c r="AA516" s="4"/>
      <c r="AB516" s="5"/>
    </row>
    <row r="517" spans="1:28" x14ac:dyDescent="0.2">
      <c r="A517" s="4"/>
      <c r="B517" s="94"/>
      <c r="C517" s="94"/>
      <c r="D517" s="94"/>
      <c r="E517" s="94"/>
      <c r="F517" s="94"/>
      <c r="G517" s="94"/>
      <c r="H517" s="94"/>
      <c r="I517" s="94"/>
      <c r="J517" s="94"/>
      <c r="K517" s="94"/>
      <c r="L517" s="94"/>
      <c r="M517" s="94"/>
      <c r="N517" s="95"/>
      <c r="O517" s="95"/>
      <c r="P517" s="95"/>
      <c r="Q517" s="95"/>
      <c r="R517" s="95"/>
      <c r="S517" s="95"/>
      <c r="T517" s="95"/>
      <c r="U517" s="95"/>
      <c r="V517" s="96"/>
      <c r="W517" s="96"/>
      <c r="X517" s="97"/>
      <c r="Y517" s="97"/>
      <c r="Z517" s="97"/>
      <c r="AA517" s="4"/>
      <c r="AB517" s="5"/>
    </row>
    <row r="518" spans="1:28" x14ac:dyDescent="0.2">
      <c r="A518" s="4"/>
      <c r="B518" s="90"/>
      <c r="C518" s="90"/>
      <c r="D518" s="90"/>
      <c r="E518" s="90"/>
      <c r="F518" s="90"/>
      <c r="G518" s="90"/>
      <c r="H518" s="90"/>
      <c r="I518" s="90"/>
      <c r="J518" s="90"/>
      <c r="K518" s="90"/>
      <c r="L518" s="90"/>
      <c r="M518" s="90"/>
      <c r="N518" s="91"/>
      <c r="O518" s="91"/>
      <c r="P518" s="91"/>
      <c r="Q518" s="91"/>
      <c r="R518" s="91"/>
      <c r="S518" s="91"/>
      <c r="T518" s="91"/>
      <c r="U518" s="91"/>
      <c r="V518" s="92"/>
      <c r="W518" s="92"/>
      <c r="X518" s="93"/>
      <c r="Y518" s="93"/>
      <c r="Z518" s="93"/>
      <c r="AA518" s="4"/>
      <c r="AB518" s="5"/>
    </row>
    <row r="519" spans="1:28" x14ac:dyDescent="0.2">
      <c r="A519" s="4"/>
      <c r="B519" s="94"/>
      <c r="C519" s="94"/>
      <c r="D519" s="94"/>
      <c r="E519" s="94"/>
      <c r="F519" s="94"/>
      <c r="G519" s="94"/>
      <c r="H519" s="94"/>
      <c r="I519" s="94"/>
      <c r="J519" s="94"/>
      <c r="K519" s="94"/>
      <c r="L519" s="94"/>
      <c r="M519" s="94"/>
      <c r="N519" s="95"/>
      <c r="O519" s="95"/>
      <c r="P519" s="95"/>
      <c r="Q519" s="95"/>
      <c r="R519" s="95"/>
      <c r="S519" s="95"/>
      <c r="T519" s="95"/>
      <c r="U519" s="95"/>
      <c r="V519" s="96"/>
      <c r="W519" s="96"/>
      <c r="X519" s="97"/>
      <c r="Y519" s="97"/>
      <c r="Z519" s="97"/>
      <c r="AA519" s="4"/>
      <c r="AB519" s="5"/>
    </row>
    <row r="520" spans="1:28" x14ac:dyDescent="0.2">
      <c r="A520" s="4"/>
      <c r="B520" s="90"/>
      <c r="C520" s="90"/>
      <c r="D520" s="90"/>
      <c r="E520" s="90"/>
      <c r="F520" s="90"/>
      <c r="G520" s="90"/>
      <c r="H520" s="90"/>
      <c r="I520" s="90"/>
      <c r="J520" s="90"/>
      <c r="K520" s="90"/>
      <c r="L520" s="90"/>
      <c r="M520" s="90"/>
      <c r="N520" s="91"/>
      <c r="O520" s="91"/>
      <c r="P520" s="91"/>
      <c r="Q520" s="91"/>
      <c r="R520" s="91"/>
      <c r="S520" s="91"/>
      <c r="T520" s="91"/>
      <c r="U520" s="91"/>
      <c r="V520" s="92"/>
      <c r="W520" s="92"/>
      <c r="X520" s="93"/>
      <c r="Y520" s="93"/>
      <c r="Z520" s="93"/>
      <c r="AA520" s="4"/>
      <c r="AB520" s="5"/>
    </row>
    <row r="521" spans="1:28" x14ac:dyDescent="0.2">
      <c r="A521" s="4"/>
      <c r="B521" s="94"/>
      <c r="C521" s="94"/>
      <c r="D521" s="94"/>
      <c r="E521" s="94"/>
      <c r="F521" s="94"/>
      <c r="G521" s="94"/>
      <c r="H521" s="94"/>
      <c r="I521" s="94"/>
      <c r="J521" s="94"/>
      <c r="K521" s="94"/>
      <c r="L521" s="94"/>
      <c r="M521" s="94"/>
      <c r="N521" s="95"/>
      <c r="O521" s="95"/>
      <c r="P521" s="95"/>
      <c r="Q521" s="95"/>
      <c r="R521" s="95"/>
      <c r="S521" s="95"/>
      <c r="T521" s="95"/>
      <c r="U521" s="95"/>
      <c r="V521" s="96"/>
      <c r="W521" s="96"/>
      <c r="X521" s="97"/>
      <c r="Y521" s="97"/>
      <c r="Z521" s="97"/>
      <c r="AA521" s="4"/>
      <c r="AB521" s="5"/>
    </row>
    <row r="522" spans="1:28" x14ac:dyDescent="0.2">
      <c r="A522" s="4"/>
      <c r="B522" s="90"/>
      <c r="C522" s="90"/>
      <c r="D522" s="90"/>
      <c r="E522" s="90"/>
      <c r="F522" s="90"/>
      <c r="G522" s="90"/>
      <c r="H522" s="90"/>
      <c r="I522" s="90"/>
      <c r="J522" s="90"/>
      <c r="K522" s="90"/>
      <c r="L522" s="90"/>
      <c r="M522" s="90"/>
      <c r="N522" s="91"/>
      <c r="O522" s="91"/>
      <c r="P522" s="91"/>
      <c r="Q522" s="91"/>
      <c r="R522" s="91"/>
      <c r="S522" s="91"/>
      <c r="T522" s="91"/>
      <c r="U522" s="91"/>
      <c r="V522" s="92"/>
      <c r="W522" s="92"/>
      <c r="X522" s="93"/>
      <c r="Y522" s="93"/>
      <c r="Z522" s="93"/>
      <c r="AA522" s="4"/>
      <c r="AB522" s="5"/>
    </row>
    <row r="523" spans="1:28" x14ac:dyDescent="0.2">
      <c r="A523" s="4"/>
      <c r="B523" s="94"/>
      <c r="C523" s="94"/>
      <c r="D523" s="94"/>
      <c r="E523" s="94"/>
      <c r="F523" s="94"/>
      <c r="G523" s="94"/>
      <c r="H523" s="94"/>
      <c r="I523" s="94"/>
      <c r="J523" s="94"/>
      <c r="K523" s="94"/>
      <c r="L523" s="94"/>
      <c r="M523" s="94"/>
      <c r="N523" s="95"/>
      <c r="O523" s="95"/>
      <c r="P523" s="95"/>
      <c r="Q523" s="95"/>
      <c r="R523" s="95"/>
      <c r="S523" s="95"/>
      <c r="T523" s="95"/>
      <c r="U523" s="95"/>
      <c r="V523" s="96"/>
      <c r="W523" s="96"/>
      <c r="X523" s="97"/>
      <c r="Y523" s="97"/>
      <c r="Z523" s="97"/>
      <c r="AA523" s="4"/>
      <c r="AB523" s="5"/>
    </row>
    <row r="524" spans="1:28" x14ac:dyDescent="0.2">
      <c r="A524" s="4"/>
      <c r="B524" s="90"/>
      <c r="C524" s="90"/>
      <c r="D524" s="90"/>
      <c r="E524" s="90"/>
      <c r="F524" s="90"/>
      <c r="G524" s="90"/>
      <c r="H524" s="90"/>
      <c r="I524" s="90"/>
      <c r="J524" s="90"/>
      <c r="K524" s="90"/>
      <c r="L524" s="90"/>
      <c r="M524" s="90"/>
      <c r="N524" s="91"/>
      <c r="O524" s="91"/>
      <c r="P524" s="91"/>
      <c r="Q524" s="91"/>
      <c r="R524" s="91"/>
      <c r="S524" s="91"/>
      <c r="T524" s="91"/>
      <c r="U524" s="91"/>
      <c r="V524" s="92"/>
      <c r="W524" s="92"/>
      <c r="X524" s="93"/>
      <c r="Y524" s="93"/>
      <c r="Z524" s="93"/>
      <c r="AA524" s="4"/>
      <c r="AB524" s="5"/>
    </row>
    <row r="525" spans="1:28" x14ac:dyDescent="0.2">
      <c r="A525" s="4"/>
      <c r="B525" s="94"/>
      <c r="C525" s="94"/>
      <c r="D525" s="94"/>
      <c r="E525" s="94"/>
      <c r="F525" s="94"/>
      <c r="G525" s="94"/>
      <c r="H525" s="94"/>
      <c r="I525" s="94"/>
      <c r="J525" s="94"/>
      <c r="K525" s="94"/>
      <c r="L525" s="94"/>
      <c r="M525" s="94"/>
      <c r="N525" s="95"/>
      <c r="O525" s="95"/>
      <c r="P525" s="95"/>
      <c r="Q525" s="95"/>
      <c r="R525" s="95"/>
      <c r="S525" s="95"/>
      <c r="T525" s="95"/>
      <c r="U525" s="95"/>
      <c r="V525" s="96"/>
      <c r="W525" s="96"/>
      <c r="X525" s="97"/>
      <c r="Y525" s="97"/>
      <c r="Z525" s="97"/>
      <c r="AA525" s="4"/>
      <c r="AB525" s="5"/>
    </row>
    <row r="526" spans="1:28" x14ac:dyDescent="0.2">
      <c r="A526" s="4"/>
      <c r="B526" s="90"/>
      <c r="C526" s="90"/>
      <c r="D526" s="90"/>
      <c r="E526" s="90"/>
      <c r="F526" s="90"/>
      <c r="G526" s="90"/>
      <c r="H526" s="90"/>
      <c r="I526" s="90"/>
      <c r="J526" s="90"/>
      <c r="K526" s="90"/>
      <c r="L526" s="90"/>
      <c r="M526" s="90"/>
      <c r="N526" s="91"/>
      <c r="O526" s="91"/>
      <c r="P526" s="91"/>
      <c r="Q526" s="91"/>
      <c r="R526" s="91"/>
      <c r="S526" s="91"/>
      <c r="T526" s="91"/>
      <c r="U526" s="91"/>
      <c r="V526" s="92"/>
      <c r="W526" s="92"/>
      <c r="X526" s="93"/>
      <c r="Y526" s="93"/>
      <c r="Z526" s="93"/>
      <c r="AA526" s="4"/>
      <c r="AB526" s="5"/>
    </row>
    <row r="527" spans="1:28" x14ac:dyDescent="0.2">
      <c r="A527" s="4"/>
      <c r="B527" s="94"/>
      <c r="C527" s="94"/>
      <c r="D527" s="94"/>
      <c r="E527" s="94"/>
      <c r="F527" s="94"/>
      <c r="G527" s="94"/>
      <c r="H527" s="94"/>
      <c r="I527" s="94"/>
      <c r="J527" s="94"/>
      <c r="K527" s="94"/>
      <c r="L527" s="94"/>
      <c r="M527" s="94"/>
      <c r="N527" s="95"/>
      <c r="O527" s="95"/>
      <c r="P527" s="95"/>
      <c r="Q527" s="95"/>
      <c r="R527" s="95"/>
      <c r="S527" s="95"/>
      <c r="T527" s="95"/>
      <c r="U527" s="95"/>
      <c r="V527" s="96"/>
      <c r="W527" s="96"/>
      <c r="X527" s="97"/>
      <c r="Y527" s="97"/>
      <c r="Z527" s="97"/>
      <c r="AA527" s="4"/>
      <c r="AB527" s="5"/>
    </row>
    <row r="528" spans="1:28" x14ac:dyDescent="0.2">
      <c r="A528" s="4"/>
      <c r="B528" s="90"/>
      <c r="C528" s="90"/>
      <c r="D528" s="90"/>
      <c r="E528" s="90"/>
      <c r="F528" s="90"/>
      <c r="G528" s="90"/>
      <c r="H528" s="90"/>
      <c r="I528" s="90"/>
      <c r="J528" s="90"/>
      <c r="K528" s="90"/>
      <c r="L528" s="90"/>
      <c r="M528" s="90"/>
      <c r="N528" s="91"/>
      <c r="O528" s="91"/>
      <c r="P528" s="91"/>
      <c r="Q528" s="91"/>
      <c r="R528" s="91"/>
      <c r="S528" s="91"/>
      <c r="T528" s="91"/>
      <c r="U528" s="91"/>
      <c r="V528" s="92"/>
      <c r="W528" s="92"/>
      <c r="X528" s="93"/>
      <c r="Y528" s="93"/>
      <c r="Z528" s="93"/>
      <c r="AA528" s="4"/>
      <c r="AB528" s="5"/>
    </row>
    <row r="529" spans="1:28" x14ac:dyDescent="0.2">
      <c r="A529" s="4"/>
      <c r="B529" s="94"/>
      <c r="C529" s="94"/>
      <c r="D529" s="94"/>
      <c r="E529" s="94"/>
      <c r="F529" s="94"/>
      <c r="G529" s="94"/>
      <c r="H529" s="94"/>
      <c r="I529" s="94"/>
      <c r="J529" s="94"/>
      <c r="K529" s="94"/>
      <c r="L529" s="94"/>
      <c r="M529" s="94"/>
      <c r="N529" s="95"/>
      <c r="O529" s="95"/>
      <c r="P529" s="95"/>
      <c r="Q529" s="95"/>
      <c r="R529" s="95"/>
      <c r="S529" s="95"/>
      <c r="T529" s="95"/>
      <c r="U529" s="95"/>
      <c r="V529" s="96"/>
      <c r="W529" s="96"/>
      <c r="X529" s="97"/>
      <c r="Y529" s="97"/>
      <c r="Z529" s="97"/>
      <c r="AA529" s="4"/>
      <c r="AB529" s="5"/>
    </row>
    <row r="530" spans="1:28" x14ac:dyDescent="0.2">
      <c r="A530" s="4"/>
      <c r="B530" s="90"/>
      <c r="C530" s="90"/>
      <c r="D530" s="90"/>
      <c r="E530" s="90"/>
      <c r="F530" s="90"/>
      <c r="G530" s="90"/>
      <c r="H530" s="90"/>
      <c r="I530" s="90"/>
      <c r="J530" s="90"/>
      <c r="K530" s="90"/>
      <c r="L530" s="90"/>
      <c r="M530" s="90"/>
      <c r="N530" s="91"/>
      <c r="O530" s="91"/>
      <c r="P530" s="91"/>
      <c r="Q530" s="91"/>
      <c r="R530" s="91"/>
      <c r="S530" s="91"/>
      <c r="T530" s="91"/>
      <c r="U530" s="91"/>
      <c r="V530" s="92"/>
      <c r="W530" s="92"/>
      <c r="X530" s="93"/>
      <c r="Y530" s="93"/>
      <c r="Z530" s="93"/>
      <c r="AA530" s="4"/>
      <c r="AB530" s="5"/>
    </row>
    <row r="531" spans="1:28" x14ac:dyDescent="0.2">
      <c r="A531" s="4"/>
      <c r="B531" s="94"/>
      <c r="C531" s="94"/>
      <c r="D531" s="94"/>
      <c r="E531" s="94"/>
      <c r="F531" s="94"/>
      <c r="G531" s="94"/>
      <c r="H531" s="94"/>
      <c r="I531" s="94"/>
      <c r="J531" s="94"/>
      <c r="K531" s="94"/>
      <c r="L531" s="94"/>
      <c r="M531" s="94"/>
      <c r="N531" s="95"/>
      <c r="O531" s="95"/>
      <c r="P531" s="95"/>
      <c r="Q531" s="95"/>
      <c r="R531" s="95"/>
      <c r="S531" s="95"/>
      <c r="T531" s="95"/>
      <c r="U531" s="95"/>
      <c r="V531" s="96"/>
      <c r="W531" s="96"/>
      <c r="X531" s="97"/>
      <c r="Y531" s="97"/>
      <c r="Z531" s="97"/>
      <c r="AA531" s="4"/>
      <c r="AB531" s="5"/>
    </row>
    <row r="532" spans="1:28" x14ac:dyDescent="0.2">
      <c r="A532" s="4"/>
      <c r="B532" s="90"/>
      <c r="C532" s="90"/>
      <c r="D532" s="90"/>
      <c r="E532" s="90"/>
      <c r="F532" s="90"/>
      <c r="G532" s="90"/>
      <c r="H532" s="90"/>
      <c r="I532" s="90"/>
      <c r="J532" s="90"/>
      <c r="K532" s="90"/>
      <c r="L532" s="90"/>
      <c r="M532" s="90"/>
      <c r="N532" s="91"/>
      <c r="O532" s="91"/>
      <c r="P532" s="91"/>
      <c r="Q532" s="91"/>
      <c r="R532" s="91"/>
      <c r="S532" s="91"/>
      <c r="T532" s="91"/>
      <c r="U532" s="91"/>
      <c r="V532" s="92"/>
      <c r="W532" s="92"/>
      <c r="X532" s="93"/>
      <c r="Y532" s="93"/>
      <c r="Z532" s="93"/>
      <c r="AA532" s="4"/>
      <c r="AB532" s="5"/>
    </row>
    <row r="533" spans="1:28" x14ac:dyDescent="0.2">
      <c r="A533" s="4"/>
      <c r="B533" s="94"/>
      <c r="C533" s="94"/>
      <c r="D533" s="94"/>
      <c r="E533" s="94"/>
      <c r="F533" s="94"/>
      <c r="G533" s="94"/>
      <c r="H533" s="94"/>
      <c r="I533" s="94"/>
      <c r="J533" s="94"/>
      <c r="K533" s="94"/>
      <c r="L533" s="94"/>
      <c r="M533" s="94"/>
      <c r="N533" s="95"/>
      <c r="O533" s="95"/>
      <c r="P533" s="95"/>
      <c r="Q533" s="95"/>
      <c r="R533" s="95"/>
      <c r="S533" s="95"/>
      <c r="T533" s="95"/>
      <c r="U533" s="95"/>
      <c r="V533" s="96"/>
      <c r="W533" s="96"/>
      <c r="X533" s="97"/>
      <c r="Y533" s="97"/>
      <c r="Z533" s="97"/>
      <c r="AA533" s="4"/>
      <c r="AB533" s="5"/>
    </row>
    <row r="534" spans="1:28" x14ac:dyDescent="0.2">
      <c r="A534" s="4"/>
      <c r="B534" s="90"/>
      <c r="C534" s="90"/>
      <c r="D534" s="90"/>
      <c r="E534" s="90"/>
      <c r="F534" s="90"/>
      <c r="G534" s="90"/>
      <c r="H534" s="90"/>
      <c r="I534" s="90"/>
      <c r="J534" s="90"/>
      <c r="K534" s="90"/>
      <c r="L534" s="90"/>
      <c r="M534" s="90"/>
      <c r="N534" s="91"/>
      <c r="O534" s="91"/>
      <c r="P534" s="91"/>
      <c r="Q534" s="91"/>
      <c r="R534" s="91"/>
      <c r="S534" s="91"/>
      <c r="T534" s="91"/>
      <c r="U534" s="91"/>
      <c r="V534" s="92"/>
      <c r="W534" s="92"/>
      <c r="X534" s="93"/>
      <c r="Y534" s="93"/>
      <c r="Z534" s="93"/>
      <c r="AA534" s="4"/>
      <c r="AB534" s="5"/>
    </row>
    <row r="535" spans="1:28" x14ac:dyDescent="0.2">
      <c r="A535" s="4"/>
      <c r="B535" s="94"/>
      <c r="C535" s="94"/>
      <c r="D535" s="94"/>
      <c r="E535" s="94"/>
      <c r="F535" s="94"/>
      <c r="G535" s="94"/>
      <c r="H535" s="94"/>
      <c r="I535" s="94"/>
      <c r="J535" s="94"/>
      <c r="K535" s="94"/>
      <c r="L535" s="94"/>
      <c r="M535" s="94"/>
      <c r="N535" s="95"/>
      <c r="O535" s="95"/>
      <c r="P535" s="95"/>
      <c r="Q535" s="95"/>
      <c r="R535" s="95"/>
      <c r="S535" s="95"/>
      <c r="T535" s="95"/>
      <c r="U535" s="95"/>
      <c r="V535" s="96"/>
      <c r="W535" s="96"/>
      <c r="X535" s="97"/>
      <c r="Y535" s="97"/>
      <c r="Z535" s="97"/>
      <c r="AA535" s="4"/>
      <c r="AB535" s="5"/>
    </row>
    <row r="536" spans="1:28" x14ac:dyDescent="0.2">
      <c r="A536" s="4"/>
      <c r="B536" s="90"/>
      <c r="C536" s="90"/>
      <c r="D536" s="90"/>
      <c r="E536" s="90"/>
      <c r="F536" s="90"/>
      <c r="G536" s="90"/>
      <c r="H536" s="90"/>
      <c r="I536" s="90"/>
      <c r="J536" s="90"/>
      <c r="K536" s="90"/>
      <c r="L536" s="90"/>
      <c r="M536" s="90"/>
      <c r="N536" s="91"/>
      <c r="O536" s="91"/>
      <c r="P536" s="91"/>
      <c r="Q536" s="91"/>
      <c r="R536" s="91"/>
      <c r="S536" s="91"/>
      <c r="T536" s="91"/>
      <c r="U536" s="91"/>
      <c r="V536" s="92"/>
      <c r="W536" s="92"/>
      <c r="X536" s="93"/>
      <c r="Y536" s="93"/>
      <c r="Z536" s="93"/>
      <c r="AA536" s="4"/>
      <c r="AB536" s="5"/>
    </row>
    <row r="537" spans="1:28" x14ac:dyDescent="0.2">
      <c r="A537" s="4"/>
      <c r="B537" s="94"/>
      <c r="C537" s="94"/>
      <c r="D537" s="94"/>
      <c r="E537" s="94"/>
      <c r="F537" s="94"/>
      <c r="G537" s="94"/>
      <c r="H537" s="94"/>
      <c r="I537" s="94"/>
      <c r="J537" s="94"/>
      <c r="K537" s="94"/>
      <c r="L537" s="94"/>
      <c r="M537" s="94"/>
      <c r="N537" s="95"/>
      <c r="O537" s="95"/>
      <c r="P537" s="95"/>
      <c r="Q537" s="95"/>
      <c r="R537" s="95"/>
      <c r="S537" s="95"/>
      <c r="T537" s="95"/>
      <c r="U537" s="95"/>
      <c r="V537" s="96"/>
      <c r="W537" s="96"/>
      <c r="X537" s="97"/>
      <c r="Y537" s="97"/>
      <c r="Z537" s="97"/>
      <c r="AA537" s="4"/>
      <c r="AB537" s="5"/>
    </row>
    <row r="538" spans="1:28" x14ac:dyDescent="0.2">
      <c r="A538" s="4"/>
      <c r="B538" s="90"/>
      <c r="C538" s="90"/>
      <c r="D538" s="90"/>
      <c r="E538" s="90"/>
      <c r="F538" s="90"/>
      <c r="G538" s="90"/>
      <c r="H538" s="90"/>
      <c r="I538" s="90"/>
      <c r="J538" s="90"/>
      <c r="K538" s="90"/>
      <c r="L538" s="90"/>
      <c r="M538" s="90"/>
      <c r="N538" s="91"/>
      <c r="O538" s="91"/>
      <c r="P538" s="91"/>
      <c r="Q538" s="91"/>
      <c r="R538" s="91"/>
      <c r="S538" s="91"/>
      <c r="T538" s="91"/>
      <c r="U538" s="91"/>
      <c r="V538" s="92"/>
      <c r="W538" s="92"/>
      <c r="X538" s="93"/>
      <c r="Y538" s="93"/>
      <c r="Z538" s="93"/>
      <c r="AA538" s="4"/>
      <c r="AB538" s="5"/>
    </row>
    <row r="539" spans="1:28" x14ac:dyDescent="0.2">
      <c r="A539" s="4"/>
      <c r="B539" s="94"/>
      <c r="C539" s="94"/>
      <c r="D539" s="94"/>
      <c r="E539" s="94"/>
      <c r="F539" s="94"/>
      <c r="G539" s="94"/>
      <c r="H539" s="94"/>
      <c r="I539" s="94"/>
      <c r="J539" s="94"/>
      <c r="K539" s="94"/>
      <c r="L539" s="94"/>
      <c r="M539" s="94"/>
      <c r="N539" s="95"/>
      <c r="O539" s="95"/>
      <c r="P539" s="95"/>
      <c r="Q539" s="95"/>
      <c r="R539" s="95"/>
      <c r="S539" s="95"/>
      <c r="T539" s="95"/>
      <c r="U539" s="95"/>
      <c r="V539" s="96"/>
      <c r="W539" s="96"/>
      <c r="X539" s="97"/>
      <c r="Y539" s="97"/>
      <c r="Z539" s="97"/>
      <c r="AA539" s="4"/>
      <c r="AB539" s="5"/>
    </row>
    <row r="540" spans="1:28" x14ac:dyDescent="0.2">
      <c r="A540" s="4"/>
      <c r="B540" s="90"/>
      <c r="C540" s="90"/>
      <c r="D540" s="90"/>
      <c r="E540" s="90"/>
      <c r="F540" s="90"/>
      <c r="G540" s="90"/>
      <c r="H540" s="90"/>
      <c r="I540" s="90"/>
      <c r="J540" s="90"/>
      <c r="K540" s="90"/>
      <c r="L540" s="90"/>
      <c r="M540" s="90"/>
      <c r="N540" s="91"/>
      <c r="O540" s="91"/>
      <c r="P540" s="91"/>
      <c r="Q540" s="91"/>
      <c r="R540" s="91"/>
      <c r="S540" s="91"/>
      <c r="T540" s="91"/>
      <c r="U540" s="91"/>
      <c r="V540" s="92"/>
      <c r="W540" s="92"/>
      <c r="X540" s="93"/>
      <c r="Y540" s="93"/>
      <c r="Z540" s="93"/>
      <c r="AA540" s="4"/>
      <c r="AB540" s="5"/>
    </row>
    <row r="541" spans="1:28" x14ac:dyDescent="0.2">
      <c r="A541" s="4"/>
      <c r="B541" s="94"/>
      <c r="C541" s="94"/>
      <c r="D541" s="94"/>
      <c r="E541" s="94"/>
      <c r="F541" s="94"/>
      <c r="G541" s="94"/>
      <c r="H541" s="94"/>
      <c r="I541" s="94"/>
      <c r="J541" s="94"/>
      <c r="K541" s="94"/>
      <c r="L541" s="94"/>
      <c r="M541" s="94"/>
      <c r="N541" s="95"/>
      <c r="O541" s="95"/>
      <c r="P541" s="95"/>
      <c r="Q541" s="95"/>
      <c r="R541" s="95"/>
      <c r="S541" s="95"/>
      <c r="T541" s="95"/>
      <c r="U541" s="95"/>
      <c r="V541" s="96"/>
      <c r="W541" s="96"/>
      <c r="X541" s="97"/>
      <c r="Y541" s="97"/>
      <c r="Z541" s="97"/>
      <c r="AA541" s="4"/>
      <c r="AB541" s="5"/>
    </row>
    <row r="542" spans="1:28" x14ac:dyDescent="0.2">
      <c r="A542" s="4"/>
      <c r="B542" s="90"/>
      <c r="C542" s="90"/>
      <c r="D542" s="90"/>
      <c r="E542" s="90"/>
      <c r="F542" s="90"/>
      <c r="G542" s="90"/>
      <c r="H542" s="90"/>
      <c r="I542" s="90"/>
      <c r="J542" s="90"/>
      <c r="K542" s="90"/>
      <c r="L542" s="90"/>
      <c r="M542" s="90"/>
      <c r="N542" s="91"/>
      <c r="O542" s="91"/>
      <c r="P542" s="91"/>
      <c r="Q542" s="91"/>
      <c r="R542" s="91"/>
      <c r="S542" s="91"/>
      <c r="T542" s="91"/>
      <c r="U542" s="91"/>
      <c r="V542" s="92"/>
      <c r="W542" s="92"/>
      <c r="X542" s="93"/>
      <c r="Y542" s="93"/>
      <c r="Z542" s="93"/>
      <c r="AA542" s="4"/>
      <c r="AB542" s="5"/>
    </row>
    <row r="543" spans="1:28" x14ac:dyDescent="0.2">
      <c r="A543" s="4"/>
      <c r="B543" s="94"/>
      <c r="C543" s="94"/>
      <c r="D543" s="94"/>
      <c r="E543" s="94"/>
      <c r="F543" s="94"/>
      <c r="G543" s="94"/>
      <c r="H543" s="94"/>
      <c r="I543" s="94"/>
      <c r="J543" s="94"/>
      <c r="K543" s="94"/>
      <c r="L543" s="94"/>
      <c r="M543" s="94"/>
      <c r="N543" s="95"/>
      <c r="O543" s="95"/>
      <c r="P543" s="95"/>
      <c r="Q543" s="95"/>
      <c r="R543" s="95"/>
      <c r="S543" s="95"/>
      <c r="T543" s="95"/>
      <c r="U543" s="95"/>
      <c r="V543" s="96"/>
      <c r="W543" s="96"/>
      <c r="X543" s="97"/>
      <c r="Y543" s="97"/>
      <c r="Z543" s="97"/>
      <c r="AA543" s="4"/>
      <c r="AB543" s="5"/>
    </row>
    <row r="544" spans="1:28" x14ac:dyDescent="0.2">
      <c r="A544" s="4"/>
      <c r="B544" s="90"/>
      <c r="C544" s="90"/>
      <c r="D544" s="90"/>
      <c r="E544" s="90"/>
      <c r="F544" s="90"/>
      <c r="G544" s="90"/>
      <c r="H544" s="90"/>
      <c r="I544" s="90"/>
      <c r="J544" s="90"/>
      <c r="K544" s="90"/>
      <c r="L544" s="90"/>
      <c r="M544" s="90"/>
      <c r="N544" s="91"/>
      <c r="O544" s="91"/>
      <c r="P544" s="91"/>
      <c r="Q544" s="91"/>
      <c r="R544" s="91"/>
      <c r="S544" s="91"/>
      <c r="T544" s="91"/>
      <c r="U544" s="91"/>
      <c r="V544" s="92"/>
      <c r="W544" s="92"/>
      <c r="X544" s="93"/>
      <c r="Y544" s="93"/>
      <c r="Z544" s="93"/>
      <c r="AA544" s="4"/>
      <c r="AB544" s="5"/>
    </row>
    <row r="545" spans="1:28" x14ac:dyDescent="0.2">
      <c r="A545" s="4"/>
      <c r="B545" s="94"/>
      <c r="C545" s="94"/>
      <c r="D545" s="94"/>
      <c r="E545" s="94"/>
      <c r="F545" s="94"/>
      <c r="G545" s="94"/>
      <c r="H545" s="94"/>
      <c r="I545" s="94"/>
      <c r="J545" s="94"/>
      <c r="K545" s="94"/>
      <c r="L545" s="94"/>
      <c r="M545" s="94"/>
      <c r="N545" s="95"/>
      <c r="O545" s="95"/>
      <c r="P545" s="95"/>
      <c r="Q545" s="95"/>
      <c r="R545" s="95"/>
      <c r="S545" s="95"/>
      <c r="T545" s="95"/>
      <c r="U545" s="95"/>
      <c r="V545" s="96"/>
      <c r="W545" s="96"/>
      <c r="X545" s="97"/>
      <c r="Y545" s="97"/>
      <c r="Z545" s="97"/>
      <c r="AA545" s="4"/>
      <c r="AB545" s="5"/>
    </row>
    <row r="546" spans="1:28" x14ac:dyDescent="0.2">
      <c r="A546" s="4"/>
      <c r="B546" s="90"/>
      <c r="C546" s="90"/>
      <c r="D546" s="90"/>
      <c r="E546" s="90"/>
      <c r="F546" s="90"/>
      <c r="G546" s="90"/>
      <c r="H546" s="90"/>
      <c r="I546" s="90"/>
      <c r="J546" s="90"/>
      <c r="K546" s="90"/>
      <c r="L546" s="90"/>
      <c r="M546" s="90"/>
      <c r="N546" s="91"/>
      <c r="O546" s="91"/>
      <c r="P546" s="91"/>
      <c r="Q546" s="91"/>
      <c r="R546" s="91"/>
      <c r="S546" s="91"/>
      <c r="T546" s="91"/>
      <c r="U546" s="91"/>
      <c r="V546" s="92"/>
      <c r="W546" s="92"/>
      <c r="X546" s="93"/>
      <c r="Y546" s="93"/>
      <c r="Z546" s="93"/>
      <c r="AA546" s="4"/>
      <c r="AB546" s="5"/>
    </row>
    <row r="547" spans="1:28" x14ac:dyDescent="0.2">
      <c r="A547" s="4"/>
      <c r="B547" s="94"/>
      <c r="C547" s="94"/>
      <c r="D547" s="94"/>
      <c r="E547" s="94"/>
      <c r="F547" s="94"/>
      <c r="G547" s="94"/>
      <c r="H547" s="94"/>
      <c r="I547" s="94"/>
      <c r="J547" s="94"/>
      <c r="K547" s="94"/>
      <c r="L547" s="94"/>
      <c r="M547" s="94"/>
      <c r="N547" s="95"/>
      <c r="O547" s="95"/>
      <c r="P547" s="95"/>
      <c r="Q547" s="95"/>
      <c r="R547" s="95"/>
      <c r="S547" s="95"/>
      <c r="T547" s="95"/>
      <c r="U547" s="95"/>
      <c r="V547" s="96"/>
      <c r="W547" s="96"/>
      <c r="X547" s="97"/>
      <c r="Y547" s="97"/>
      <c r="Z547" s="97"/>
      <c r="AA547" s="4"/>
      <c r="AB547" s="5"/>
    </row>
    <row r="548" spans="1:28" x14ac:dyDescent="0.2">
      <c r="A548" s="4"/>
      <c r="B548" s="90"/>
      <c r="C548" s="90"/>
      <c r="D548" s="90"/>
      <c r="E548" s="90"/>
      <c r="F548" s="90"/>
      <c r="G548" s="90"/>
      <c r="H548" s="90"/>
      <c r="I548" s="90"/>
      <c r="J548" s="90"/>
      <c r="K548" s="90"/>
      <c r="L548" s="90"/>
      <c r="M548" s="90"/>
      <c r="N548" s="91"/>
      <c r="O548" s="91"/>
      <c r="P548" s="91"/>
      <c r="Q548" s="91"/>
      <c r="R548" s="91"/>
      <c r="S548" s="91"/>
      <c r="T548" s="91"/>
      <c r="U548" s="91"/>
      <c r="V548" s="92"/>
      <c r="W548" s="92"/>
      <c r="X548" s="93"/>
      <c r="Y548" s="93"/>
      <c r="Z548" s="93"/>
      <c r="AA548" s="4"/>
      <c r="AB548" s="5"/>
    </row>
    <row r="549" spans="1:28" x14ac:dyDescent="0.2">
      <c r="A549" s="4"/>
      <c r="B549" s="94"/>
      <c r="C549" s="94"/>
      <c r="D549" s="94"/>
      <c r="E549" s="94"/>
      <c r="F549" s="94"/>
      <c r="G549" s="94"/>
      <c r="H549" s="94"/>
      <c r="I549" s="94"/>
      <c r="J549" s="94"/>
      <c r="K549" s="94"/>
      <c r="L549" s="94"/>
      <c r="M549" s="94"/>
      <c r="N549" s="95"/>
      <c r="O549" s="95"/>
      <c r="P549" s="95"/>
      <c r="Q549" s="95"/>
      <c r="R549" s="95"/>
      <c r="S549" s="95"/>
      <c r="T549" s="95"/>
      <c r="U549" s="95"/>
      <c r="V549" s="96"/>
      <c r="W549" s="96"/>
      <c r="X549" s="97"/>
      <c r="Y549" s="97"/>
      <c r="Z549" s="97"/>
      <c r="AA549" s="4"/>
      <c r="AB549" s="5"/>
    </row>
    <row r="550" spans="1:28" x14ac:dyDescent="0.2">
      <c r="A550" s="4"/>
      <c r="B550" s="90"/>
      <c r="C550" s="90"/>
      <c r="D550" s="90"/>
      <c r="E550" s="90"/>
      <c r="F550" s="90"/>
      <c r="G550" s="90"/>
      <c r="H550" s="90"/>
      <c r="I550" s="90"/>
      <c r="J550" s="90"/>
      <c r="K550" s="90"/>
      <c r="L550" s="90"/>
      <c r="M550" s="90"/>
      <c r="N550" s="91"/>
      <c r="O550" s="91"/>
      <c r="P550" s="91"/>
      <c r="Q550" s="91"/>
      <c r="R550" s="91"/>
      <c r="S550" s="91"/>
      <c r="T550" s="91"/>
      <c r="U550" s="91"/>
      <c r="V550" s="92"/>
      <c r="W550" s="92"/>
      <c r="X550" s="93"/>
      <c r="Y550" s="93"/>
      <c r="Z550" s="93"/>
      <c r="AA550" s="4"/>
      <c r="AB550" s="5"/>
    </row>
    <row r="551" spans="1:28" x14ac:dyDescent="0.2">
      <c r="A551" s="4"/>
      <c r="B551" s="94"/>
      <c r="C551" s="94"/>
      <c r="D551" s="94"/>
      <c r="E551" s="94"/>
      <c r="F551" s="94"/>
      <c r="G551" s="94"/>
      <c r="H551" s="94"/>
      <c r="I551" s="94"/>
      <c r="J551" s="94"/>
      <c r="K551" s="94"/>
      <c r="L551" s="94"/>
      <c r="M551" s="94"/>
      <c r="N551" s="95"/>
      <c r="O551" s="95"/>
      <c r="P551" s="95"/>
      <c r="Q551" s="95"/>
      <c r="R551" s="95"/>
      <c r="S551" s="95"/>
      <c r="T551" s="95"/>
      <c r="U551" s="95"/>
      <c r="V551" s="96"/>
      <c r="W551" s="96"/>
      <c r="X551" s="97"/>
      <c r="Y551" s="97"/>
      <c r="Z551" s="97"/>
      <c r="AA551" s="4"/>
      <c r="AB551" s="5"/>
    </row>
    <row r="552" spans="1:28" x14ac:dyDescent="0.2">
      <c r="A552" s="4"/>
      <c r="B552" s="90"/>
      <c r="C552" s="90"/>
      <c r="D552" s="90"/>
      <c r="E552" s="90"/>
      <c r="F552" s="90"/>
      <c r="G552" s="90"/>
      <c r="H552" s="90"/>
      <c r="I552" s="90"/>
      <c r="J552" s="90"/>
      <c r="K552" s="90"/>
      <c r="L552" s="90"/>
      <c r="M552" s="90"/>
      <c r="N552" s="91"/>
      <c r="O552" s="91"/>
      <c r="P552" s="91"/>
      <c r="Q552" s="91"/>
      <c r="R552" s="91"/>
      <c r="S552" s="91"/>
      <c r="T552" s="91"/>
      <c r="U552" s="91"/>
      <c r="V552" s="92"/>
      <c r="W552" s="92"/>
      <c r="X552" s="93"/>
      <c r="Y552" s="93"/>
      <c r="Z552" s="93"/>
      <c r="AA552" s="4"/>
      <c r="AB552" s="5"/>
    </row>
    <row r="553" spans="1:28" x14ac:dyDescent="0.2">
      <c r="A553" s="4"/>
      <c r="B553" s="94"/>
      <c r="C553" s="94"/>
      <c r="D553" s="94"/>
      <c r="E553" s="94"/>
      <c r="F553" s="94"/>
      <c r="G553" s="94"/>
      <c r="H553" s="94"/>
      <c r="I553" s="94"/>
      <c r="J553" s="94"/>
      <c r="K553" s="94"/>
      <c r="L553" s="94"/>
      <c r="M553" s="94"/>
      <c r="N553" s="95"/>
      <c r="O553" s="95"/>
      <c r="P553" s="95"/>
      <c r="Q553" s="95"/>
      <c r="R553" s="95"/>
      <c r="S553" s="95"/>
      <c r="T553" s="95"/>
      <c r="U553" s="95"/>
      <c r="V553" s="96"/>
      <c r="W553" s="96"/>
      <c r="X553" s="97"/>
      <c r="Y553" s="97"/>
      <c r="Z553" s="97"/>
      <c r="AA553" s="4"/>
      <c r="AB553" s="5"/>
    </row>
    <row r="554" spans="1:28" x14ac:dyDescent="0.2">
      <c r="A554" s="4"/>
      <c r="B554" s="90"/>
      <c r="C554" s="90"/>
      <c r="D554" s="90"/>
      <c r="E554" s="90"/>
      <c r="F554" s="90"/>
      <c r="G554" s="90"/>
      <c r="H554" s="90"/>
      <c r="I554" s="90"/>
      <c r="J554" s="90"/>
      <c r="K554" s="90"/>
      <c r="L554" s="90"/>
      <c r="M554" s="90"/>
      <c r="N554" s="91"/>
      <c r="O554" s="91"/>
      <c r="P554" s="91"/>
      <c r="Q554" s="91"/>
      <c r="R554" s="91"/>
      <c r="S554" s="91"/>
      <c r="T554" s="91"/>
      <c r="U554" s="91"/>
      <c r="V554" s="92"/>
      <c r="W554" s="92"/>
      <c r="X554" s="93"/>
      <c r="Y554" s="93"/>
      <c r="Z554" s="93"/>
      <c r="AA554" s="4"/>
      <c r="AB554" s="5"/>
    </row>
    <row r="555" spans="1:28" x14ac:dyDescent="0.2">
      <c r="A555" s="4"/>
      <c r="B555" s="94"/>
      <c r="C555" s="94"/>
      <c r="D555" s="94"/>
      <c r="E555" s="94"/>
      <c r="F555" s="94"/>
      <c r="G555" s="94"/>
      <c r="H555" s="94"/>
      <c r="I555" s="94"/>
      <c r="J555" s="94"/>
      <c r="K555" s="94"/>
      <c r="L555" s="94"/>
      <c r="M555" s="94"/>
      <c r="N555" s="95"/>
      <c r="O555" s="95"/>
      <c r="P555" s="95"/>
      <c r="Q555" s="95"/>
      <c r="R555" s="95"/>
      <c r="S555" s="95"/>
      <c r="T555" s="95"/>
      <c r="U555" s="95"/>
      <c r="V555" s="96"/>
      <c r="W555" s="96"/>
      <c r="X555" s="97"/>
      <c r="Y555" s="97"/>
      <c r="Z555" s="97"/>
      <c r="AA555" s="4"/>
      <c r="AB555" s="5"/>
    </row>
    <row r="556" spans="1:28" x14ac:dyDescent="0.2">
      <c r="A556" s="4"/>
      <c r="B556" s="90"/>
      <c r="C556" s="90"/>
      <c r="D556" s="90"/>
      <c r="E556" s="90"/>
      <c r="F556" s="90"/>
      <c r="G556" s="90"/>
      <c r="H556" s="90"/>
      <c r="I556" s="90"/>
      <c r="J556" s="90"/>
      <c r="K556" s="90"/>
      <c r="L556" s="90"/>
      <c r="M556" s="90"/>
      <c r="N556" s="91"/>
      <c r="O556" s="91"/>
      <c r="P556" s="91"/>
      <c r="Q556" s="91"/>
      <c r="R556" s="91"/>
      <c r="S556" s="91"/>
      <c r="T556" s="91"/>
      <c r="U556" s="91"/>
      <c r="V556" s="92"/>
      <c r="W556" s="92"/>
      <c r="X556" s="93"/>
      <c r="Y556" s="93"/>
      <c r="Z556" s="93"/>
      <c r="AA556" s="4"/>
      <c r="AB556" s="5"/>
    </row>
    <row r="557" spans="1:28" x14ac:dyDescent="0.2">
      <c r="A557" s="4"/>
      <c r="B557" s="94"/>
      <c r="C557" s="94"/>
      <c r="D557" s="94"/>
      <c r="E557" s="94"/>
      <c r="F557" s="94"/>
      <c r="G557" s="94"/>
      <c r="H557" s="94"/>
      <c r="I557" s="94"/>
      <c r="J557" s="94"/>
      <c r="K557" s="94"/>
      <c r="L557" s="94"/>
      <c r="M557" s="94"/>
      <c r="N557" s="95"/>
      <c r="O557" s="95"/>
      <c r="P557" s="95"/>
      <c r="Q557" s="95"/>
      <c r="R557" s="95"/>
      <c r="S557" s="95"/>
      <c r="T557" s="95"/>
      <c r="U557" s="95"/>
      <c r="V557" s="96"/>
      <c r="W557" s="96"/>
      <c r="X557" s="97"/>
      <c r="Y557" s="97"/>
      <c r="Z557" s="97"/>
      <c r="AA557" s="4"/>
      <c r="AB557" s="5"/>
    </row>
    <row r="558" spans="1:28" x14ac:dyDescent="0.2">
      <c r="A558" s="4"/>
      <c r="B558" s="90"/>
      <c r="C558" s="90"/>
      <c r="D558" s="90"/>
      <c r="E558" s="90"/>
      <c r="F558" s="90"/>
      <c r="G558" s="90"/>
      <c r="H558" s="90"/>
      <c r="I558" s="90"/>
      <c r="J558" s="90"/>
      <c r="K558" s="90"/>
      <c r="L558" s="90"/>
      <c r="M558" s="90"/>
      <c r="N558" s="91"/>
      <c r="O558" s="91"/>
      <c r="P558" s="91"/>
      <c r="Q558" s="91"/>
      <c r="R558" s="91"/>
      <c r="S558" s="91"/>
      <c r="T558" s="91"/>
      <c r="U558" s="91"/>
      <c r="V558" s="92"/>
      <c r="W558" s="92"/>
      <c r="X558" s="93"/>
      <c r="Y558" s="93"/>
      <c r="Z558" s="93"/>
      <c r="AA558" s="4"/>
      <c r="AB558" s="5"/>
    </row>
    <row r="559" spans="1:28" x14ac:dyDescent="0.2">
      <c r="A559" s="4"/>
      <c r="B559" s="94"/>
      <c r="C559" s="94"/>
      <c r="D559" s="94"/>
      <c r="E559" s="94"/>
      <c r="F559" s="94"/>
      <c r="G559" s="94"/>
      <c r="H559" s="94"/>
      <c r="I559" s="94"/>
      <c r="J559" s="94"/>
      <c r="K559" s="94"/>
      <c r="L559" s="94"/>
      <c r="M559" s="94"/>
      <c r="N559" s="95"/>
      <c r="O559" s="95"/>
      <c r="P559" s="95"/>
      <c r="Q559" s="95"/>
      <c r="R559" s="95"/>
      <c r="S559" s="95"/>
      <c r="T559" s="95"/>
      <c r="U559" s="95"/>
      <c r="V559" s="96"/>
      <c r="W559" s="96"/>
      <c r="X559" s="97"/>
      <c r="Y559" s="97"/>
      <c r="Z559" s="97"/>
      <c r="AA559" s="4"/>
      <c r="AB559" s="5"/>
    </row>
    <row r="560" spans="1:28" x14ac:dyDescent="0.2">
      <c r="A560" s="4"/>
      <c r="B560" s="90"/>
      <c r="C560" s="90"/>
      <c r="D560" s="90"/>
      <c r="E560" s="90"/>
      <c r="F560" s="90"/>
      <c r="G560" s="90"/>
      <c r="H560" s="90"/>
      <c r="I560" s="90"/>
      <c r="J560" s="90"/>
      <c r="K560" s="90"/>
      <c r="L560" s="90"/>
      <c r="M560" s="90"/>
      <c r="N560" s="91"/>
      <c r="O560" s="91"/>
      <c r="P560" s="91"/>
      <c r="Q560" s="91"/>
      <c r="R560" s="91"/>
      <c r="S560" s="91"/>
      <c r="T560" s="91"/>
      <c r="U560" s="91"/>
      <c r="V560" s="92"/>
      <c r="W560" s="92"/>
      <c r="X560" s="93"/>
      <c r="Y560" s="93"/>
      <c r="Z560" s="93"/>
      <c r="AA560" s="4"/>
      <c r="AB560" s="5"/>
    </row>
    <row r="561" spans="1:28" x14ac:dyDescent="0.2">
      <c r="A561" s="4"/>
      <c r="B561" s="94"/>
      <c r="C561" s="94"/>
      <c r="D561" s="94"/>
      <c r="E561" s="94"/>
      <c r="F561" s="94"/>
      <c r="G561" s="94"/>
      <c r="H561" s="94"/>
      <c r="I561" s="94"/>
      <c r="J561" s="94"/>
      <c r="K561" s="94"/>
      <c r="L561" s="94"/>
      <c r="M561" s="94"/>
      <c r="N561" s="95"/>
      <c r="O561" s="95"/>
      <c r="P561" s="95"/>
      <c r="Q561" s="95"/>
      <c r="R561" s="95"/>
      <c r="S561" s="95"/>
      <c r="T561" s="95"/>
      <c r="U561" s="95"/>
      <c r="V561" s="96"/>
      <c r="W561" s="96"/>
      <c r="X561" s="97"/>
      <c r="Y561" s="97"/>
      <c r="Z561" s="97"/>
      <c r="AA561" s="4"/>
      <c r="AB561" s="5"/>
    </row>
    <row r="562" spans="1:28" x14ac:dyDescent="0.2">
      <c r="A562" s="4"/>
      <c r="B562" s="90"/>
      <c r="C562" s="90"/>
      <c r="D562" s="90"/>
      <c r="E562" s="90"/>
      <c r="F562" s="90"/>
      <c r="G562" s="90"/>
      <c r="H562" s="90"/>
      <c r="I562" s="90"/>
      <c r="J562" s="90"/>
      <c r="K562" s="90"/>
      <c r="L562" s="90"/>
      <c r="M562" s="90"/>
      <c r="N562" s="91"/>
      <c r="O562" s="91"/>
      <c r="P562" s="91"/>
      <c r="Q562" s="91"/>
      <c r="R562" s="91"/>
      <c r="S562" s="91"/>
      <c r="T562" s="91"/>
      <c r="U562" s="91"/>
      <c r="V562" s="92"/>
      <c r="W562" s="92"/>
      <c r="X562" s="93"/>
      <c r="Y562" s="93"/>
      <c r="Z562" s="93"/>
      <c r="AA562" s="4"/>
      <c r="AB562" s="5"/>
    </row>
    <row r="563" spans="1:28" x14ac:dyDescent="0.2">
      <c r="A563" s="4"/>
      <c r="B563" s="94"/>
      <c r="C563" s="94"/>
      <c r="D563" s="94"/>
      <c r="E563" s="94"/>
      <c r="F563" s="94"/>
      <c r="G563" s="94"/>
      <c r="H563" s="94"/>
      <c r="I563" s="94"/>
      <c r="J563" s="94"/>
      <c r="K563" s="94"/>
      <c r="L563" s="94"/>
      <c r="M563" s="94"/>
      <c r="N563" s="95"/>
      <c r="O563" s="95"/>
      <c r="P563" s="95"/>
      <c r="Q563" s="95"/>
      <c r="R563" s="95"/>
      <c r="S563" s="95"/>
      <c r="T563" s="95"/>
      <c r="U563" s="95"/>
      <c r="V563" s="96"/>
      <c r="W563" s="96"/>
      <c r="X563" s="97"/>
      <c r="Y563" s="97"/>
      <c r="Z563" s="97"/>
      <c r="AA563" s="4"/>
      <c r="AB563" s="5"/>
    </row>
    <row r="564" spans="1:28" x14ac:dyDescent="0.2">
      <c r="A564" s="4"/>
      <c r="B564" s="90"/>
      <c r="C564" s="90"/>
      <c r="D564" s="90"/>
      <c r="E564" s="90"/>
      <c r="F564" s="90"/>
      <c r="G564" s="90"/>
      <c r="H564" s="90"/>
      <c r="I564" s="90"/>
      <c r="J564" s="90"/>
      <c r="K564" s="90"/>
      <c r="L564" s="90"/>
      <c r="M564" s="90"/>
      <c r="N564" s="91"/>
      <c r="O564" s="91"/>
      <c r="P564" s="91"/>
      <c r="Q564" s="91"/>
      <c r="R564" s="91"/>
      <c r="S564" s="91"/>
      <c r="T564" s="91"/>
      <c r="U564" s="91"/>
      <c r="V564" s="92"/>
      <c r="W564" s="92"/>
      <c r="X564" s="93"/>
      <c r="Y564" s="93"/>
      <c r="Z564" s="93"/>
      <c r="AA564" s="4"/>
      <c r="AB564" s="5"/>
    </row>
    <row r="565" spans="1:28" x14ac:dyDescent="0.2">
      <c r="A565" s="4"/>
      <c r="B565" s="94"/>
      <c r="C565" s="94"/>
      <c r="D565" s="94"/>
      <c r="E565" s="94"/>
      <c r="F565" s="94"/>
      <c r="G565" s="94"/>
      <c r="H565" s="94"/>
      <c r="I565" s="94"/>
      <c r="J565" s="94"/>
      <c r="K565" s="94"/>
      <c r="L565" s="94"/>
      <c r="M565" s="94"/>
      <c r="N565" s="95"/>
      <c r="O565" s="95"/>
      <c r="P565" s="95"/>
      <c r="Q565" s="95"/>
      <c r="R565" s="95"/>
      <c r="S565" s="95"/>
      <c r="T565" s="95"/>
      <c r="U565" s="95"/>
      <c r="V565" s="96"/>
      <c r="W565" s="96"/>
      <c r="X565" s="97"/>
      <c r="Y565" s="97"/>
      <c r="Z565" s="97"/>
      <c r="AA565" s="4"/>
      <c r="AB565" s="5"/>
    </row>
    <row r="566" spans="1:28" x14ac:dyDescent="0.2">
      <c r="A566" s="4"/>
      <c r="B566" s="90"/>
      <c r="C566" s="90"/>
      <c r="D566" s="90"/>
      <c r="E566" s="90"/>
      <c r="F566" s="90"/>
      <c r="G566" s="90"/>
      <c r="H566" s="90"/>
      <c r="I566" s="90"/>
      <c r="J566" s="90"/>
      <c r="K566" s="90"/>
      <c r="L566" s="90"/>
      <c r="M566" s="90"/>
      <c r="N566" s="91"/>
      <c r="O566" s="91"/>
      <c r="P566" s="91"/>
      <c r="Q566" s="91"/>
      <c r="R566" s="91"/>
      <c r="S566" s="91"/>
      <c r="T566" s="91"/>
      <c r="U566" s="91"/>
      <c r="V566" s="92"/>
      <c r="W566" s="92"/>
      <c r="X566" s="93"/>
      <c r="Y566" s="93"/>
      <c r="Z566" s="93"/>
      <c r="AA566" s="4"/>
      <c r="AB566" s="5"/>
    </row>
    <row r="567" spans="1:28" x14ac:dyDescent="0.2">
      <c r="A567" s="4"/>
      <c r="B567" s="94"/>
      <c r="C567" s="94"/>
      <c r="D567" s="94"/>
      <c r="E567" s="94"/>
      <c r="F567" s="94"/>
      <c r="G567" s="94"/>
      <c r="H567" s="94"/>
      <c r="I567" s="94"/>
      <c r="J567" s="94"/>
      <c r="K567" s="94"/>
      <c r="L567" s="94"/>
      <c r="M567" s="94"/>
      <c r="N567" s="95"/>
      <c r="O567" s="95"/>
      <c r="P567" s="95"/>
      <c r="Q567" s="95"/>
      <c r="R567" s="95"/>
      <c r="S567" s="95"/>
      <c r="T567" s="95"/>
      <c r="U567" s="95"/>
      <c r="V567" s="96"/>
      <c r="W567" s="96"/>
      <c r="X567" s="97"/>
      <c r="Y567" s="97"/>
      <c r="Z567" s="97"/>
      <c r="AA567" s="4"/>
      <c r="AB567" s="5"/>
    </row>
    <row r="568" spans="1:28" x14ac:dyDescent="0.2">
      <c r="A568" s="4"/>
      <c r="B568" s="90"/>
      <c r="C568" s="90"/>
      <c r="D568" s="90"/>
      <c r="E568" s="90"/>
      <c r="F568" s="90"/>
      <c r="G568" s="90"/>
      <c r="H568" s="90"/>
      <c r="I568" s="90"/>
      <c r="J568" s="90"/>
      <c r="K568" s="90"/>
      <c r="L568" s="90"/>
      <c r="M568" s="90"/>
      <c r="N568" s="91"/>
      <c r="O568" s="91"/>
      <c r="P568" s="91"/>
      <c r="Q568" s="91"/>
      <c r="R568" s="91"/>
      <c r="S568" s="91"/>
      <c r="T568" s="91"/>
      <c r="U568" s="91"/>
      <c r="V568" s="92"/>
      <c r="W568" s="92"/>
      <c r="X568" s="93"/>
      <c r="Y568" s="93"/>
      <c r="Z568" s="93"/>
      <c r="AA568" s="4"/>
      <c r="AB568" s="5"/>
    </row>
    <row r="569" spans="1:28" x14ac:dyDescent="0.2">
      <c r="A569" s="4"/>
      <c r="B569" s="94"/>
      <c r="C569" s="94"/>
      <c r="D569" s="94"/>
      <c r="E569" s="94"/>
      <c r="F569" s="94"/>
      <c r="G569" s="94"/>
      <c r="H569" s="94"/>
      <c r="I569" s="94"/>
      <c r="J569" s="94"/>
      <c r="K569" s="94"/>
      <c r="L569" s="94"/>
      <c r="M569" s="94"/>
      <c r="N569" s="95"/>
      <c r="O569" s="95"/>
      <c r="P569" s="95"/>
      <c r="Q569" s="95"/>
      <c r="R569" s="95"/>
      <c r="S569" s="95"/>
      <c r="T569" s="95"/>
      <c r="U569" s="95"/>
      <c r="V569" s="96"/>
      <c r="W569" s="96"/>
      <c r="X569" s="97"/>
      <c r="Y569" s="97"/>
      <c r="Z569" s="97"/>
      <c r="AA569" s="4"/>
      <c r="AB569" s="5"/>
    </row>
    <row r="570" spans="1:28" x14ac:dyDescent="0.2">
      <c r="A570" s="4"/>
      <c r="B570" s="90"/>
      <c r="C570" s="90"/>
      <c r="D570" s="90"/>
      <c r="E570" s="90"/>
      <c r="F570" s="90"/>
      <c r="G570" s="90"/>
      <c r="H570" s="90"/>
      <c r="I570" s="90"/>
      <c r="J570" s="90"/>
      <c r="K570" s="90"/>
      <c r="L570" s="90"/>
      <c r="M570" s="90"/>
      <c r="N570" s="91"/>
      <c r="O570" s="91"/>
      <c r="P570" s="91"/>
      <c r="Q570" s="91"/>
      <c r="R570" s="91"/>
      <c r="S570" s="91"/>
      <c r="T570" s="91"/>
      <c r="U570" s="91"/>
      <c r="V570" s="92"/>
      <c r="W570" s="92"/>
      <c r="X570" s="93"/>
      <c r="Y570" s="93"/>
      <c r="Z570" s="93"/>
      <c r="AA570" s="4"/>
      <c r="AB570" s="5"/>
    </row>
    <row r="571" spans="1:28" x14ac:dyDescent="0.2">
      <c r="A571" s="4"/>
      <c r="B571" s="94"/>
      <c r="C571" s="94"/>
      <c r="D571" s="94"/>
      <c r="E571" s="94"/>
      <c r="F571" s="94"/>
      <c r="G571" s="94"/>
      <c r="H571" s="94"/>
      <c r="I571" s="94"/>
      <c r="J571" s="94"/>
      <c r="K571" s="94"/>
      <c r="L571" s="94"/>
      <c r="M571" s="94"/>
      <c r="N571" s="95"/>
      <c r="O571" s="95"/>
      <c r="P571" s="95"/>
      <c r="Q571" s="95"/>
      <c r="R571" s="95"/>
      <c r="S571" s="95"/>
      <c r="T571" s="95"/>
      <c r="U571" s="95"/>
      <c r="V571" s="96"/>
      <c r="W571" s="96"/>
      <c r="X571" s="97"/>
      <c r="Y571" s="97"/>
      <c r="Z571" s="97"/>
      <c r="AA571" s="4"/>
      <c r="AB571" s="5"/>
    </row>
    <row r="572" spans="1:28" x14ac:dyDescent="0.2">
      <c r="A572" s="4"/>
      <c r="B572" s="90"/>
      <c r="C572" s="90"/>
      <c r="D572" s="90"/>
      <c r="E572" s="90"/>
      <c r="F572" s="90"/>
      <c r="G572" s="90"/>
      <c r="H572" s="90"/>
      <c r="I572" s="90"/>
      <c r="J572" s="90"/>
      <c r="K572" s="90"/>
      <c r="L572" s="90"/>
      <c r="M572" s="90"/>
      <c r="N572" s="91"/>
      <c r="O572" s="91"/>
      <c r="P572" s="91"/>
      <c r="Q572" s="91"/>
      <c r="R572" s="91"/>
      <c r="S572" s="91"/>
      <c r="T572" s="91"/>
      <c r="U572" s="91"/>
      <c r="V572" s="92"/>
      <c r="W572" s="92"/>
      <c r="X572" s="93"/>
      <c r="Y572" s="93"/>
      <c r="Z572" s="93"/>
      <c r="AA572" s="4"/>
      <c r="AB572" s="5"/>
    </row>
    <row r="573" spans="1:28" x14ac:dyDescent="0.2">
      <c r="A573" s="4"/>
      <c r="B573" s="94"/>
      <c r="C573" s="94"/>
      <c r="D573" s="94"/>
      <c r="E573" s="94"/>
      <c r="F573" s="94"/>
      <c r="G573" s="94"/>
      <c r="H573" s="94"/>
      <c r="I573" s="94"/>
      <c r="J573" s="94"/>
      <c r="K573" s="94"/>
      <c r="L573" s="94"/>
      <c r="M573" s="94"/>
      <c r="N573" s="95"/>
      <c r="O573" s="95"/>
      <c r="P573" s="95"/>
      <c r="Q573" s="95"/>
      <c r="R573" s="95"/>
      <c r="S573" s="95"/>
      <c r="T573" s="95"/>
      <c r="U573" s="95"/>
      <c r="V573" s="96"/>
      <c r="W573" s="96"/>
      <c r="X573" s="97"/>
      <c r="Y573" s="97"/>
      <c r="Z573" s="97"/>
      <c r="AA573" s="4"/>
      <c r="AB573" s="5"/>
    </row>
    <row r="574" spans="1:28" x14ac:dyDescent="0.2">
      <c r="A574" s="4"/>
      <c r="B574" s="90"/>
      <c r="C574" s="90"/>
      <c r="D574" s="90"/>
      <c r="E574" s="90"/>
      <c r="F574" s="90"/>
      <c r="G574" s="90"/>
      <c r="H574" s="90"/>
      <c r="I574" s="90"/>
      <c r="J574" s="90"/>
      <c r="K574" s="90"/>
      <c r="L574" s="90"/>
      <c r="M574" s="90"/>
      <c r="N574" s="91"/>
      <c r="O574" s="91"/>
      <c r="P574" s="91"/>
      <c r="Q574" s="91"/>
      <c r="R574" s="91"/>
      <c r="S574" s="91"/>
      <c r="T574" s="91"/>
      <c r="U574" s="91"/>
      <c r="V574" s="92"/>
      <c r="W574" s="92"/>
      <c r="X574" s="93"/>
      <c r="Y574" s="93"/>
      <c r="Z574" s="93"/>
      <c r="AA574" s="4"/>
      <c r="AB574" s="5"/>
    </row>
    <row r="575" spans="1:28" x14ac:dyDescent="0.2">
      <c r="A575" s="4"/>
      <c r="B575" s="94"/>
      <c r="C575" s="94"/>
      <c r="D575" s="94"/>
      <c r="E575" s="94"/>
      <c r="F575" s="94"/>
      <c r="G575" s="94"/>
      <c r="H575" s="94"/>
      <c r="I575" s="94"/>
      <c r="J575" s="94"/>
      <c r="K575" s="94"/>
      <c r="L575" s="94"/>
      <c r="M575" s="94"/>
      <c r="N575" s="95"/>
      <c r="O575" s="95"/>
      <c r="P575" s="95"/>
      <c r="Q575" s="95"/>
      <c r="R575" s="95"/>
      <c r="S575" s="95"/>
      <c r="T575" s="95"/>
      <c r="U575" s="95"/>
      <c r="V575" s="96"/>
      <c r="W575" s="96"/>
      <c r="X575" s="97"/>
      <c r="Y575" s="97"/>
      <c r="Z575" s="97"/>
      <c r="AA575" s="4"/>
      <c r="AB575" s="5"/>
    </row>
    <row r="576" spans="1:28" x14ac:dyDescent="0.2">
      <c r="A576" s="4"/>
      <c r="B576" s="90"/>
      <c r="C576" s="90"/>
      <c r="D576" s="90"/>
      <c r="E576" s="90"/>
      <c r="F576" s="90"/>
      <c r="G576" s="90"/>
      <c r="H576" s="90"/>
      <c r="I576" s="90"/>
      <c r="J576" s="90"/>
      <c r="K576" s="90"/>
      <c r="L576" s="90"/>
      <c r="M576" s="90"/>
      <c r="N576" s="91"/>
      <c r="O576" s="91"/>
      <c r="P576" s="91"/>
      <c r="Q576" s="91"/>
      <c r="R576" s="91"/>
      <c r="S576" s="91"/>
      <c r="T576" s="91"/>
      <c r="U576" s="91"/>
      <c r="V576" s="92"/>
      <c r="W576" s="92"/>
      <c r="X576" s="93"/>
      <c r="Y576" s="93"/>
      <c r="Z576" s="93"/>
      <c r="AA576" s="4"/>
      <c r="AB576" s="5"/>
    </row>
    <row r="577" spans="1:28" x14ac:dyDescent="0.2">
      <c r="A577" s="4"/>
      <c r="B577" s="94"/>
      <c r="C577" s="94"/>
      <c r="D577" s="94"/>
      <c r="E577" s="94"/>
      <c r="F577" s="94"/>
      <c r="G577" s="94"/>
      <c r="H577" s="94"/>
      <c r="I577" s="94"/>
      <c r="J577" s="94"/>
      <c r="K577" s="94"/>
      <c r="L577" s="94"/>
      <c r="M577" s="94"/>
      <c r="N577" s="95"/>
      <c r="O577" s="95"/>
      <c r="P577" s="95"/>
      <c r="Q577" s="95"/>
      <c r="R577" s="95"/>
      <c r="S577" s="95"/>
      <c r="T577" s="95"/>
      <c r="U577" s="95"/>
      <c r="V577" s="96"/>
      <c r="W577" s="96"/>
      <c r="X577" s="97"/>
      <c r="Y577" s="97"/>
      <c r="Z577" s="97"/>
      <c r="AA577" s="4"/>
      <c r="AB577" s="5"/>
    </row>
    <row r="578" spans="1:28" x14ac:dyDescent="0.2">
      <c r="A578" s="4"/>
      <c r="B578" s="90"/>
      <c r="C578" s="90"/>
      <c r="D578" s="90"/>
      <c r="E578" s="90"/>
      <c r="F578" s="90"/>
      <c r="G578" s="90"/>
      <c r="H578" s="90"/>
      <c r="I578" s="90"/>
      <c r="J578" s="90"/>
      <c r="K578" s="90"/>
      <c r="L578" s="90"/>
      <c r="M578" s="90"/>
      <c r="N578" s="91"/>
      <c r="O578" s="91"/>
      <c r="P578" s="91"/>
      <c r="Q578" s="91"/>
      <c r="R578" s="91"/>
      <c r="S578" s="91"/>
      <c r="T578" s="91"/>
      <c r="U578" s="91"/>
      <c r="V578" s="92"/>
      <c r="W578" s="92"/>
      <c r="X578" s="93"/>
      <c r="Y578" s="93"/>
      <c r="Z578" s="93"/>
      <c r="AA578" s="4"/>
      <c r="AB578" s="5"/>
    </row>
    <row r="579" spans="1:28" x14ac:dyDescent="0.2">
      <c r="A579" s="4"/>
      <c r="B579" s="94"/>
      <c r="C579" s="94"/>
      <c r="D579" s="94"/>
      <c r="E579" s="94"/>
      <c r="F579" s="94"/>
      <c r="G579" s="94"/>
      <c r="H579" s="94"/>
      <c r="I579" s="94"/>
      <c r="J579" s="94"/>
      <c r="K579" s="94"/>
      <c r="L579" s="94"/>
      <c r="M579" s="94"/>
      <c r="N579" s="95"/>
      <c r="O579" s="95"/>
      <c r="P579" s="95"/>
      <c r="Q579" s="95"/>
      <c r="R579" s="95"/>
      <c r="S579" s="95"/>
      <c r="T579" s="95"/>
      <c r="U579" s="95"/>
      <c r="V579" s="96"/>
      <c r="W579" s="96"/>
      <c r="X579" s="97"/>
      <c r="Y579" s="97"/>
      <c r="Z579" s="97"/>
      <c r="AA579" s="4"/>
      <c r="AB579" s="5"/>
    </row>
    <row r="580" spans="1:28" x14ac:dyDescent="0.2">
      <c r="A580" s="4"/>
      <c r="B580" s="90"/>
      <c r="C580" s="90"/>
      <c r="D580" s="90"/>
      <c r="E580" s="90"/>
      <c r="F580" s="90"/>
      <c r="G580" s="90"/>
      <c r="H580" s="90"/>
      <c r="I580" s="90"/>
      <c r="J580" s="90"/>
      <c r="K580" s="90"/>
      <c r="L580" s="90"/>
      <c r="M580" s="90"/>
      <c r="N580" s="91"/>
      <c r="O580" s="91"/>
      <c r="P580" s="91"/>
      <c r="Q580" s="91"/>
      <c r="R580" s="91"/>
      <c r="S580" s="91"/>
      <c r="T580" s="91"/>
      <c r="U580" s="91"/>
      <c r="V580" s="92"/>
      <c r="W580" s="92"/>
      <c r="X580" s="93"/>
      <c r="Y580" s="93"/>
      <c r="Z580" s="93"/>
      <c r="AA580" s="4"/>
      <c r="AB580" s="5"/>
    </row>
    <row r="581" spans="1:28" x14ac:dyDescent="0.2">
      <c r="A581" s="4"/>
      <c r="B581" s="94"/>
      <c r="C581" s="94"/>
      <c r="D581" s="94"/>
      <c r="E581" s="94"/>
      <c r="F581" s="94"/>
      <c r="G581" s="94"/>
      <c r="H581" s="94"/>
      <c r="I581" s="94"/>
      <c r="J581" s="94"/>
      <c r="K581" s="94"/>
      <c r="L581" s="94"/>
      <c r="M581" s="94"/>
      <c r="N581" s="95"/>
      <c r="O581" s="95"/>
      <c r="P581" s="95"/>
      <c r="Q581" s="95"/>
      <c r="R581" s="95"/>
      <c r="S581" s="95"/>
      <c r="T581" s="95"/>
      <c r="U581" s="95"/>
      <c r="V581" s="96"/>
      <c r="W581" s="96"/>
      <c r="X581" s="97"/>
      <c r="Y581" s="97"/>
      <c r="Z581" s="97"/>
      <c r="AA581" s="4"/>
      <c r="AB581" s="5"/>
    </row>
    <row r="582" spans="1:28" x14ac:dyDescent="0.2">
      <c r="A582" s="4"/>
      <c r="B582" s="90"/>
      <c r="C582" s="90"/>
      <c r="D582" s="90"/>
      <c r="E582" s="90"/>
      <c r="F582" s="90"/>
      <c r="G582" s="90"/>
      <c r="H582" s="90"/>
      <c r="I582" s="90"/>
      <c r="J582" s="90"/>
      <c r="K582" s="90"/>
      <c r="L582" s="90"/>
      <c r="M582" s="90"/>
      <c r="N582" s="91"/>
      <c r="O582" s="91"/>
      <c r="P582" s="91"/>
      <c r="Q582" s="91"/>
      <c r="R582" s="91"/>
      <c r="S582" s="91"/>
      <c r="T582" s="91"/>
      <c r="U582" s="91"/>
      <c r="V582" s="92"/>
      <c r="W582" s="92"/>
      <c r="X582" s="93"/>
      <c r="Y582" s="93"/>
      <c r="Z582" s="93"/>
      <c r="AA582" s="4"/>
      <c r="AB582" s="5"/>
    </row>
    <row r="583" spans="1:28" x14ac:dyDescent="0.2">
      <c r="A583" s="4"/>
      <c r="B583" s="94"/>
      <c r="C583" s="94"/>
      <c r="D583" s="94"/>
      <c r="E583" s="94"/>
      <c r="F583" s="94"/>
      <c r="G583" s="94"/>
      <c r="H583" s="94"/>
      <c r="I583" s="94"/>
      <c r="J583" s="94"/>
      <c r="K583" s="94"/>
      <c r="L583" s="94"/>
      <c r="M583" s="94"/>
      <c r="N583" s="95"/>
      <c r="O583" s="95"/>
      <c r="P583" s="95"/>
      <c r="Q583" s="95"/>
      <c r="R583" s="95"/>
      <c r="S583" s="95"/>
      <c r="T583" s="95"/>
      <c r="U583" s="95"/>
      <c r="V583" s="96"/>
      <c r="W583" s="96"/>
      <c r="X583" s="97"/>
      <c r="Y583" s="97"/>
      <c r="Z583" s="97"/>
      <c r="AA583" s="4"/>
      <c r="AB583" s="5"/>
    </row>
    <row r="584" spans="1:28" x14ac:dyDescent="0.2">
      <c r="A584" s="4"/>
      <c r="B584" s="90"/>
      <c r="C584" s="90"/>
      <c r="D584" s="90"/>
      <c r="E584" s="90"/>
      <c r="F584" s="90"/>
      <c r="G584" s="90"/>
      <c r="H584" s="90"/>
      <c r="I584" s="90"/>
      <c r="J584" s="90"/>
      <c r="K584" s="90"/>
      <c r="L584" s="90"/>
      <c r="M584" s="90"/>
      <c r="N584" s="91"/>
      <c r="O584" s="91"/>
      <c r="P584" s="91"/>
      <c r="Q584" s="91"/>
      <c r="R584" s="91"/>
      <c r="S584" s="91"/>
      <c r="T584" s="91"/>
      <c r="U584" s="91"/>
      <c r="V584" s="92"/>
      <c r="W584" s="92"/>
      <c r="X584" s="93"/>
      <c r="Y584" s="93"/>
      <c r="Z584" s="93"/>
      <c r="AA584" s="4"/>
      <c r="AB584" s="5"/>
    </row>
    <row r="585" spans="1:28" x14ac:dyDescent="0.2">
      <c r="A585" s="4"/>
      <c r="B585" s="94"/>
      <c r="C585" s="94"/>
      <c r="D585" s="94"/>
      <c r="E585" s="94"/>
      <c r="F585" s="94"/>
      <c r="G585" s="94"/>
      <c r="H585" s="94"/>
      <c r="I585" s="94"/>
      <c r="J585" s="94"/>
      <c r="K585" s="94"/>
      <c r="L585" s="94"/>
      <c r="M585" s="94"/>
      <c r="N585" s="95"/>
      <c r="O585" s="95"/>
      <c r="P585" s="95"/>
      <c r="Q585" s="95"/>
      <c r="R585" s="95"/>
      <c r="S585" s="95"/>
      <c r="T585" s="95"/>
      <c r="U585" s="95"/>
      <c r="V585" s="96"/>
      <c r="W585" s="96"/>
      <c r="X585" s="97"/>
      <c r="Y585" s="97"/>
      <c r="Z585" s="97"/>
      <c r="AA585" s="4"/>
      <c r="AB585" s="5"/>
    </row>
    <row r="586" spans="1:28" x14ac:dyDescent="0.2">
      <c r="A586" s="4"/>
      <c r="B586" s="90"/>
      <c r="C586" s="90"/>
      <c r="D586" s="90"/>
      <c r="E586" s="90"/>
      <c r="F586" s="90"/>
      <c r="G586" s="90"/>
      <c r="H586" s="90"/>
      <c r="I586" s="90"/>
      <c r="J586" s="90"/>
      <c r="K586" s="90"/>
      <c r="L586" s="90"/>
      <c r="M586" s="90"/>
      <c r="N586" s="91"/>
      <c r="O586" s="91"/>
      <c r="P586" s="91"/>
      <c r="Q586" s="91"/>
      <c r="R586" s="91"/>
      <c r="S586" s="91"/>
      <c r="T586" s="91"/>
      <c r="U586" s="91"/>
      <c r="V586" s="92"/>
      <c r="W586" s="92"/>
      <c r="X586" s="93"/>
      <c r="Y586" s="93"/>
      <c r="Z586" s="93"/>
      <c r="AA586" s="4"/>
      <c r="AB586" s="5"/>
    </row>
    <row r="587" spans="1:28" x14ac:dyDescent="0.2">
      <c r="A587" s="4"/>
      <c r="B587" s="94"/>
      <c r="C587" s="94"/>
      <c r="D587" s="94"/>
      <c r="E587" s="94"/>
      <c r="F587" s="94"/>
      <c r="G587" s="94"/>
      <c r="H587" s="94"/>
      <c r="I587" s="94"/>
      <c r="J587" s="94"/>
      <c r="K587" s="94"/>
      <c r="L587" s="94"/>
      <c r="M587" s="94"/>
      <c r="N587" s="95"/>
      <c r="O587" s="95"/>
      <c r="P587" s="95"/>
      <c r="Q587" s="95"/>
      <c r="R587" s="95"/>
      <c r="S587" s="95"/>
      <c r="T587" s="95"/>
      <c r="U587" s="95"/>
      <c r="V587" s="96"/>
      <c r="W587" s="96"/>
      <c r="X587" s="97"/>
      <c r="Y587" s="97"/>
      <c r="Z587" s="97"/>
      <c r="AA587" s="4"/>
      <c r="AB587" s="5"/>
    </row>
    <row r="588" spans="1:28" x14ac:dyDescent="0.2">
      <c r="A588" s="4"/>
      <c r="B588" s="90"/>
      <c r="C588" s="90"/>
      <c r="D588" s="90"/>
      <c r="E588" s="90"/>
      <c r="F588" s="90"/>
      <c r="G588" s="90"/>
      <c r="H588" s="90"/>
      <c r="I588" s="90"/>
      <c r="J588" s="90"/>
      <c r="K588" s="90"/>
      <c r="L588" s="90"/>
      <c r="M588" s="90"/>
      <c r="N588" s="91"/>
      <c r="O588" s="91"/>
      <c r="P588" s="91"/>
      <c r="Q588" s="91"/>
      <c r="R588" s="91"/>
      <c r="S588" s="91"/>
      <c r="T588" s="91"/>
      <c r="U588" s="91"/>
      <c r="V588" s="92"/>
      <c r="W588" s="92"/>
      <c r="X588" s="93"/>
      <c r="Y588" s="93"/>
      <c r="Z588" s="93"/>
      <c r="AA588" s="4"/>
      <c r="AB588" s="5"/>
    </row>
    <row r="589" spans="1:28" x14ac:dyDescent="0.2">
      <c r="A589" s="4"/>
      <c r="B589" s="94"/>
      <c r="C589" s="94"/>
      <c r="D589" s="94"/>
      <c r="E589" s="94"/>
      <c r="F589" s="94"/>
      <c r="G589" s="94"/>
      <c r="H589" s="94"/>
      <c r="I589" s="94"/>
      <c r="J589" s="94"/>
      <c r="K589" s="94"/>
      <c r="L589" s="94"/>
      <c r="M589" s="94"/>
      <c r="N589" s="95"/>
      <c r="O589" s="95"/>
      <c r="P589" s="95"/>
      <c r="Q589" s="95"/>
      <c r="R589" s="95"/>
      <c r="S589" s="95"/>
      <c r="T589" s="95"/>
      <c r="U589" s="95"/>
      <c r="V589" s="96"/>
      <c r="W589" s="96"/>
      <c r="X589" s="97"/>
      <c r="Y589" s="97"/>
      <c r="Z589" s="97"/>
      <c r="AA589" s="4"/>
      <c r="AB589" s="5"/>
    </row>
    <row r="590" spans="1:28" x14ac:dyDescent="0.2">
      <c r="A590" s="4"/>
      <c r="B590" s="90"/>
      <c r="C590" s="90"/>
      <c r="D590" s="90"/>
      <c r="E590" s="90"/>
      <c r="F590" s="90"/>
      <c r="G590" s="90"/>
      <c r="H590" s="90"/>
      <c r="I590" s="90"/>
      <c r="J590" s="90"/>
      <c r="K590" s="90"/>
      <c r="L590" s="90"/>
      <c r="M590" s="90"/>
      <c r="N590" s="91"/>
      <c r="O590" s="91"/>
      <c r="P590" s="91"/>
      <c r="Q590" s="91"/>
      <c r="R590" s="91"/>
      <c r="S590" s="91"/>
      <c r="T590" s="91"/>
      <c r="U590" s="91"/>
      <c r="V590" s="92"/>
      <c r="W590" s="92"/>
      <c r="X590" s="93"/>
      <c r="Y590" s="93"/>
      <c r="Z590" s="93"/>
      <c r="AA590" s="4"/>
      <c r="AB590" s="5"/>
    </row>
    <row r="591" spans="1:28" x14ac:dyDescent="0.2">
      <c r="A591" s="4"/>
      <c r="B591" s="94"/>
      <c r="C591" s="94"/>
      <c r="D591" s="94"/>
      <c r="E591" s="94"/>
      <c r="F591" s="94"/>
      <c r="G591" s="94"/>
      <c r="H591" s="94"/>
      <c r="I591" s="94"/>
      <c r="J591" s="94"/>
      <c r="K591" s="94"/>
      <c r="L591" s="94"/>
      <c r="M591" s="94"/>
      <c r="N591" s="95"/>
      <c r="O591" s="95"/>
      <c r="P591" s="95"/>
      <c r="Q591" s="95"/>
      <c r="R591" s="95"/>
      <c r="S591" s="95"/>
      <c r="T591" s="95"/>
      <c r="U591" s="95"/>
      <c r="V591" s="96"/>
      <c r="W591" s="96"/>
      <c r="X591" s="97"/>
      <c r="Y591" s="97"/>
      <c r="Z591" s="97"/>
      <c r="AA591" s="4"/>
      <c r="AB591" s="5"/>
    </row>
    <row r="592" spans="1:28" x14ac:dyDescent="0.2">
      <c r="A592" s="4"/>
      <c r="B592" s="90"/>
      <c r="C592" s="90"/>
      <c r="D592" s="90"/>
      <c r="E592" s="90"/>
      <c r="F592" s="90"/>
      <c r="G592" s="90"/>
      <c r="H592" s="90"/>
      <c r="I592" s="90"/>
      <c r="J592" s="90"/>
      <c r="K592" s="90"/>
      <c r="L592" s="90"/>
      <c r="M592" s="90"/>
      <c r="N592" s="91"/>
      <c r="O592" s="91"/>
      <c r="P592" s="91"/>
      <c r="Q592" s="91"/>
      <c r="R592" s="91"/>
      <c r="S592" s="91"/>
      <c r="T592" s="91"/>
      <c r="U592" s="91"/>
      <c r="V592" s="92"/>
      <c r="W592" s="92"/>
      <c r="X592" s="93"/>
      <c r="Y592" s="93"/>
      <c r="Z592" s="93"/>
      <c r="AA592" s="4"/>
      <c r="AB592" s="5"/>
    </row>
    <row r="593" spans="1:28" x14ac:dyDescent="0.2">
      <c r="A593" s="4"/>
      <c r="B593" s="94"/>
      <c r="C593" s="94"/>
      <c r="D593" s="94"/>
      <c r="E593" s="94"/>
      <c r="F593" s="94"/>
      <c r="G593" s="94"/>
      <c r="H593" s="94"/>
      <c r="I593" s="94"/>
      <c r="J593" s="94"/>
      <c r="K593" s="94"/>
      <c r="L593" s="94"/>
      <c r="M593" s="94"/>
      <c r="N593" s="95"/>
      <c r="O593" s="95"/>
      <c r="P593" s="95"/>
      <c r="Q593" s="95"/>
      <c r="R593" s="95"/>
      <c r="S593" s="95"/>
      <c r="T593" s="95"/>
      <c r="U593" s="95"/>
      <c r="V593" s="96"/>
      <c r="W593" s="96"/>
      <c r="X593" s="97"/>
      <c r="Y593" s="97"/>
      <c r="Z593" s="97"/>
      <c r="AA593" s="4"/>
      <c r="AB593" s="5"/>
    </row>
    <row r="594" spans="1:28" x14ac:dyDescent="0.2">
      <c r="A594" s="4"/>
      <c r="B594" s="90"/>
      <c r="C594" s="90"/>
      <c r="D594" s="90"/>
      <c r="E594" s="90"/>
      <c r="F594" s="90"/>
      <c r="G594" s="90"/>
      <c r="H594" s="90"/>
      <c r="I594" s="90"/>
      <c r="J594" s="90"/>
      <c r="K594" s="90"/>
      <c r="L594" s="90"/>
      <c r="M594" s="90"/>
      <c r="N594" s="91"/>
      <c r="O594" s="91"/>
      <c r="P594" s="91"/>
      <c r="Q594" s="91"/>
      <c r="R594" s="91"/>
      <c r="S594" s="91"/>
      <c r="T594" s="91"/>
      <c r="U594" s="91"/>
      <c r="V594" s="92"/>
      <c r="W594" s="92"/>
      <c r="X594" s="93"/>
      <c r="Y594" s="93"/>
      <c r="Z594" s="93"/>
      <c r="AA594" s="4"/>
      <c r="AB594" s="5"/>
    </row>
    <row r="595" spans="1:28" x14ac:dyDescent="0.2">
      <c r="A595" s="4"/>
      <c r="B595" s="94"/>
      <c r="C595" s="94"/>
      <c r="D595" s="94"/>
      <c r="E595" s="94"/>
      <c r="F595" s="94"/>
      <c r="G595" s="94"/>
      <c r="H595" s="94"/>
      <c r="I595" s="94"/>
      <c r="J595" s="94"/>
      <c r="K595" s="94"/>
      <c r="L595" s="94"/>
      <c r="M595" s="94"/>
      <c r="N595" s="95"/>
      <c r="O595" s="95"/>
      <c r="P595" s="95"/>
      <c r="Q595" s="95"/>
      <c r="R595" s="95"/>
      <c r="S595" s="95"/>
      <c r="T595" s="95"/>
      <c r="U595" s="95"/>
      <c r="V595" s="96"/>
      <c r="W595" s="96"/>
      <c r="X595" s="97"/>
      <c r="Y595" s="97"/>
      <c r="Z595" s="97"/>
      <c r="AA595" s="4"/>
      <c r="AB595" s="5"/>
    </row>
    <row r="596" spans="1:28" x14ac:dyDescent="0.2">
      <c r="A596" s="4"/>
      <c r="B596" s="90"/>
      <c r="C596" s="90"/>
      <c r="D596" s="90"/>
      <c r="E596" s="90"/>
      <c r="F596" s="90"/>
      <c r="G596" s="90"/>
      <c r="H596" s="90"/>
      <c r="I596" s="90"/>
      <c r="J596" s="90"/>
      <c r="K596" s="90"/>
      <c r="L596" s="90"/>
      <c r="M596" s="90"/>
      <c r="N596" s="91"/>
      <c r="O596" s="91"/>
      <c r="P596" s="91"/>
      <c r="Q596" s="91"/>
      <c r="R596" s="91"/>
      <c r="S596" s="91"/>
      <c r="T596" s="91"/>
      <c r="U596" s="91"/>
      <c r="V596" s="92"/>
      <c r="W596" s="92"/>
      <c r="X596" s="93"/>
      <c r="Y596" s="93"/>
      <c r="Z596" s="93"/>
      <c r="AA596" s="4"/>
      <c r="AB596" s="5"/>
    </row>
    <row r="597" spans="1:28" x14ac:dyDescent="0.2">
      <c r="A597" s="4"/>
      <c r="B597" s="94"/>
      <c r="C597" s="94"/>
      <c r="D597" s="94"/>
      <c r="E597" s="94"/>
      <c r="F597" s="94"/>
      <c r="G597" s="94"/>
      <c r="H597" s="94"/>
      <c r="I597" s="94"/>
      <c r="J597" s="94"/>
      <c r="K597" s="94"/>
      <c r="L597" s="94"/>
      <c r="M597" s="94"/>
      <c r="N597" s="95"/>
      <c r="O597" s="95"/>
      <c r="P597" s="95"/>
      <c r="Q597" s="95"/>
      <c r="R597" s="95"/>
      <c r="S597" s="95"/>
      <c r="T597" s="95"/>
      <c r="U597" s="95"/>
      <c r="V597" s="96"/>
      <c r="W597" s="96"/>
      <c r="X597" s="97"/>
      <c r="Y597" s="97"/>
      <c r="Z597" s="97"/>
      <c r="AA597" s="4"/>
      <c r="AB597" s="5"/>
    </row>
    <row r="598" spans="1:28" x14ac:dyDescent="0.2">
      <c r="A598" s="4"/>
      <c r="B598" s="90"/>
      <c r="C598" s="90"/>
      <c r="D598" s="90"/>
      <c r="E598" s="90"/>
      <c r="F598" s="90"/>
      <c r="G598" s="90"/>
      <c r="H598" s="90"/>
      <c r="I598" s="90"/>
      <c r="J598" s="90"/>
      <c r="K598" s="90"/>
      <c r="L598" s="90"/>
      <c r="M598" s="90"/>
      <c r="N598" s="91"/>
      <c r="O598" s="91"/>
      <c r="P598" s="91"/>
      <c r="Q598" s="91"/>
      <c r="R598" s="91"/>
      <c r="S598" s="91"/>
      <c r="T598" s="91"/>
      <c r="U598" s="91"/>
      <c r="V598" s="92"/>
      <c r="W598" s="92"/>
      <c r="X598" s="93"/>
      <c r="Y598" s="93"/>
      <c r="Z598" s="93"/>
      <c r="AA598" s="4"/>
      <c r="AB598" s="5"/>
    </row>
    <row r="599" spans="1:28" x14ac:dyDescent="0.2">
      <c r="A599" s="4"/>
      <c r="B599" s="94"/>
      <c r="C599" s="94"/>
      <c r="D599" s="94"/>
      <c r="E599" s="94"/>
      <c r="F599" s="94"/>
      <c r="G599" s="94"/>
      <c r="H599" s="94"/>
      <c r="I599" s="94"/>
      <c r="J599" s="94"/>
      <c r="K599" s="94"/>
      <c r="L599" s="94"/>
      <c r="M599" s="94"/>
      <c r="N599" s="95"/>
      <c r="O599" s="95"/>
      <c r="P599" s="95"/>
      <c r="Q599" s="95"/>
      <c r="R599" s="95"/>
      <c r="S599" s="95"/>
      <c r="T599" s="95"/>
      <c r="U599" s="95"/>
      <c r="V599" s="96"/>
      <c r="W599" s="96"/>
      <c r="X599" s="97"/>
      <c r="Y599" s="97"/>
      <c r="Z599" s="97"/>
      <c r="AA599" s="4"/>
      <c r="AB599" s="5"/>
    </row>
    <row r="600" spans="1:28" x14ac:dyDescent="0.2">
      <c r="A600" s="4"/>
      <c r="B600" s="90"/>
      <c r="C600" s="90"/>
      <c r="D600" s="90"/>
      <c r="E600" s="90"/>
      <c r="F600" s="90"/>
      <c r="G600" s="90"/>
      <c r="H600" s="90"/>
      <c r="I600" s="90"/>
      <c r="J600" s="90"/>
      <c r="K600" s="90"/>
      <c r="L600" s="90"/>
      <c r="M600" s="90"/>
      <c r="N600" s="91"/>
      <c r="O600" s="91"/>
      <c r="P600" s="91"/>
      <c r="Q600" s="91"/>
      <c r="R600" s="91"/>
      <c r="S600" s="91"/>
      <c r="T600" s="91"/>
      <c r="U600" s="91"/>
      <c r="V600" s="92"/>
      <c r="W600" s="92"/>
      <c r="X600" s="93"/>
      <c r="Y600" s="93"/>
      <c r="Z600" s="93"/>
      <c r="AA600" s="4"/>
      <c r="AB600" s="5"/>
    </row>
    <row r="601" spans="1:28" x14ac:dyDescent="0.2">
      <c r="A601" s="4"/>
      <c r="B601" s="94"/>
      <c r="C601" s="94"/>
      <c r="D601" s="94"/>
      <c r="E601" s="94"/>
      <c r="F601" s="94"/>
      <c r="G601" s="94"/>
      <c r="H601" s="94"/>
      <c r="I601" s="94"/>
      <c r="J601" s="94"/>
      <c r="K601" s="94"/>
      <c r="L601" s="94"/>
      <c r="M601" s="94"/>
      <c r="N601" s="95"/>
      <c r="O601" s="95"/>
      <c r="P601" s="95"/>
      <c r="Q601" s="95"/>
      <c r="R601" s="95"/>
      <c r="S601" s="95"/>
      <c r="T601" s="95"/>
      <c r="U601" s="95"/>
      <c r="V601" s="96"/>
      <c r="W601" s="96"/>
      <c r="X601" s="97"/>
      <c r="Y601" s="97"/>
      <c r="Z601" s="97"/>
      <c r="AA601" s="4"/>
      <c r="AB601" s="5"/>
    </row>
    <row r="602" spans="1:28" x14ac:dyDescent="0.2">
      <c r="A602" s="4"/>
      <c r="B602" s="90"/>
      <c r="C602" s="90"/>
      <c r="D602" s="90"/>
      <c r="E602" s="90"/>
      <c r="F602" s="90"/>
      <c r="G602" s="90"/>
      <c r="H602" s="90"/>
      <c r="I602" s="90"/>
      <c r="J602" s="90"/>
      <c r="K602" s="90"/>
      <c r="L602" s="90"/>
      <c r="M602" s="90"/>
      <c r="N602" s="91"/>
      <c r="O602" s="91"/>
      <c r="P602" s="91"/>
      <c r="Q602" s="91"/>
      <c r="R602" s="91"/>
      <c r="S602" s="91"/>
      <c r="T602" s="91"/>
      <c r="U602" s="91"/>
      <c r="V602" s="92"/>
      <c r="W602" s="92"/>
      <c r="X602" s="93"/>
      <c r="Y602" s="93"/>
      <c r="Z602" s="93"/>
      <c r="AA602" s="4"/>
      <c r="AB602" s="5"/>
    </row>
    <row r="603" spans="1:28" x14ac:dyDescent="0.2">
      <c r="A603" s="4"/>
      <c r="B603" s="94"/>
      <c r="C603" s="94"/>
      <c r="D603" s="94"/>
      <c r="E603" s="94"/>
      <c r="F603" s="94"/>
      <c r="G603" s="94"/>
      <c r="H603" s="94"/>
      <c r="I603" s="94"/>
      <c r="J603" s="94"/>
      <c r="K603" s="94"/>
      <c r="L603" s="94"/>
      <c r="M603" s="94"/>
      <c r="N603" s="95"/>
      <c r="O603" s="95"/>
      <c r="P603" s="95"/>
      <c r="Q603" s="95"/>
      <c r="R603" s="95"/>
      <c r="S603" s="95"/>
      <c r="T603" s="95"/>
      <c r="U603" s="95"/>
      <c r="V603" s="96"/>
      <c r="W603" s="96"/>
      <c r="X603" s="97"/>
      <c r="Y603" s="97"/>
      <c r="Z603" s="97"/>
      <c r="AA603" s="4"/>
      <c r="AB603" s="5"/>
    </row>
    <row r="604" spans="1:28" x14ac:dyDescent="0.2">
      <c r="A604" s="4"/>
      <c r="B604" s="90"/>
      <c r="C604" s="90"/>
      <c r="D604" s="90"/>
      <c r="E604" s="90"/>
      <c r="F604" s="90"/>
      <c r="G604" s="90"/>
      <c r="H604" s="90"/>
      <c r="I604" s="90"/>
      <c r="J604" s="90"/>
      <c r="K604" s="90"/>
      <c r="L604" s="90"/>
      <c r="M604" s="90"/>
      <c r="N604" s="91"/>
      <c r="O604" s="91"/>
      <c r="P604" s="91"/>
      <c r="Q604" s="91"/>
      <c r="R604" s="91"/>
      <c r="S604" s="91"/>
      <c r="T604" s="91"/>
      <c r="U604" s="91"/>
      <c r="V604" s="92"/>
      <c r="W604" s="92"/>
      <c r="X604" s="93"/>
      <c r="Y604" s="93"/>
      <c r="Z604" s="93"/>
      <c r="AA604" s="4"/>
      <c r="AB604" s="5"/>
    </row>
    <row r="605" spans="1:28" x14ac:dyDescent="0.2">
      <c r="A605" s="4"/>
      <c r="B605" s="94"/>
      <c r="C605" s="94"/>
      <c r="D605" s="94"/>
      <c r="E605" s="94"/>
      <c r="F605" s="94"/>
      <c r="G605" s="94"/>
      <c r="H605" s="94"/>
      <c r="I605" s="94"/>
      <c r="J605" s="94"/>
      <c r="K605" s="94"/>
      <c r="L605" s="94"/>
      <c r="M605" s="94"/>
      <c r="N605" s="95"/>
      <c r="O605" s="95"/>
      <c r="P605" s="95"/>
      <c r="Q605" s="95"/>
      <c r="R605" s="95"/>
      <c r="S605" s="95"/>
      <c r="T605" s="95"/>
      <c r="U605" s="95"/>
      <c r="V605" s="96"/>
      <c r="W605" s="96"/>
      <c r="X605" s="97"/>
      <c r="Y605" s="97"/>
      <c r="Z605" s="97"/>
      <c r="AA605" s="4"/>
      <c r="AB605" s="5"/>
    </row>
    <row r="606" spans="1:28" x14ac:dyDescent="0.2">
      <c r="A606" s="4"/>
      <c r="B606" s="90"/>
      <c r="C606" s="90"/>
      <c r="D606" s="90"/>
      <c r="E606" s="90"/>
      <c r="F606" s="90"/>
      <c r="G606" s="90"/>
      <c r="H606" s="90"/>
      <c r="I606" s="90"/>
      <c r="J606" s="90"/>
      <c r="K606" s="90"/>
      <c r="L606" s="90"/>
      <c r="M606" s="90"/>
      <c r="N606" s="91"/>
      <c r="O606" s="91"/>
      <c r="P606" s="91"/>
      <c r="Q606" s="91"/>
      <c r="R606" s="91"/>
      <c r="S606" s="91"/>
      <c r="T606" s="91"/>
      <c r="U606" s="91"/>
      <c r="V606" s="92"/>
      <c r="W606" s="92"/>
      <c r="X606" s="93"/>
      <c r="Y606" s="93"/>
      <c r="Z606" s="93"/>
      <c r="AA606" s="4"/>
      <c r="AB606" s="5"/>
    </row>
    <row r="607" spans="1:28" x14ac:dyDescent="0.2">
      <c r="A607" s="4"/>
      <c r="B607" s="94"/>
      <c r="C607" s="94"/>
      <c r="D607" s="94"/>
      <c r="E607" s="94"/>
      <c r="F607" s="94"/>
      <c r="G607" s="94"/>
      <c r="H607" s="94"/>
      <c r="I607" s="94"/>
      <c r="J607" s="94"/>
      <c r="K607" s="94"/>
      <c r="L607" s="94"/>
      <c r="M607" s="94"/>
      <c r="N607" s="95"/>
      <c r="O607" s="95"/>
      <c r="P607" s="95"/>
      <c r="Q607" s="95"/>
      <c r="R607" s="95"/>
      <c r="S607" s="95"/>
      <c r="T607" s="95"/>
      <c r="U607" s="95"/>
      <c r="V607" s="96"/>
      <c r="W607" s="96"/>
      <c r="X607" s="97"/>
      <c r="Y607" s="97"/>
      <c r="Z607" s="97"/>
      <c r="AA607" s="4"/>
      <c r="AB607" s="5"/>
    </row>
    <row r="608" spans="1:28" x14ac:dyDescent="0.2">
      <c r="A608" s="4"/>
      <c r="B608" s="90"/>
      <c r="C608" s="90"/>
      <c r="D608" s="90"/>
      <c r="E608" s="90"/>
      <c r="F608" s="90"/>
      <c r="G608" s="90"/>
      <c r="H608" s="90"/>
      <c r="I608" s="90"/>
      <c r="J608" s="90"/>
      <c r="K608" s="90"/>
      <c r="L608" s="90"/>
      <c r="M608" s="90"/>
      <c r="N608" s="91"/>
      <c r="O608" s="91"/>
      <c r="P608" s="91"/>
      <c r="Q608" s="91"/>
      <c r="R608" s="91"/>
      <c r="S608" s="91"/>
      <c r="T608" s="91"/>
      <c r="U608" s="91"/>
      <c r="V608" s="92"/>
      <c r="W608" s="92"/>
      <c r="X608" s="93"/>
      <c r="Y608" s="93"/>
      <c r="Z608" s="93"/>
      <c r="AA608" s="4"/>
      <c r="AB608" s="5"/>
    </row>
    <row r="609" spans="1:28" x14ac:dyDescent="0.2">
      <c r="A609" s="4"/>
      <c r="B609" s="94"/>
      <c r="C609" s="94"/>
      <c r="D609" s="94"/>
      <c r="E609" s="94"/>
      <c r="F609" s="94"/>
      <c r="G609" s="94"/>
      <c r="H609" s="94"/>
      <c r="I609" s="94"/>
      <c r="J609" s="94"/>
      <c r="K609" s="94"/>
      <c r="L609" s="94"/>
      <c r="M609" s="94"/>
      <c r="N609" s="95"/>
      <c r="O609" s="95"/>
      <c r="P609" s="95"/>
      <c r="Q609" s="95"/>
      <c r="R609" s="95"/>
      <c r="S609" s="95"/>
      <c r="T609" s="95"/>
      <c r="U609" s="95"/>
      <c r="V609" s="96"/>
      <c r="W609" s="96"/>
      <c r="X609" s="97"/>
      <c r="Y609" s="97"/>
      <c r="Z609" s="97"/>
      <c r="AA609" s="4"/>
      <c r="AB609" s="5"/>
    </row>
    <row r="610" spans="1:28" x14ac:dyDescent="0.2">
      <c r="A610" s="4"/>
      <c r="B610" s="90"/>
      <c r="C610" s="90"/>
      <c r="D610" s="90"/>
      <c r="E610" s="90"/>
      <c r="F610" s="90"/>
      <c r="G610" s="90"/>
      <c r="H610" s="90"/>
      <c r="I610" s="90"/>
      <c r="J610" s="90"/>
      <c r="K610" s="90"/>
      <c r="L610" s="90"/>
      <c r="M610" s="90"/>
      <c r="N610" s="91"/>
      <c r="O610" s="91"/>
      <c r="P610" s="91"/>
      <c r="Q610" s="91"/>
      <c r="R610" s="91"/>
      <c r="S610" s="91"/>
      <c r="T610" s="91"/>
      <c r="U610" s="91"/>
      <c r="V610" s="92"/>
      <c r="W610" s="92"/>
      <c r="X610" s="93"/>
      <c r="Y610" s="93"/>
      <c r="Z610" s="93"/>
      <c r="AA610" s="4"/>
      <c r="AB610" s="5"/>
    </row>
    <row r="611" spans="1:28" x14ac:dyDescent="0.2">
      <c r="A611" s="4"/>
      <c r="B611" s="94"/>
      <c r="C611" s="94"/>
      <c r="D611" s="94"/>
      <c r="E611" s="94"/>
      <c r="F611" s="94"/>
      <c r="G611" s="94"/>
      <c r="H611" s="94"/>
      <c r="I611" s="94"/>
      <c r="J611" s="94"/>
      <c r="K611" s="94"/>
      <c r="L611" s="94"/>
      <c r="M611" s="94"/>
      <c r="N611" s="95"/>
      <c r="O611" s="95"/>
      <c r="P611" s="95"/>
      <c r="Q611" s="95"/>
      <c r="R611" s="95"/>
      <c r="S611" s="95"/>
      <c r="T611" s="95"/>
      <c r="U611" s="95"/>
      <c r="V611" s="96"/>
      <c r="W611" s="96"/>
      <c r="X611" s="97"/>
      <c r="Y611" s="97"/>
      <c r="Z611" s="97"/>
      <c r="AA611" s="4"/>
      <c r="AB611" s="5"/>
    </row>
    <row r="612" spans="1:28" x14ac:dyDescent="0.2">
      <c r="A612" s="4"/>
      <c r="B612" s="90"/>
      <c r="C612" s="90"/>
      <c r="D612" s="90"/>
      <c r="E612" s="90"/>
      <c r="F612" s="90"/>
      <c r="G612" s="90"/>
      <c r="H612" s="90"/>
      <c r="I612" s="90"/>
      <c r="J612" s="90"/>
      <c r="K612" s="90"/>
      <c r="L612" s="90"/>
      <c r="M612" s="90"/>
      <c r="N612" s="91"/>
      <c r="O612" s="91"/>
      <c r="P612" s="91"/>
      <c r="Q612" s="91"/>
      <c r="R612" s="91"/>
      <c r="S612" s="91"/>
      <c r="T612" s="91"/>
      <c r="U612" s="91"/>
      <c r="V612" s="92"/>
      <c r="W612" s="92"/>
      <c r="X612" s="93"/>
      <c r="Y612" s="93"/>
      <c r="Z612" s="93"/>
      <c r="AA612" s="4"/>
      <c r="AB612" s="5"/>
    </row>
    <row r="613" spans="1:28" x14ac:dyDescent="0.2">
      <c r="A613" s="4"/>
      <c r="B613" s="94"/>
      <c r="C613" s="94"/>
      <c r="D613" s="94"/>
      <c r="E613" s="94"/>
      <c r="F613" s="94"/>
      <c r="G613" s="94"/>
      <c r="H613" s="94"/>
      <c r="I613" s="94"/>
      <c r="J613" s="94"/>
      <c r="K613" s="94"/>
      <c r="L613" s="94"/>
      <c r="M613" s="94"/>
      <c r="N613" s="95"/>
      <c r="O613" s="95"/>
      <c r="P613" s="95"/>
      <c r="Q613" s="95"/>
      <c r="R613" s="95"/>
      <c r="S613" s="95"/>
      <c r="T613" s="95"/>
      <c r="U613" s="95"/>
      <c r="V613" s="96"/>
      <c r="W613" s="96"/>
      <c r="X613" s="97"/>
      <c r="Y613" s="97"/>
      <c r="Z613" s="97"/>
      <c r="AA613" s="4"/>
      <c r="AB613" s="5"/>
    </row>
    <row r="614" spans="1:28" x14ac:dyDescent="0.2">
      <c r="A614" s="4"/>
      <c r="B614" s="90"/>
      <c r="C614" s="90"/>
      <c r="D614" s="90"/>
      <c r="E614" s="90"/>
      <c r="F614" s="90"/>
      <c r="G614" s="90"/>
      <c r="H614" s="90"/>
      <c r="I614" s="90"/>
      <c r="J614" s="90"/>
      <c r="K614" s="90"/>
      <c r="L614" s="90"/>
      <c r="M614" s="90"/>
      <c r="N614" s="91"/>
      <c r="O614" s="91"/>
      <c r="P614" s="91"/>
      <c r="Q614" s="91"/>
      <c r="R614" s="91"/>
      <c r="S614" s="91"/>
      <c r="T614" s="91"/>
      <c r="U614" s="91"/>
      <c r="V614" s="92"/>
      <c r="W614" s="92"/>
      <c r="X614" s="93"/>
      <c r="Y614" s="93"/>
      <c r="Z614" s="93"/>
      <c r="AA614" s="4"/>
      <c r="AB614" s="5"/>
    </row>
    <row r="615" spans="1:28" x14ac:dyDescent="0.2">
      <c r="A615" s="4"/>
      <c r="B615" s="94"/>
      <c r="C615" s="94"/>
      <c r="D615" s="94"/>
      <c r="E615" s="94"/>
      <c r="F615" s="94"/>
      <c r="G615" s="94"/>
      <c r="H615" s="94"/>
      <c r="I615" s="94"/>
      <c r="J615" s="94"/>
      <c r="K615" s="94"/>
      <c r="L615" s="94"/>
      <c r="M615" s="94"/>
      <c r="N615" s="95"/>
      <c r="O615" s="95"/>
      <c r="P615" s="95"/>
      <c r="Q615" s="95"/>
      <c r="R615" s="95"/>
      <c r="S615" s="95"/>
      <c r="T615" s="95"/>
      <c r="U615" s="95"/>
      <c r="V615" s="96"/>
      <c r="W615" s="96"/>
      <c r="X615" s="97"/>
      <c r="Y615" s="97"/>
      <c r="Z615" s="97"/>
      <c r="AA615" s="4"/>
      <c r="AB615" s="5"/>
    </row>
    <row r="616" spans="1:28" x14ac:dyDescent="0.2">
      <c r="A616" s="4"/>
      <c r="B616" s="90"/>
      <c r="C616" s="90"/>
      <c r="D616" s="90"/>
      <c r="E616" s="90"/>
      <c r="F616" s="90"/>
      <c r="G616" s="90"/>
      <c r="H616" s="90"/>
      <c r="I616" s="90"/>
      <c r="J616" s="90"/>
      <c r="K616" s="90"/>
      <c r="L616" s="90"/>
      <c r="M616" s="90"/>
      <c r="N616" s="91"/>
      <c r="O616" s="91"/>
      <c r="P616" s="91"/>
      <c r="Q616" s="91"/>
      <c r="R616" s="91"/>
      <c r="S616" s="91"/>
      <c r="T616" s="91"/>
      <c r="U616" s="91"/>
      <c r="V616" s="92"/>
      <c r="W616" s="92"/>
      <c r="X616" s="93"/>
      <c r="Y616" s="93"/>
      <c r="Z616" s="93"/>
      <c r="AA616" s="4"/>
      <c r="AB616" s="5"/>
    </row>
    <row r="617" spans="1:28" x14ac:dyDescent="0.2">
      <c r="A617" s="4"/>
      <c r="B617" s="94"/>
      <c r="C617" s="94"/>
      <c r="D617" s="94"/>
      <c r="E617" s="94"/>
      <c r="F617" s="94"/>
      <c r="G617" s="94"/>
      <c r="H617" s="94"/>
      <c r="I617" s="94"/>
      <c r="J617" s="94"/>
      <c r="K617" s="94"/>
      <c r="L617" s="94"/>
      <c r="M617" s="94"/>
      <c r="N617" s="95"/>
      <c r="O617" s="95"/>
      <c r="P617" s="95"/>
      <c r="Q617" s="95"/>
      <c r="R617" s="95"/>
      <c r="S617" s="95"/>
      <c r="T617" s="95"/>
      <c r="U617" s="95"/>
      <c r="V617" s="96"/>
      <c r="W617" s="96"/>
      <c r="X617" s="97"/>
      <c r="Y617" s="97"/>
      <c r="Z617" s="97"/>
      <c r="AA617" s="4"/>
      <c r="AB617" s="5"/>
    </row>
    <row r="618" spans="1:28" x14ac:dyDescent="0.2">
      <c r="A618" s="4"/>
      <c r="B618" s="90"/>
      <c r="C618" s="90"/>
      <c r="D618" s="90"/>
      <c r="E618" s="90"/>
      <c r="F618" s="90"/>
      <c r="G618" s="90"/>
      <c r="H618" s="90"/>
      <c r="I618" s="90"/>
      <c r="J618" s="90"/>
      <c r="K618" s="90"/>
      <c r="L618" s="90"/>
      <c r="M618" s="90"/>
      <c r="N618" s="91"/>
      <c r="O618" s="91"/>
      <c r="P618" s="91"/>
      <c r="Q618" s="91"/>
      <c r="R618" s="91"/>
      <c r="S618" s="91"/>
      <c r="T618" s="91"/>
      <c r="U618" s="91"/>
      <c r="V618" s="92"/>
      <c r="W618" s="92"/>
      <c r="X618" s="93"/>
      <c r="Y618" s="93"/>
      <c r="Z618" s="93"/>
      <c r="AA618" s="4"/>
      <c r="AB618" s="5"/>
    </row>
    <row r="619" spans="1:28" x14ac:dyDescent="0.2">
      <c r="A619" s="4"/>
      <c r="B619" s="94"/>
      <c r="C619" s="94"/>
      <c r="D619" s="94"/>
      <c r="E619" s="94"/>
      <c r="F619" s="94"/>
      <c r="G619" s="94"/>
      <c r="H619" s="94"/>
      <c r="I619" s="94"/>
      <c r="J619" s="94"/>
      <c r="K619" s="94"/>
      <c r="L619" s="94"/>
      <c r="M619" s="94"/>
      <c r="N619" s="95"/>
      <c r="O619" s="95"/>
      <c r="P619" s="95"/>
      <c r="Q619" s="95"/>
      <c r="R619" s="95"/>
      <c r="S619" s="95"/>
      <c r="T619" s="95"/>
      <c r="U619" s="95"/>
      <c r="V619" s="96"/>
      <c r="W619" s="96"/>
      <c r="X619" s="97"/>
      <c r="Y619" s="97"/>
      <c r="Z619" s="97"/>
      <c r="AA619" s="4"/>
      <c r="AB619" s="5"/>
    </row>
    <row r="620" spans="1:28" x14ac:dyDescent="0.2">
      <c r="A620" s="4"/>
      <c r="B620" s="90"/>
      <c r="C620" s="90"/>
      <c r="D620" s="90"/>
      <c r="E620" s="90"/>
      <c r="F620" s="90"/>
      <c r="G620" s="90"/>
      <c r="H620" s="90"/>
      <c r="I620" s="90"/>
      <c r="J620" s="90"/>
      <c r="K620" s="90"/>
      <c r="L620" s="90"/>
      <c r="M620" s="90"/>
      <c r="N620" s="91"/>
      <c r="O620" s="91"/>
      <c r="P620" s="91"/>
      <c r="Q620" s="91"/>
      <c r="R620" s="91"/>
      <c r="S620" s="91"/>
      <c r="T620" s="91"/>
      <c r="U620" s="91"/>
      <c r="V620" s="92"/>
      <c r="W620" s="92"/>
      <c r="X620" s="93"/>
      <c r="Y620" s="93"/>
      <c r="Z620" s="93"/>
      <c r="AA620" s="4"/>
      <c r="AB620" s="5"/>
    </row>
    <row r="621" spans="1:28" x14ac:dyDescent="0.2">
      <c r="A621" s="4"/>
      <c r="B621" s="94"/>
      <c r="C621" s="94"/>
      <c r="D621" s="94"/>
      <c r="E621" s="94"/>
      <c r="F621" s="94"/>
      <c r="G621" s="94"/>
      <c r="H621" s="94"/>
      <c r="I621" s="94"/>
      <c r="J621" s="94"/>
      <c r="K621" s="94"/>
      <c r="L621" s="94"/>
      <c r="M621" s="94"/>
      <c r="N621" s="95"/>
      <c r="O621" s="95"/>
      <c r="P621" s="95"/>
      <c r="Q621" s="95"/>
      <c r="R621" s="95"/>
      <c r="S621" s="95"/>
      <c r="T621" s="95"/>
      <c r="U621" s="95"/>
      <c r="V621" s="96"/>
      <c r="W621" s="96"/>
      <c r="X621" s="97"/>
      <c r="Y621" s="97"/>
      <c r="Z621" s="97"/>
      <c r="AA621" s="4"/>
      <c r="AB621" s="5"/>
    </row>
    <row r="622" spans="1:28" x14ac:dyDescent="0.2">
      <c r="A622" s="4"/>
      <c r="B622" s="90"/>
      <c r="C622" s="90"/>
      <c r="D622" s="90"/>
      <c r="E622" s="90"/>
      <c r="F622" s="90"/>
      <c r="G622" s="90"/>
      <c r="H622" s="90"/>
      <c r="I622" s="90"/>
      <c r="J622" s="90"/>
      <c r="K622" s="90"/>
      <c r="L622" s="90"/>
      <c r="M622" s="90"/>
      <c r="N622" s="91"/>
      <c r="O622" s="91"/>
      <c r="P622" s="91"/>
      <c r="Q622" s="91"/>
      <c r="R622" s="91"/>
      <c r="S622" s="91"/>
      <c r="T622" s="91"/>
      <c r="U622" s="91"/>
      <c r="V622" s="92"/>
      <c r="W622" s="92"/>
      <c r="X622" s="93"/>
      <c r="Y622" s="93"/>
      <c r="Z622" s="93"/>
      <c r="AA622" s="4"/>
      <c r="AB622" s="5"/>
    </row>
    <row r="623" spans="1:28" x14ac:dyDescent="0.2">
      <c r="A623" s="4"/>
      <c r="B623" s="94"/>
      <c r="C623" s="94"/>
      <c r="D623" s="94"/>
      <c r="E623" s="94"/>
      <c r="F623" s="94"/>
      <c r="G623" s="94"/>
      <c r="H623" s="94"/>
      <c r="I623" s="94"/>
      <c r="J623" s="94"/>
      <c r="K623" s="94"/>
      <c r="L623" s="94"/>
      <c r="M623" s="94"/>
      <c r="N623" s="95"/>
      <c r="O623" s="95"/>
      <c r="P623" s="95"/>
      <c r="Q623" s="95"/>
      <c r="R623" s="95"/>
      <c r="S623" s="95"/>
      <c r="T623" s="95"/>
      <c r="U623" s="95"/>
      <c r="V623" s="96"/>
      <c r="W623" s="96"/>
      <c r="X623" s="97"/>
      <c r="Y623" s="97"/>
      <c r="Z623" s="97"/>
      <c r="AA623" s="4"/>
      <c r="AB623" s="5"/>
    </row>
    <row r="624" spans="1:28" x14ac:dyDescent="0.2">
      <c r="A624" s="4"/>
      <c r="B624" s="90"/>
      <c r="C624" s="90"/>
      <c r="D624" s="90"/>
      <c r="E624" s="90"/>
      <c r="F624" s="90"/>
      <c r="G624" s="90"/>
      <c r="H624" s="90"/>
      <c r="I624" s="90"/>
      <c r="J624" s="90"/>
      <c r="K624" s="90"/>
      <c r="L624" s="90"/>
      <c r="M624" s="90"/>
      <c r="N624" s="91"/>
      <c r="O624" s="91"/>
      <c r="P624" s="91"/>
      <c r="Q624" s="91"/>
      <c r="R624" s="91"/>
      <c r="S624" s="91"/>
      <c r="T624" s="91"/>
      <c r="U624" s="91"/>
      <c r="V624" s="92"/>
      <c r="W624" s="92"/>
      <c r="X624" s="93"/>
      <c r="Y624" s="93"/>
      <c r="Z624" s="93"/>
      <c r="AA624" s="4"/>
      <c r="AB624" s="5"/>
    </row>
    <row r="625" spans="1:28" x14ac:dyDescent="0.2">
      <c r="A625" s="4"/>
      <c r="B625" s="94"/>
      <c r="C625" s="94"/>
      <c r="D625" s="94"/>
      <c r="E625" s="94"/>
      <c r="F625" s="94"/>
      <c r="G625" s="94"/>
      <c r="H625" s="94"/>
      <c r="I625" s="94"/>
      <c r="J625" s="94"/>
      <c r="K625" s="94"/>
      <c r="L625" s="94"/>
      <c r="M625" s="94"/>
      <c r="N625" s="95"/>
      <c r="O625" s="95"/>
      <c r="P625" s="95"/>
      <c r="Q625" s="95"/>
      <c r="R625" s="95"/>
      <c r="S625" s="95"/>
      <c r="T625" s="95"/>
      <c r="U625" s="95"/>
      <c r="V625" s="96"/>
      <c r="W625" s="96"/>
      <c r="X625" s="97"/>
      <c r="Y625" s="97"/>
      <c r="Z625" s="97"/>
      <c r="AA625" s="4"/>
      <c r="AB625" s="5"/>
    </row>
    <row r="626" spans="1:28" x14ac:dyDescent="0.2">
      <c r="A626" s="4"/>
      <c r="B626" s="90"/>
      <c r="C626" s="90"/>
      <c r="D626" s="90"/>
      <c r="E626" s="90"/>
      <c r="F626" s="90"/>
      <c r="G626" s="90"/>
      <c r="H626" s="90"/>
      <c r="I626" s="90"/>
      <c r="J626" s="90"/>
      <c r="K626" s="90"/>
      <c r="L626" s="90"/>
      <c r="M626" s="90"/>
      <c r="N626" s="91"/>
      <c r="O626" s="91"/>
      <c r="P626" s="91"/>
      <c r="Q626" s="91"/>
      <c r="R626" s="91"/>
      <c r="S626" s="91"/>
      <c r="T626" s="91"/>
      <c r="U626" s="91"/>
      <c r="V626" s="92"/>
      <c r="W626" s="92"/>
      <c r="X626" s="93"/>
      <c r="Y626" s="93"/>
      <c r="Z626" s="93"/>
      <c r="AA626" s="4"/>
      <c r="AB626" s="5"/>
    </row>
    <row r="627" spans="1:28" x14ac:dyDescent="0.2">
      <c r="A627" s="4"/>
      <c r="B627" s="94"/>
      <c r="C627" s="94"/>
      <c r="D627" s="94"/>
      <c r="E627" s="94"/>
      <c r="F627" s="94"/>
      <c r="G627" s="94"/>
      <c r="H627" s="94"/>
      <c r="I627" s="94"/>
      <c r="J627" s="94"/>
      <c r="K627" s="94"/>
      <c r="L627" s="94"/>
      <c r="M627" s="94"/>
      <c r="N627" s="95"/>
      <c r="O627" s="95"/>
      <c r="P627" s="95"/>
      <c r="Q627" s="95"/>
      <c r="R627" s="95"/>
      <c r="S627" s="95"/>
      <c r="T627" s="95"/>
      <c r="U627" s="95"/>
      <c r="V627" s="96"/>
      <c r="W627" s="96"/>
      <c r="X627" s="97"/>
      <c r="Y627" s="97"/>
      <c r="Z627" s="97"/>
      <c r="AA627" s="4"/>
      <c r="AB627" s="5"/>
    </row>
    <row r="628" spans="1:28" x14ac:dyDescent="0.2">
      <c r="A628" s="4"/>
      <c r="B628" s="90"/>
      <c r="C628" s="90"/>
      <c r="D628" s="90"/>
      <c r="E628" s="90"/>
      <c r="F628" s="90"/>
      <c r="G628" s="90"/>
      <c r="H628" s="90"/>
      <c r="I628" s="90"/>
      <c r="J628" s="90"/>
      <c r="K628" s="90"/>
      <c r="L628" s="90"/>
      <c r="M628" s="90"/>
      <c r="N628" s="91"/>
      <c r="O628" s="91"/>
      <c r="P628" s="91"/>
      <c r="Q628" s="91"/>
      <c r="R628" s="91"/>
      <c r="S628" s="91"/>
      <c r="T628" s="91"/>
      <c r="U628" s="91"/>
      <c r="V628" s="92"/>
      <c r="W628" s="92"/>
      <c r="X628" s="93"/>
      <c r="Y628" s="93"/>
      <c r="Z628" s="93"/>
      <c r="AA628" s="4"/>
      <c r="AB628" s="5"/>
    </row>
    <row r="629" spans="1:28" x14ac:dyDescent="0.2">
      <c r="A629" s="4"/>
      <c r="B629" s="94"/>
      <c r="C629" s="94"/>
      <c r="D629" s="94"/>
      <c r="E629" s="94"/>
      <c r="F629" s="94"/>
      <c r="G629" s="94"/>
      <c r="H629" s="94"/>
      <c r="I629" s="94"/>
      <c r="J629" s="94"/>
      <c r="K629" s="94"/>
      <c r="L629" s="94"/>
      <c r="M629" s="94"/>
      <c r="N629" s="95"/>
      <c r="O629" s="95"/>
      <c r="P629" s="95"/>
      <c r="Q629" s="95"/>
      <c r="R629" s="95"/>
      <c r="S629" s="95"/>
      <c r="T629" s="95"/>
      <c r="U629" s="95"/>
      <c r="V629" s="96"/>
      <c r="W629" s="96"/>
      <c r="X629" s="97"/>
      <c r="Y629" s="97"/>
      <c r="Z629" s="97"/>
      <c r="AA629" s="4"/>
      <c r="AB629" s="5"/>
    </row>
    <row r="630" spans="1:28" x14ac:dyDescent="0.2">
      <c r="A630" s="4"/>
      <c r="B630" s="90"/>
      <c r="C630" s="90"/>
      <c r="D630" s="90"/>
      <c r="E630" s="90"/>
      <c r="F630" s="90"/>
      <c r="G630" s="90"/>
      <c r="H630" s="90"/>
      <c r="I630" s="90"/>
      <c r="J630" s="90"/>
      <c r="K630" s="90"/>
      <c r="L630" s="90"/>
      <c r="M630" s="90"/>
      <c r="N630" s="91"/>
      <c r="O630" s="91"/>
      <c r="P630" s="91"/>
      <c r="Q630" s="91"/>
      <c r="R630" s="91"/>
      <c r="S630" s="91"/>
      <c r="T630" s="91"/>
      <c r="U630" s="91"/>
      <c r="V630" s="92"/>
      <c r="W630" s="92"/>
      <c r="X630" s="93"/>
      <c r="Y630" s="93"/>
      <c r="Z630" s="93"/>
      <c r="AA630" s="4"/>
      <c r="AB630" s="5"/>
    </row>
    <row r="631" spans="1:28" x14ac:dyDescent="0.2">
      <c r="A631" s="4"/>
      <c r="B631" s="94"/>
      <c r="C631" s="94"/>
      <c r="D631" s="94"/>
      <c r="E631" s="94"/>
      <c r="F631" s="94"/>
      <c r="G631" s="94"/>
      <c r="H631" s="94"/>
      <c r="I631" s="94"/>
      <c r="J631" s="94"/>
      <c r="K631" s="94"/>
      <c r="L631" s="94"/>
      <c r="M631" s="94"/>
      <c r="N631" s="95"/>
      <c r="O631" s="95"/>
      <c r="P631" s="95"/>
      <c r="Q631" s="95"/>
      <c r="R631" s="95"/>
      <c r="S631" s="95"/>
      <c r="T631" s="95"/>
      <c r="U631" s="95"/>
      <c r="V631" s="96"/>
      <c r="W631" s="96"/>
      <c r="X631" s="97"/>
      <c r="Y631" s="97"/>
      <c r="Z631" s="97"/>
      <c r="AA631" s="4"/>
      <c r="AB631" s="5"/>
    </row>
    <row r="632" spans="1:28" x14ac:dyDescent="0.2">
      <c r="A632" s="4"/>
      <c r="B632" s="90"/>
      <c r="C632" s="90"/>
      <c r="D632" s="90"/>
      <c r="E632" s="90"/>
      <c r="F632" s="90"/>
      <c r="G632" s="90"/>
      <c r="H632" s="90"/>
      <c r="I632" s="90"/>
      <c r="J632" s="90"/>
      <c r="K632" s="90"/>
      <c r="L632" s="90"/>
      <c r="M632" s="90"/>
      <c r="N632" s="91"/>
      <c r="O632" s="91"/>
      <c r="P632" s="91"/>
      <c r="Q632" s="91"/>
      <c r="R632" s="91"/>
      <c r="S632" s="91"/>
      <c r="T632" s="91"/>
      <c r="U632" s="91"/>
      <c r="V632" s="92"/>
      <c r="W632" s="92"/>
      <c r="X632" s="93"/>
      <c r="Y632" s="93"/>
      <c r="Z632" s="93"/>
      <c r="AA632" s="4"/>
      <c r="AB632" s="5"/>
    </row>
    <row r="633" spans="1:28" x14ac:dyDescent="0.2">
      <c r="A633" s="4"/>
      <c r="B633" s="94"/>
      <c r="C633" s="94"/>
      <c r="D633" s="94"/>
      <c r="E633" s="94"/>
      <c r="F633" s="94"/>
      <c r="G633" s="94"/>
      <c r="H633" s="94"/>
      <c r="I633" s="94"/>
      <c r="J633" s="94"/>
      <c r="K633" s="94"/>
      <c r="L633" s="94"/>
      <c r="M633" s="94"/>
      <c r="N633" s="95"/>
      <c r="O633" s="95"/>
      <c r="P633" s="95"/>
      <c r="Q633" s="95"/>
      <c r="R633" s="95"/>
      <c r="S633" s="95"/>
      <c r="T633" s="95"/>
      <c r="U633" s="95"/>
      <c r="V633" s="96"/>
      <c r="W633" s="96"/>
      <c r="X633" s="97"/>
      <c r="Y633" s="97"/>
      <c r="Z633" s="97"/>
      <c r="AA633" s="4"/>
      <c r="AB633" s="5"/>
    </row>
    <row r="634" spans="1:28" x14ac:dyDescent="0.2">
      <c r="A634" s="4"/>
      <c r="B634" s="90"/>
      <c r="C634" s="90"/>
      <c r="D634" s="90"/>
      <c r="E634" s="90"/>
      <c r="F634" s="90"/>
      <c r="G634" s="90"/>
      <c r="H634" s="90"/>
      <c r="I634" s="90"/>
      <c r="J634" s="90"/>
      <c r="K634" s="90"/>
      <c r="L634" s="90"/>
      <c r="M634" s="90"/>
      <c r="N634" s="91"/>
      <c r="O634" s="91"/>
      <c r="P634" s="91"/>
      <c r="Q634" s="91"/>
      <c r="R634" s="91"/>
      <c r="S634" s="91"/>
      <c r="T634" s="91"/>
      <c r="U634" s="91"/>
      <c r="V634" s="92"/>
      <c r="W634" s="92"/>
      <c r="X634" s="93"/>
      <c r="Y634" s="93"/>
      <c r="Z634" s="93"/>
      <c r="AA634" s="4"/>
      <c r="AB634" s="5"/>
    </row>
    <row r="635" spans="1:28" x14ac:dyDescent="0.2">
      <c r="A635" s="4"/>
      <c r="B635" s="94"/>
      <c r="C635" s="94"/>
      <c r="D635" s="94"/>
      <c r="E635" s="94"/>
      <c r="F635" s="94"/>
      <c r="G635" s="94"/>
      <c r="H635" s="94"/>
      <c r="I635" s="94"/>
      <c r="J635" s="94"/>
      <c r="K635" s="94"/>
      <c r="L635" s="94"/>
      <c r="M635" s="94"/>
      <c r="N635" s="95"/>
      <c r="O635" s="95"/>
      <c r="P635" s="95"/>
      <c r="Q635" s="95"/>
      <c r="R635" s="95"/>
      <c r="S635" s="95"/>
      <c r="T635" s="95"/>
      <c r="U635" s="95"/>
      <c r="V635" s="96"/>
      <c r="W635" s="96"/>
      <c r="X635" s="97"/>
      <c r="Y635" s="97"/>
      <c r="Z635" s="97"/>
      <c r="AA635" s="4"/>
      <c r="AB635" s="5"/>
    </row>
    <row r="636" spans="1:28" x14ac:dyDescent="0.2">
      <c r="A636" s="4"/>
      <c r="B636" s="90"/>
      <c r="C636" s="90"/>
      <c r="D636" s="90"/>
      <c r="E636" s="90"/>
      <c r="F636" s="90"/>
      <c r="G636" s="90"/>
      <c r="H636" s="90"/>
      <c r="I636" s="90"/>
      <c r="J636" s="90"/>
      <c r="K636" s="90"/>
      <c r="L636" s="90"/>
      <c r="M636" s="90"/>
      <c r="N636" s="91"/>
      <c r="O636" s="91"/>
      <c r="P636" s="91"/>
      <c r="Q636" s="91"/>
      <c r="R636" s="91"/>
      <c r="S636" s="91"/>
      <c r="T636" s="91"/>
      <c r="U636" s="91"/>
      <c r="V636" s="92"/>
      <c r="W636" s="92"/>
      <c r="X636" s="93"/>
      <c r="Y636" s="93"/>
      <c r="Z636" s="93"/>
      <c r="AA636" s="4"/>
      <c r="AB636" s="5"/>
    </row>
    <row r="637" spans="1:28" x14ac:dyDescent="0.2">
      <c r="A637" s="4"/>
      <c r="B637" s="94"/>
      <c r="C637" s="94"/>
      <c r="D637" s="94"/>
      <c r="E637" s="94"/>
      <c r="F637" s="94"/>
      <c r="G637" s="94"/>
      <c r="H637" s="94"/>
      <c r="I637" s="94"/>
      <c r="J637" s="94"/>
      <c r="K637" s="94"/>
      <c r="L637" s="94"/>
      <c r="M637" s="94"/>
      <c r="N637" s="95"/>
      <c r="O637" s="95"/>
      <c r="P637" s="95"/>
      <c r="Q637" s="95"/>
      <c r="R637" s="95"/>
      <c r="S637" s="95"/>
      <c r="T637" s="95"/>
      <c r="U637" s="95"/>
      <c r="V637" s="96"/>
      <c r="W637" s="96"/>
      <c r="X637" s="97"/>
      <c r="Y637" s="97"/>
      <c r="Z637" s="97"/>
      <c r="AA637" s="4"/>
      <c r="AB637" s="5"/>
    </row>
    <row r="638" spans="1:28" x14ac:dyDescent="0.2">
      <c r="A638" s="4"/>
      <c r="B638" s="90"/>
      <c r="C638" s="90"/>
      <c r="D638" s="90"/>
      <c r="E638" s="90"/>
      <c r="F638" s="90"/>
      <c r="G638" s="90"/>
      <c r="H638" s="90"/>
      <c r="I638" s="90"/>
      <c r="J638" s="90"/>
      <c r="K638" s="90"/>
      <c r="L638" s="90"/>
      <c r="M638" s="90"/>
      <c r="N638" s="91"/>
      <c r="O638" s="91"/>
      <c r="P638" s="91"/>
      <c r="Q638" s="91"/>
      <c r="R638" s="91"/>
      <c r="S638" s="91"/>
      <c r="T638" s="91"/>
      <c r="U638" s="91"/>
      <c r="V638" s="92"/>
      <c r="W638" s="92"/>
      <c r="X638" s="93"/>
      <c r="Y638" s="93"/>
      <c r="Z638" s="93"/>
      <c r="AA638" s="4"/>
      <c r="AB638" s="5"/>
    </row>
    <row r="639" spans="1:28" x14ac:dyDescent="0.2">
      <c r="A639" s="4"/>
      <c r="B639" s="94"/>
      <c r="C639" s="94"/>
      <c r="D639" s="94"/>
      <c r="E639" s="94"/>
      <c r="F639" s="94"/>
      <c r="G639" s="94"/>
      <c r="H639" s="94"/>
      <c r="I639" s="94"/>
      <c r="J639" s="94"/>
      <c r="K639" s="94"/>
      <c r="L639" s="94"/>
      <c r="M639" s="94"/>
      <c r="N639" s="95"/>
      <c r="O639" s="95"/>
      <c r="P639" s="95"/>
      <c r="Q639" s="95"/>
      <c r="R639" s="95"/>
      <c r="S639" s="95"/>
      <c r="T639" s="95"/>
      <c r="U639" s="95"/>
      <c r="V639" s="96"/>
      <c r="W639" s="96"/>
      <c r="X639" s="97"/>
      <c r="Y639" s="97"/>
      <c r="Z639" s="97"/>
      <c r="AA639" s="4"/>
      <c r="AB639" s="5"/>
    </row>
    <row r="640" spans="1:28" x14ac:dyDescent="0.2">
      <c r="A640" s="4"/>
      <c r="B640" s="90"/>
      <c r="C640" s="90"/>
      <c r="D640" s="90"/>
      <c r="E640" s="90"/>
      <c r="F640" s="90"/>
      <c r="G640" s="90"/>
      <c r="H640" s="90"/>
      <c r="I640" s="90"/>
      <c r="J640" s="90"/>
      <c r="K640" s="90"/>
      <c r="L640" s="90"/>
      <c r="M640" s="90"/>
      <c r="N640" s="91"/>
      <c r="O640" s="91"/>
      <c r="P640" s="91"/>
      <c r="Q640" s="91"/>
      <c r="R640" s="91"/>
      <c r="S640" s="91"/>
      <c r="T640" s="91"/>
      <c r="U640" s="91"/>
      <c r="V640" s="92"/>
      <c r="W640" s="92"/>
      <c r="X640" s="93"/>
      <c r="Y640" s="93"/>
      <c r="Z640" s="93"/>
      <c r="AA640" s="4"/>
      <c r="AB640" s="5"/>
    </row>
    <row r="641" spans="1:28" x14ac:dyDescent="0.2">
      <c r="A641" s="4"/>
      <c r="B641" s="94"/>
      <c r="C641" s="94"/>
      <c r="D641" s="94"/>
      <c r="E641" s="94"/>
      <c r="F641" s="94"/>
      <c r="G641" s="94"/>
      <c r="H641" s="94"/>
      <c r="I641" s="94"/>
      <c r="J641" s="94"/>
      <c r="K641" s="94"/>
      <c r="L641" s="94"/>
      <c r="M641" s="94"/>
      <c r="N641" s="95"/>
      <c r="O641" s="95"/>
      <c r="P641" s="95"/>
      <c r="Q641" s="95"/>
      <c r="R641" s="95"/>
      <c r="S641" s="95"/>
      <c r="T641" s="95"/>
      <c r="U641" s="95"/>
      <c r="V641" s="96"/>
      <c r="W641" s="96"/>
      <c r="X641" s="97"/>
      <c r="Y641" s="97"/>
      <c r="Z641" s="97"/>
      <c r="AA641" s="4"/>
      <c r="AB641" s="5"/>
    </row>
    <row r="642" spans="1:28" x14ac:dyDescent="0.2">
      <c r="A642" s="4"/>
      <c r="B642" s="90"/>
      <c r="C642" s="90"/>
      <c r="D642" s="90"/>
      <c r="E642" s="90"/>
      <c r="F642" s="90"/>
      <c r="G642" s="90"/>
      <c r="H642" s="90"/>
      <c r="I642" s="90"/>
      <c r="J642" s="90"/>
      <c r="K642" s="90"/>
      <c r="L642" s="90"/>
      <c r="M642" s="90"/>
      <c r="N642" s="91"/>
      <c r="O642" s="91"/>
      <c r="P642" s="91"/>
      <c r="Q642" s="91"/>
      <c r="R642" s="91"/>
      <c r="S642" s="91"/>
      <c r="T642" s="91"/>
      <c r="U642" s="91"/>
      <c r="V642" s="92"/>
      <c r="W642" s="92"/>
      <c r="X642" s="93"/>
      <c r="Y642" s="93"/>
      <c r="Z642" s="93"/>
      <c r="AA642" s="4"/>
      <c r="AB642" s="5"/>
    </row>
    <row r="643" spans="1:28" x14ac:dyDescent="0.2">
      <c r="A643" s="4"/>
      <c r="B643" s="94"/>
      <c r="C643" s="94"/>
      <c r="D643" s="94"/>
      <c r="E643" s="94"/>
      <c r="F643" s="94"/>
      <c r="G643" s="94"/>
      <c r="H643" s="94"/>
      <c r="I643" s="94"/>
      <c r="J643" s="94"/>
      <c r="K643" s="94"/>
      <c r="L643" s="94"/>
      <c r="M643" s="94"/>
      <c r="N643" s="95"/>
      <c r="O643" s="95"/>
      <c r="P643" s="95"/>
      <c r="Q643" s="95"/>
      <c r="R643" s="95"/>
      <c r="S643" s="95"/>
      <c r="T643" s="95"/>
      <c r="U643" s="95"/>
      <c r="V643" s="96"/>
      <c r="W643" s="96"/>
      <c r="X643" s="97"/>
      <c r="Y643" s="97"/>
      <c r="Z643" s="97"/>
      <c r="AA643" s="4"/>
      <c r="AB643" s="5"/>
    </row>
    <row r="644" spans="1:28" x14ac:dyDescent="0.2">
      <c r="A644" s="4"/>
      <c r="B644" s="90"/>
      <c r="C644" s="90"/>
      <c r="D644" s="90"/>
      <c r="E644" s="90"/>
      <c r="F644" s="90"/>
      <c r="G644" s="90"/>
      <c r="H644" s="90"/>
      <c r="I644" s="90"/>
      <c r="J644" s="90"/>
      <c r="K644" s="90"/>
      <c r="L644" s="90"/>
      <c r="M644" s="90"/>
      <c r="N644" s="91"/>
      <c r="O644" s="91"/>
      <c r="P644" s="91"/>
      <c r="Q644" s="91"/>
      <c r="R644" s="91"/>
      <c r="S644" s="91"/>
      <c r="T644" s="91"/>
      <c r="U644" s="91"/>
      <c r="V644" s="92"/>
      <c r="W644" s="92"/>
      <c r="X644" s="93"/>
      <c r="Y644" s="93"/>
      <c r="Z644" s="93"/>
      <c r="AA644" s="4"/>
      <c r="AB644" s="5"/>
    </row>
    <row r="645" spans="1:28" x14ac:dyDescent="0.2">
      <c r="A645" s="4"/>
      <c r="B645" s="94"/>
      <c r="C645" s="94"/>
      <c r="D645" s="94"/>
      <c r="E645" s="94"/>
      <c r="F645" s="94"/>
      <c r="G645" s="94"/>
      <c r="H645" s="94"/>
      <c r="I645" s="94"/>
      <c r="J645" s="94"/>
      <c r="K645" s="94"/>
      <c r="L645" s="94"/>
      <c r="M645" s="94"/>
      <c r="N645" s="95"/>
      <c r="O645" s="95"/>
      <c r="P645" s="95"/>
      <c r="Q645" s="95"/>
      <c r="R645" s="95"/>
      <c r="S645" s="95"/>
      <c r="T645" s="95"/>
      <c r="U645" s="95"/>
      <c r="V645" s="96"/>
      <c r="W645" s="96"/>
      <c r="X645" s="97"/>
      <c r="Y645" s="97"/>
      <c r="Z645" s="97"/>
      <c r="AA645" s="4"/>
      <c r="AB645" s="5"/>
    </row>
    <row r="646" spans="1:28" x14ac:dyDescent="0.2">
      <c r="A646" s="4"/>
      <c r="B646" s="90"/>
      <c r="C646" s="90"/>
      <c r="D646" s="90"/>
      <c r="E646" s="90"/>
      <c r="F646" s="90"/>
      <c r="G646" s="90"/>
      <c r="H646" s="90"/>
      <c r="I646" s="90"/>
      <c r="J646" s="90"/>
      <c r="K646" s="90"/>
      <c r="L646" s="90"/>
      <c r="M646" s="90"/>
      <c r="N646" s="91"/>
      <c r="O646" s="91"/>
      <c r="P646" s="91"/>
      <c r="Q646" s="91"/>
      <c r="R646" s="91"/>
      <c r="S646" s="91"/>
      <c r="T646" s="91"/>
      <c r="U646" s="91"/>
      <c r="V646" s="92"/>
      <c r="W646" s="92"/>
      <c r="X646" s="93"/>
      <c r="Y646" s="93"/>
      <c r="Z646" s="93"/>
      <c r="AA646" s="4"/>
      <c r="AB646" s="5"/>
    </row>
    <row r="647" spans="1:28" x14ac:dyDescent="0.2">
      <c r="A647" s="4"/>
      <c r="B647" s="94"/>
      <c r="C647" s="94"/>
      <c r="D647" s="94"/>
      <c r="E647" s="94"/>
      <c r="F647" s="94"/>
      <c r="G647" s="94"/>
      <c r="H647" s="94"/>
      <c r="I647" s="94"/>
      <c r="J647" s="94"/>
      <c r="K647" s="94"/>
      <c r="L647" s="94"/>
      <c r="M647" s="94"/>
      <c r="N647" s="95"/>
      <c r="O647" s="95"/>
      <c r="P647" s="95"/>
      <c r="Q647" s="95"/>
      <c r="R647" s="95"/>
      <c r="S647" s="95"/>
      <c r="T647" s="95"/>
      <c r="U647" s="95"/>
      <c r="V647" s="96"/>
      <c r="W647" s="96"/>
      <c r="X647" s="97"/>
      <c r="Y647" s="97"/>
      <c r="Z647" s="97"/>
      <c r="AA647" s="4"/>
      <c r="AB647" s="5"/>
    </row>
    <row r="648" spans="1:28" x14ac:dyDescent="0.2">
      <c r="A648" s="4"/>
      <c r="B648" s="90"/>
      <c r="C648" s="90"/>
      <c r="D648" s="90"/>
      <c r="E648" s="90"/>
      <c r="F648" s="90"/>
      <c r="G648" s="90"/>
      <c r="H648" s="90"/>
      <c r="I648" s="90"/>
      <c r="J648" s="90"/>
      <c r="K648" s="90"/>
      <c r="L648" s="90"/>
      <c r="M648" s="90"/>
      <c r="N648" s="91"/>
      <c r="O648" s="91"/>
      <c r="P648" s="91"/>
      <c r="Q648" s="91"/>
      <c r="R648" s="91"/>
      <c r="S648" s="91"/>
      <c r="T648" s="91"/>
      <c r="U648" s="91"/>
      <c r="V648" s="92"/>
      <c r="W648" s="92"/>
      <c r="X648" s="93"/>
      <c r="Y648" s="93"/>
      <c r="Z648" s="93"/>
      <c r="AA648" s="4"/>
      <c r="AB648" s="5"/>
    </row>
    <row r="649" spans="1:28" x14ac:dyDescent="0.2">
      <c r="A649" s="4"/>
      <c r="B649" s="94"/>
      <c r="C649" s="94"/>
      <c r="D649" s="94"/>
      <c r="E649" s="94"/>
      <c r="F649" s="94"/>
      <c r="G649" s="94"/>
      <c r="H649" s="94"/>
      <c r="I649" s="94"/>
      <c r="J649" s="94"/>
      <c r="K649" s="94"/>
      <c r="L649" s="94"/>
      <c r="M649" s="94"/>
      <c r="N649" s="95"/>
      <c r="O649" s="95"/>
      <c r="P649" s="95"/>
      <c r="Q649" s="95"/>
      <c r="R649" s="95"/>
      <c r="S649" s="95"/>
      <c r="T649" s="95"/>
      <c r="U649" s="95"/>
      <c r="V649" s="96"/>
      <c r="W649" s="96"/>
      <c r="X649" s="97"/>
      <c r="Y649" s="97"/>
      <c r="Z649" s="97"/>
      <c r="AA649" s="4"/>
      <c r="AB649" s="5"/>
    </row>
    <row r="650" spans="1:28" x14ac:dyDescent="0.2">
      <c r="A650" s="4"/>
      <c r="B650" s="90"/>
      <c r="C650" s="90"/>
      <c r="D650" s="90"/>
      <c r="E650" s="90"/>
      <c r="F650" s="90"/>
      <c r="G650" s="90"/>
      <c r="H650" s="90"/>
      <c r="I650" s="90"/>
      <c r="J650" s="90"/>
      <c r="K650" s="90"/>
      <c r="L650" s="90"/>
      <c r="M650" s="90"/>
      <c r="N650" s="91"/>
      <c r="O650" s="91"/>
      <c r="P650" s="91"/>
      <c r="Q650" s="91"/>
      <c r="R650" s="91"/>
      <c r="S650" s="91"/>
      <c r="T650" s="91"/>
      <c r="U650" s="91"/>
      <c r="V650" s="92"/>
      <c r="W650" s="92"/>
      <c r="X650" s="93"/>
      <c r="Y650" s="93"/>
      <c r="Z650" s="93"/>
      <c r="AA650" s="4"/>
      <c r="AB650" s="5"/>
    </row>
    <row r="651" spans="1:28" x14ac:dyDescent="0.2">
      <c r="A651" s="4"/>
      <c r="B651" s="94"/>
      <c r="C651" s="94"/>
      <c r="D651" s="94"/>
      <c r="E651" s="94"/>
      <c r="F651" s="94"/>
      <c r="G651" s="94"/>
      <c r="H651" s="94"/>
      <c r="I651" s="94"/>
      <c r="J651" s="94"/>
      <c r="K651" s="94"/>
      <c r="L651" s="94"/>
      <c r="M651" s="94"/>
      <c r="N651" s="95"/>
      <c r="O651" s="95"/>
      <c r="P651" s="95"/>
      <c r="Q651" s="95"/>
      <c r="R651" s="95"/>
      <c r="S651" s="95"/>
      <c r="T651" s="95"/>
      <c r="U651" s="95"/>
      <c r="V651" s="96"/>
      <c r="W651" s="96"/>
      <c r="X651" s="97"/>
      <c r="Y651" s="97"/>
      <c r="Z651" s="97"/>
      <c r="AA651" s="4"/>
      <c r="AB651" s="5"/>
    </row>
    <row r="652" spans="1:28" x14ac:dyDescent="0.2">
      <c r="A652" s="4"/>
      <c r="B652" s="90"/>
      <c r="C652" s="90"/>
      <c r="D652" s="90"/>
      <c r="E652" s="90"/>
      <c r="F652" s="90"/>
      <c r="G652" s="90"/>
      <c r="H652" s="90"/>
      <c r="I652" s="90"/>
      <c r="J652" s="90"/>
      <c r="K652" s="90"/>
      <c r="L652" s="90"/>
      <c r="M652" s="90"/>
      <c r="N652" s="91"/>
      <c r="O652" s="91"/>
      <c r="P652" s="91"/>
      <c r="Q652" s="91"/>
      <c r="R652" s="91"/>
      <c r="S652" s="91"/>
      <c r="T652" s="91"/>
      <c r="U652" s="91"/>
      <c r="V652" s="92"/>
      <c r="W652" s="92"/>
      <c r="X652" s="93"/>
      <c r="Y652" s="93"/>
      <c r="Z652" s="93"/>
      <c r="AA652" s="4"/>
      <c r="AB652" s="5"/>
    </row>
    <row r="653" spans="1:28" x14ac:dyDescent="0.2">
      <c r="A653" s="4"/>
      <c r="B653" s="94"/>
      <c r="C653" s="94"/>
      <c r="D653" s="94"/>
      <c r="E653" s="94"/>
      <c r="F653" s="94"/>
      <c r="G653" s="94"/>
      <c r="H653" s="94"/>
      <c r="I653" s="94"/>
      <c r="J653" s="94"/>
      <c r="K653" s="94"/>
      <c r="L653" s="94"/>
      <c r="M653" s="94"/>
      <c r="N653" s="95"/>
      <c r="O653" s="95"/>
      <c r="P653" s="95"/>
      <c r="Q653" s="95"/>
      <c r="R653" s="95"/>
      <c r="S653" s="95"/>
      <c r="T653" s="95"/>
      <c r="U653" s="95"/>
      <c r="V653" s="96"/>
      <c r="W653" s="96"/>
      <c r="X653" s="97"/>
      <c r="Y653" s="97"/>
      <c r="Z653" s="97"/>
      <c r="AA653" s="4"/>
      <c r="AB653" s="5"/>
    </row>
    <row r="654" spans="1:28" x14ac:dyDescent="0.2">
      <c r="A654" s="4"/>
      <c r="B654" s="90"/>
      <c r="C654" s="90"/>
      <c r="D654" s="90"/>
      <c r="E654" s="90"/>
      <c r="F654" s="90"/>
      <c r="G654" s="90"/>
      <c r="H654" s="90"/>
      <c r="I654" s="90"/>
      <c r="J654" s="90"/>
      <c r="K654" s="90"/>
      <c r="L654" s="90"/>
      <c r="M654" s="90"/>
      <c r="N654" s="91"/>
      <c r="O654" s="91"/>
      <c r="P654" s="91"/>
      <c r="Q654" s="91"/>
      <c r="R654" s="91"/>
      <c r="S654" s="91"/>
      <c r="T654" s="91"/>
      <c r="U654" s="91"/>
      <c r="V654" s="92"/>
      <c r="W654" s="92"/>
      <c r="X654" s="93"/>
      <c r="Y654" s="93"/>
      <c r="Z654" s="93"/>
      <c r="AA654" s="4"/>
      <c r="AB654" s="5"/>
    </row>
    <row r="655" spans="1:28" x14ac:dyDescent="0.2">
      <c r="A655" s="4"/>
      <c r="B655" s="94"/>
      <c r="C655" s="94"/>
      <c r="D655" s="94"/>
      <c r="E655" s="94"/>
      <c r="F655" s="94"/>
      <c r="G655" s="94"/>
      <c r="H655" s="94"/>
      <c r="I655" s="94"/>
      <c r="J655" s="94"/>
      <c r="K655" s="94"/>
      <c r="L655" s="94"/>
      <c r="M655" s="94"/>
      <c r="N655" s="95"/>
      <c r="O655" s="95"/>
      <c r="P655" s="95"/>
      <c r="Q655" s="95"/>
      <c r="R655" s="95"/>
      <c r="S655" s="95"/>
      <c r="T655" s="95"/>
      <c r="U655" s="95"/>
      <c r="V655" s="96"/>
      <c r="W655" s="96"/>
      <c r="X655" s="97"/>
      <c r="Y655" s="97"/>
      <c r="Z655" s="97"/>
      <c r="AA655" s="4"/>
      <c r="AB655" s="5"/>
    </row>
    <row r="656" spans="1:28" x14ac:dyDescent="0.2">
      <c r="A656" s="4"/>
      <c r="B656" s="90"/>
      <c r="C656" s="90"/>
      <c r="D656" s="90"/>
      <c r="E656" s="90"/>
      <c r="F656" s="90"/>
      <c r="G656" s="90"/>
      <c r="H656" s="90"/>
      <c r="I656" s="90"/>
      <c r="J656" s="90"/>
      <c r="K656" s="90"/>
      <c r="L656" s="90"/>
      <c r="M656" s="90"/>
      <c r="N656" s="91"/>
      <c r="O656" s="91"/>
      <c r="P656" s="91"/>
      <c r="Q656" s="91"/>
      <c r="R656" s="91"/>
      <c r="S656" s="91"/>
      <c r="T656" s="91"/>
      <c r="U656" s="91"/>
      <c r="V656" s="92"/>
      <c r="W656" s="92"/>
      <c r="X656" s="93"/>
      <c r="Y656" s="93"/>
      <c r="Z656" s="93"/>
      <c r="AA656" s="4"/>
      <c r="AB656" s="5"/>
    </row>
    <row r="657" spans="1:28" x14ac:dyDescent="0.2">
      <c r="A657" s="4"/>
      <c r="B657" s="94"/>
      <c r="C657" s="94"/>
      <c r="D657" s="94"/>
      <c r="E657" s="94"/>
      <c r="F657" s="94"/>
      <c r="G657" s="94"/>
      <c r="H657" s="94"/>
      <c r="I657" s="94"/>
      <c r="J657" s="94"/>
      <c r="K657" s="94"/>
      <c r="L657" s="94"/>
      <c r="M657" s="94"/>
      <c r="N657" s="95"/>
      <c r="O657" s="95"/>
      <c r="P657" s="95"/>
      <c r="Q657" s="95"/>
      <c r="R657" s="95"/>
      <c r="S657" s="95"/>
      <c r="T657" s="95"/>
      <c r="U657" s="95"/>
      <c r="V657" s="96"/>
      <c r="W657" s="96"/>
      <c r="X657" s="97"/>
      <c r="Y657" s="97"/>
      <c r="Z657" s="97"/>
      <c r="AA657" s="4"/>
      <c r="AB657" s="5"/>
    </row>
    <row r="658" spans="1:28" x14ac:dyDescent="0.2">
      <c r="A658" s="4"/>
      <c r="B658" s="90"/>
      <c r="C658" s="90"/>
      <c r="D658" s="90"/>
      <c r="E658" s="90"/>
      <c r="F658" s="90"/>
      <c r="G658" s="90"/>
      <c r="H658" s="90"/>
      <c r="I658" s="90"/>
      <c r="J658" s="90"/>
      <c r="K658" s="90"/>
      <c r="L658" s="90"/>
      <c r="M658" s="90"/>
      <c r="N658" s="91"/>
      <c r="O658" s="91"/>
      <c r="P658" s="91"/>
      <c r="Q658" s="91"/>
      <c r="R658" s="91"/>
      <c r="S658" s="91"/>
      <c r="T658" s="91"/>
      <c r="U658" s="91"/>
      <c r="V658" s="92"/>
      <c r="W658" s="92"/>
      <c r="X658" s="93"/>
      <c r="Y658" s="93"/>
      <c r="Z658" s="93"/>
      <c r="AA658" s="4"/>
      <c r="AB658" s="5"/>
    </row>
    <row r="659" spans="1:28" x14ac:dyDescent="0.2">
      <c r="A659" s="4"/>
      <c r="B659" s="94"/>
      <c r="C659" s="94"/>
      <c r="D659" s="94"/>
      <c r="E659" s="94"/>
      <c r="F659" s="94"/>
      <c r="G659" s="94"/>
      <c r="H659" s="94"/>
      <c r="I659" s="94"/>
      <c r="J659" s="94"/>
      <c r="K659" s="94"/>
      <c r="L659" s="94"/>
      <c r="M659" s="94"/>
      <c r="N659" s="95"/>
      <c r="O659" s="95"/>
      <c r="P659" s="95"/>
      <c r="Q659" s="95"/>
      <c r="R659" s="95"/>
      <c r="S659" s="95"/>
      <c r="T659" s="95"/>
      <c r="U659" s="95"/>
      <c r="V659" s="96"/>
      <c r="W659" s="96"/>
      <c r="X659" s="97"/>
      <c r="Y659" s="97"/>
      <c r="Z659" s="97"/>
      <c r="AA659" s="4"/>
      <c r="AB659" s="5"/>
    </row>
    <row r="660" spans="1:28" x14ac:dyDescent="0.2">
      <c r="A660" s="4"/>
      <c r="B660" s="90"/>
      <c r="C660" s="90"/>
      <c r="D660" s="90"/>
      <c r="E660" s="90"/>
      <c r="F660" s="90"/>
      <c r="G660" s="90"/>
      <c r="H660" s="90"/>
      <c r="I660" s="90"/>
      <c r="J660" s="90"/>
      <c r="K660" s="90"/>
      <c r="L660" s="90"/>
      <c r="M660" s="90"/>
      <c r="N660" s="91"/>
      <c r="O660" s="91"/>
      <c r="P660" s="91"/>
      <c r="Q660" s="91"/>
      <c r="R660" s="91"/>
      <c r="S660" s="91"/>
      <c r="T660" s="91"/>
      <c r="U660" s="91"/>
      <c r="V660" s="92"/>
      <c r="W660" s="92"/>
      <c r="X660" s="93"/>
      <c r="Y660" s="93"/>
      <c r="Z660" s="93"/>
      <c r="AA660" s="4"/>
      <c r="AB660" s="5"/>
    </row>
    <row r="661" spans="1:28" x14ac:dyDescent="0.2">
      <c r="A661" s="4"/>
      <c r="B661" s="94"/>
      <c r="C661" s="94"/>
      <c r="D661" s="94"/>
      <c r="E661" s="94"/>
      <c r="F661" s="94"/>
      <c r="G661" s="94"/>
      <c r="H661" s="94"/>
      <c r="I661" s="94"/>
      <c r="J661" s="94"/>
      <c r="K661" s="94"/>
      <c r="L661" s="94"/>
      <c r="M661" s="94"/>
      <c r="N661" s="95"/>
      <c r="O661" s="95"/>
      <c r="P661" s="95"/>
      <c r="Q661" s="95"/>
      <c r="R661" s="95"/>
      <c r="S661" s="95"/>
      <c r="T661" s="95"/>
      <c r="U661" s="95"/>
      <c r="V661" s="96"/>
      <c r="W661" s="96"/>
      <c r="X661" s="97"/>
      <c r="Y661" s="97"/>
      <c r="Z661" s="97"/>
      <c r="AA661" s="4"/>
      <c r="AB661" s="5"/>
    </row>
    <row r="662" spans="1:28" x14ac:dyDescent="0.2">
      <c r="A662" s="4"/>
      <c r="B662" s="90"/>
      <c r="C662" s="90"/>
      <c r="D662" s="90"/>
      <c r="E662" s="90"/>
      <c r="F662" s="90"/>
      <c r="G662" s="90"/>
      <c r="H662" s="90"/>
      <c r="I662" s="90"/>
      <c r="J662" s="90"/>
      <c r="K662" s="90"/>
      <c r="L662" s="90"/>
      <c r="M662" s="90"/>
      <c r="N662" s="91"/>
      <c r="O662" s="91"/>
      <c r="P662" s="91"/>
      <c r="Q662" s="91"/>
      <c r="R662" s="91"/>
      <c r="S662" s="91"/>
      <c r="T662" s="91"/>
      <c r="U662" s="91"/>
      <c r="V662" s="92"/>
      <c r="W662" s="92"/>
      <c r="X662" s="93"/>
      <c r="Y662" s="93"/>
      <c r="Z662" s="93"/>
      <c r="AA662" s="4"/>
      <c r="AB662" s="5"/>
    </row>
    <row r="663" spans="1:28" x14ac:dyDescent="0.2">
      <c r="A663" s="4"/>
      <c r="B663" s="94"/>
      <c r="C663" s="94"/>
      <c r="D663" s="94"/>
      <c r="E663" s="94"/>
      <c r="F663" s="94"/>
      <c r="G663" s="94"/>
      <c r="H663" s="94"/>
      <c r="I663" s="94"/>
      <c r="J663" s="94"/>
      <c r="K663" s="94"/>
      <c r="L663" s="94"/>
      <c r="M663" s="94"/>
      <c r="N663" s="95"/>
      <c r="O663" s="95"/>
      <c r="P663" s="95"/>
      <c r="Q663" s="95"/>
      <c r="R663" s="95"/>
      <c r="S663" s="95"/>
      <c r="T663" s="95"/>
      <c r="U663" s="95"/>
      <c r="V663" s="96"/>
      <c r="W663" s="96"/>
      <c r="X663" s="97"/>
      <c r="Y663" s="97"/>
      <c r="Z663" s="97"/>
      <c r="AA663" s="4"/>
      <c r="AB663" s="5"/>
    </row>
    <row r="664" spans="1:28" x14ac:dyDescent="0.2">
      <c r="A664" s="4"/>
      <c r="B664" s="90"/>
      <c r="C664" s="90"/>
      <c r="D664" s="90"/>
      <c r="E664" s="90"/>
      <c r="F664" s="90"/>
      <c r="G664" s="90"/>
      <c r="H664" s="90"/>
      <c r="I664" s="90"/>
      <c r="J664" s="90"/>
      <c r="K664" s="90"/>
      <c r="L664" s="90"/>
      <c r="M664" s="90"/>
      <c r="N664" s="91"/>
      <c r="O664" s="91"/>
      <c r="P664" s="91"/>
      <c r="Q664" s="91"/>
      <c r="R664" s="91"/>
      <c r="S664" s="91"/>
      <c r="T664" s="91"/>
      <c r="U664" s="91"/>
      <c r="V664" s="92"/>
      <c r="W664" s="92"/>
      <c r="X664" s="93"/>
      <c r="Y664" s="93"/>
      <c r="Z664" s="93"/>
      <c r="AA664" s="4"/>
      <c r="AB664" s="5"/>
    </row>
    <row r="665" spans="1:28" x14ac:dyDescent="0.2">
      <c r="A665" s="4"/>
      <c r="B665" s="94"/>
      <c r="C665" s="94"/>
      <c r="D665" s="94"/>
      <c r="E665" s="94"/>
      <c r="F665" s="94"/>
      <c r="G665" s="94"/>
      <c r="H665" s="94"/>
      <c r="I665" s="94"/>
      <c r="J665" s="94"/>
      <c r="K665" s="94"/>
      <c r="L665" s="94"/>
      <c r="M665" s="94"/>
      <c r="N665" s="95"/>
      <c r="O665" s="95"/>
      <c r="P665" s="95"/>
      <c r="Q665" s="95"/>
      <c r="R665" s="95"/>
      <c r="S665" s="95"/>
      <c r="T665" s="95"/>
      <c r="U665" s="95"/>
      <c r="V665" s="96"/>
      <c r="W665" s="96"/>
      <c r="X665" s="97"/>
      <c r="Y665" s="97"/>
      <c r="Z665" s="97"/>
      <c r="AA665" s="4"/>
      <c r="AB665" s="5"/>
    </row>
    <row r="666" spans="1:28" x14ac:dyDescent="0.2">
      <c r="A666" s="4"/>
      <c r="B666" s="90"/>
      <c r="C666" s="90"/>
      <c r="D666" s="90"/>
      <c r="E666" s="90"/>
      <c r="F666" s="90"/>
      <c r="G666" s="90"/>
      <c r="H666" s="90"/>
      <c r="I666" s="90"/>
      <c r="J666" s="90"/>
      <c r="K666" s="90"/>
      <c r="L666" s="90"/>
      <c r="M666" s="90"/>
      <c r="N666" s="91"/>
      <c r="O666" s="91"/>
      <c r="P666" s="91"/>
      <c r="Q666" s="91"/>
      <c r="R666" s="91"/>
      <c r="S666" s="91"/>
      <c r="T666" s="91"/>
      <c r="U666" s="91"/>
      <c r="V666" s="92"/>
      <c r="W666" s="92"/>
      <c r="X666" s="93"/>
      <c r="Y666" s="93"/>
      <c r="Z666" s="93"/>
      <c r="AA666" s="4"/>
      <c r="AB666" s="5"/>
    </row>
    <row r="667" spans="1:28" x14ac:dyDescent="0.2">
      <c r="A667" s="4"/>
      <c r="B667" s="94"/>
      <c r="C667" s="94"/>
      <c r="D667" s="94"/>
      <c r="E667" s="94"/>
      <c r="F667" s="94"/>
      <c r="G667" s="94"/>
      <c r="H667" s="94"/>
      <c r="I667" s="94"/>
      <c r="J667" s="94"/>
      <c r="K667" s="94"/>
      <c r="L667" s="94"/>
      <c r="M667" s="94"/>
      <c r="N667" s="95"/>
      <c r="O667" s="95"/>
      <c r="P667" s="95"/>
      <c r="Q667" s="95"/>
      <c r="R667" s="95"/>
      <c r="S667" s="95"/>
      <c r="T667" s="95"/>
      <c r="U667" s="95"/>
      <c r="V667" s="96"/>
      <c r="W667" s="96"/>
      <c r="X667" s="97"/>
      <c r="Y667" s="97"/>
      <c r="Z667" s="97"/>
      <c r="AA667" s="4"/>
      <c r="AB667" s="5"/>
    </row>
    <row r="668" spans="1:28" x14ac:dyDescent="0.2">
      <c r="A668" s="4"/>
      <c r="B668" s="90"/>
      <c r="C668" s="90"/>
      <c r="D668" s="90"/>
      <c r="E668" s="90"/>
      <c r="F668" s="90"/>
      <c r="G668" s="90"/>
      <c r="H668" s="90"/>
      <c r="I668" s="90"/>
      <c r="J668" s="90"/>
      <c r="K668" s="90"/>
      <c r="L668" s="90"/>
      <c r="M668" s="90"/>
      <c r="N668" s="91"/>
      <c r="O668" s="91"/>
      <c r="P668" s="91"/>
      <c r="Q668" s="91"/>
      <c r="R668" s="91"/>
      <c r="S668" s="91"/>
      <c r="T668" s="91"/>
      <c r="U668" s="91"/>
      <c r="V668" s="92"/>
      <c r="W668" s="92"/>
      <c r="X668" s="93"/>
      <c r="Y668" s="93"/>
      <c r="Z668" s="93"/>
      <c r="AA668" s="4"/>
      <c r="AB668" s="5"/>
    </row>
    <row r="669" spans="1:28" x14ac:dyDescent="0.2">
      <c r="A669" s="4"/>
      <c r="B669" s="94"/>
      <c r="C669" s="94"/>
      <c r="D669" s="94"/>
      <c r="E669" s="94"/>
      <c r="F669" s="94"/>
      <c r="G669" s="94"/>
      <c r="H669" s="94"/>
      <c r="I669" s="94"/>
      <c r="J669" s="94"/>
      <c r="K669" s="94"/>
      <c r="L669" s="94"/>
      <c r="M669" s="94"/>
      <c r="N669" s="95"/>
      <c r="O669" s="95"/>
      <c r="P669" s="95"/>
      <c r="Q669" s="95"/>
      <c r="R669" s="95"/>
      <c r="S669" s="95"/>
      <c r="T669" s="95"/>
      <c r="U669" s="95"/>
      <c r="V669" s="96"/>
      <c r="W669" s="96"/>
      <c r="X669" s="97"/>
      <c r="Y669" s="97"/>
      <c r="Z669" s="97"/>
      <c r="AA669" s="4"/>
      <c r="AB669" s="5"/>
    </row>
    <row r="670" spans="1:28" x14ac:dyDescent="0.2">
      <c r="A670" s="4"/>
      <c r="B670" s="90"/>
      <c r="C670" s="90"/>
      <c r="D670" s="90"/>
      <c r="E670" s="90"/>
      <c r="F670" s="90"/>
      <c r="G670" s="90"/>
      <c r="H670" s="90"/>
      <c r="I670" s="90"/>
      <c r="J670" s="90"/>
      <c r="K670" s="90"/>
      <c r="L670" s="90"/>
      <c r="M670" s="90"/>
      <c r="N670" s="91"/>
      <c r="O670" s="91"/>
      <c r="P670" s="91"/>
      <c r="Q670" s="91"/>
      <c r="R670" s="91"/>
      <c r="S670" s="91"/>
      <c r="T670" s="91"/>
      <c r="U670" s="91"/>
      <c r="V670" s="92"/>
      <c r="W670" s="92"/>
      <c r="X670" s="93"/>
      <c r="Y670" s="93"/>
      <c r="Z670" s="93"/>
      <c r="AA670" s="4"/>
      <c r="AB670" s="5"/>
    </row>
    <row r="671" spans="1:28" x14ac:dyDescent="0.2">
      <c r="A671" s="4"/>
      <c r="B671" s="94"/>
      <c r="C671" s="94"/>
      <c r="D671" s="94"/>
      <c r="E671" s="94"/>
      <c r="F671" s="94"/>
      <c r="G671" s="94"/>
      <c r="H671" s="94"/>
      <c r="I671" s="94"/>
      <c r="J671" s="94"/>
      <c r="K671" s="94"/>
      <c r="L671" s="94"/>
      <c r="M671" s="94"/>
      <c r="N671" s="95"/>
      <c r="O671" s="95"/>
      <c r="P671" s="95"/>
      <c r="Q671" s="95"/>
      <c r="R671" s="95"/>
      <c r="S671" s="95"/>
      <c r="T671" s="95"/>
      <c r="U671" s="95"/>
      <c r="V671" s="96"/>
      <c r="W671" s="96"/>
      <c r="X671" s="97"/>
      <c r="Y671" s="97"/>
      <c r="Z671" s="97"/>
      <c r="AA671" s="4"/>
      <c r="AB671" s="5"/>
    </row>
    <row r="672" spans="1:28" x14ac:dyDescent="0.2">
      <c r="A672" s="4"/>
      <c r="B672" s="90"/>
      <c r="C672" s="90"/>
      <c r="D672" s="90"/>
      <c r="E672" s="90"/>
      <c r="F672" s="90"/>
      <c r="G672" s="90"/>
      <c r="H672" s="90"/>
      <c r="I672" s="90"/>
      <c r="J672" s="90"/>
      <c r="K672" s="90"/>
      <c r="L672" s="90"/>
      <c r="M672" s="90"/>
      <c r="N672" s="91"/>
      <c r="O672" s="91"/>
      <c r="P672" s="91"/>
      <c r="Q672" s="91"/>
      <c r="R672" s="91"/>
      <c r="S672" s="91"/>
      <c r="T672" s="91"/>
      <c r="U672" s="91"/>
      <c r="V672" s="92"/>
      <c r="W672" s="92"/>
      <c r="X672" s="93"/>
      <c r="Y672" s="93"/>
      <c r="Z672" s="93"/>
      <c r="AA672" s="4"/>
      <c r="AB672" s="5"/>
    </row>
    <row r="673" spans="1:28" x14ac:dyDescent="0.2">
      <c r="A673" s="4"/>
      <c r="B673" s="94"/>
      <c r="C673" s="94"/>
      <c r="D673" s="94"/>
      <c r="E673" s="94"/>
      <c r="F673" s="94"/>
      <c r="G673" s="94"/>
      <c r="H673" s="94"/>
      <c r="I673" s="94"/>
      <c r="J673" s="94"/>
      <c r="K673" s="94"/>
      <c r="L673" s="94"/>
      <c r="M673" s="94"/>
      <c r="N673" s="95"/>
      <c r="O673" s="95"/>
      <c r="P673" s="95"/>
      <c r="Q673" s="95"/>
      <c r="R673" s="95"/>
      <c r="S673" s="95"/>
      <c r="T673" s="95"/>
      <c r="U673" s="95"/>
      <c r="V673" s="96"/>
      <c r="W673" s="96"/>
      <c r="X673" s="97"/>
      <c r="Y673" s="97"/>
      <c r="Z673" s="97"/>
      <c r="AA673" s="4"/>
      <c r="AB673" s="5"/>
    </row>
    <row r="674" spans="1:28" x14ac:dyDescent="0.2">
      <c r="A674" s="4"/>
      <c r="B674" s="90"/>
      <c r="C674" s="90"/>
      <c r="D674" s="90"/>
      <c r="E674" s="90"/>
      <c r="F674" s="90"/>
      <c r="G674" s="90"/>
      <c r="H674" s="90"/>
      <c r="I674" s="90"/>
      <c r="J674" s="90"/>
      <c r="K674" s="90"/>
      <c r="L674" s="90"/>
      <c r="M674" s="90"/>
      <c r="N674" s="91"/>
      <c r="O674" s="91"/>
      <c r="P674" s="91"/>
      <c r="Q674" s="91"/>
      <c r="R674" s="91"/>
      <c r="S674" s="91"/>
      <c r="T674" s="91"/>
      <c r="U674" s="91"/>
      <c r="V674" s="92"/>
      <c r="W674" s="92"/>
      <c r="X674" s="93"/>
      <c r="Y674" s="93"/>
      <c r="Z674" s="93"/>
      <c r="AA674" s="4"/>
      <c r="AB674" s="5"/>
    </row>
    <row r="675" spans="1:28" x14ac:dyDescent="0.2">
      <c r="A675" s="4"/>
      <c r="B675" s="94"/>
      <c r="C675" s="94"/>
      <c r="D675" s="94"/>
      <c r="E675" s="94"/>
      <c r="F675" s="94"/>
      <c r="G675" s="94"/>
      <c r="H675" s="94"/>
      <c r="I675" s="94"/>
      <c r="J675" s="94"/>
      <c r="K675" s="94"/>
      <c r="L675" s="94"/>
      <c r="M675" s="94"/>
      <c r="N675" s="95"/>
      <c r="O675" s="95"/>
      <c r="P675" s="95"/>
      <c r="Q675" s="95"/>
      <c r="R675" s="95"/>
      <c r="S675" s="95"/>
      <c r="T675" s="95"/>
      <c r="U675" s="95"/>
      <c r="V675" s="96"/>
      <c r="W675" s="96"/>
      <c r="X675" s="97"/>
      <c r="Y675" s="97"/>
      <c r="Z675" s="97"/>
      <c r="AA675" s="4"/>
      <c r="AB675" s="5"/>
    </row>
    <row r="676" spans="1:28" x14ac:dyDescent="0.2">
      <c r="A676" s="4"/>
      <c r="B676" s="90"/>
      <c r="C676" s="90"/>
      <c r="D676" s="90"/>
      <c r="E676" s="90"/>
      <c r="F676" s="90"/>
      <c r="G676" s="90"/>
      <c r="H676" s="90"/>
      <c r="I676" s="90"/>
      <c r="J676" s="90"/>
      <c r="K676" s="90"/>
      <c r="L676" s="90"/>
      <c r="M676" s="90"/>
      <c r="N676" s="91"/>
      <c r="O676" s="91"/>
      <c r="P676" s="91"/>
      <c r="Q676" s="91"/>
      <c r="R676" s="91"/>
      <c r="S676" s="91"/>
      <c r="T676" s="91"/>
      <c r="U676" s="91"/>
      <c r="V676" s="92"/>
      <c r="W676" s="92"/>
      <c r="X676" s="93"/>
      <c r="Y676" s="93"/>
      <c r="Z676" s="93"/>
      <c r="AA676" s="4"/>
      <c r="AB676" s="5"/>
    </row>
    <row r="677" spans="1:28" x14ac:dyDescent="0.2">
      <c r="A677" s="4"/>
      <c r="B677" s="94"/>
      <c r="C677" s="94"/>
      <c r="D677" s="94"/>
      <c r="E677" s="94"/>
      <c r="F677" s="94"/>
      <c r="G677" s="94"/>
      <c r="H677" s="94"/>
      <c r="I677" s="94"/>
      <c r="J677" s="94"/>
      <c r="K677" s="94"/>
      <c r="L677" s="94"/>
      <c r="M677" s="94"/>
      <c r="N677" s="95"/>
      <c r="O677" s="95"/>
      <c r="P677" s="95"/>
      <c r="Q677" s="95"/>
      <c r="R677" s="95"/>
      <c r="S677" s="95"/>
      <c r="T677" s="95"/>
      <c r="U677" s="95"/>
      <c r="V677" s="96"/>
      <c r="W677" s="96"/>
      <c r="X677" s="97"/>
      <c r="Y677" s="97"/>
      <c r="Z677" s="97"/>
      <c r="AA677" s="4"/>
      <c r="AB677" s="5"/>
    </row>
    <row r="678" spans="1:28" x14ac:dyDescent="0.2">
      <c r="A678" s="4"/>
      <c r="B678" s="90"/>
      <c r="C678" s="90"/>
      <c r="D678" s="90"/>
      <c r="E678" s="90"/>
      <c r="F678" s="90"/>
      <c r="G678" s="90"/>
      <c r="H678" s="90"/>
      <c r="I678" s="90"/>
      <c r="J678" s="90"/>
      <c r="K678" s="90"/>
      <c r="L678" s="90"/>
      <c r="M678" s="90"/>
      <c r="N678" s="91"/>
      <c r="O678" s="91"/>
      <c r="P678" s="91"/>
      <c r="Q678" s="91"/>
      <c r="R678" s="91"/>
      <c r="S678" s="91"/>
      <c r="T678" s="91"/>
      <c r="U678" s="91"/>
      <c r="V678" s="92"/>
      <c r="W678" s="92"/>
      <c r="X678" s="93"/>
      <c r="Y678" s="93"/>
      <c r="Z678" s="93"/>
      <c r="AA678" s="4"/>
      <c r="AB678" s="5"/>
    </row>
    <row r="679" spans="1:28" x14ac:dyDescent="0.2">
      <c r="A679" s="4"/>
      <c r="B679" s="94"/>
      <c r="C679" s="94"/>
      <c r="D679" s="94"/>
      <c r="E679" s="94"/>
      <c r="F679" s="94"/>
      <c r="G679" s="94"/>
      <c r="H679" s="94"/>
      <c r="I679" s="94"/>
      <c r="J679" s="94"/>
      <c r="K679" s="94"/>
      <c r="L679" s="94"/>
      <c r="M679" s="94"/>
      <c r="N679" s="95"/>
      <c r="O679" s="95"/>
      <c r="P679" s="95"/>
      <c r="Q679" s="95"/>
      <c r="R679" s="95"/>
      <c r="S679" s="95"/>
      <c r="T679" s="95"/>
      <c r="U679" s="95"/>
      <c r="V679" s="96"/>
      <c r="W679" s="96"/>
      <c r="X679" s="97"/>
      <c r="Y679" s="97"/>
      <c r="Z679" s="97"/>
      <c r="AA679" s="4"/>
      <c r="AB679" s="5"/>
    </row>
    <row r="680" spans="1:28" x14ac:dyDescent="0.2">
      <c r="A680" s="4"/>
      <c r="B680" s="90"/>
      <c r="C680" s="90"/>
      <c r="D680" s="90"/>
      <c r="E680" s="90"/>
      <c r="F680" s="90"/>
      <c r="G680" s="90"/>
      <c r="H680" s="90"/>
      <c r="I680" s="90"/>
      <c r="J680" s="90"/>
      <c r="K680" s="90"/>
      <c r="L680" s="90"/>
      <c r="M680" s="90"/>
      <c r="N680" s="91"/>
      <c r="O680" s="91"/>
      <c r="P680" s="91"/>
      <c r="Q680" s="91"/>
      <c r="R680" s="91"/>
      <c r="S680" s="91"/>
      <c r="T680" s="91"/>
      <c r="U680" s="91"/>
      <c r="V680" s="92"/>
      <c r="W680" s="92"/>
      <c r="X680" s="93"/>
      <c r="Y680" s="93"/>
      <c r="Z680" s="93"/>
      <c r="AA680" s="4"/>
      <c r="AB680" s="5"/>
    </row>
    <row r="681" spans="1:28" x14ac:dyDescent="0.2">
      <c r="A681" s="4"/>
      <c r="B681" s="94"/>
      <c r="C681" s="94"/>
      <c r="D681" s="94"/>
      <c r="E681" s="94"/>
      <c r="F681" s="94"/>
      <c r="G681" s="94"/>
      <c r="H681" s="94"/>
      <c r="I681" s="94"/>
      <c r="J681" s="94"/>
      <c r="K681" s="94"/>
      <c r="L681" s="94"/>
      <c r="M681" s="94"/>
      <c r="N681" s="95"/>
      <c r="O681" s="95"/>
      <c r="P681" s="95"/>
      <c r="Q681" s="95"/>
      <c r="R681" s="95"/>
      <c r="S681" s="95"/>
      <c r="T681" s="95"/>
      <c r="U681" s="95"/>
      <c r="V681" s="96"/>
      <c r="W681" s="96"/>
      <c r="X681" s="97"/>
      <c r="Y681" s="97"/>
      <c r="Z681" s="97"/>
      <c r="AA681" s="4"/>
      <c r="AB681" s="5"/>
    </row>
    <row r="682" spans="1:28" x14ac:dyDescent="0.2">
      <c r="A682" s="4"/>
      <c r="B682" s="90"/>
      <c r="C682" s="90"/>
      <c r="D682" s="90"/>
      <c r="E682" s="90"/>
      <c r="F682" s="90"/>
      <c r="G682" s="90"/>
      <c r="H682" s="90"/>
      <c r="I682" s="90"/>
      <c r="J682" s="90"/>
      <c r="K682" s="90"/>
      <c r="L682" s="90"/>
      <c r="M682" s="90"/>
      <c r="N682" s="91"/>
      <c r="O682" s="91"/>
      <c r="P682" s="91"/>
      <c r="Q682" s="91"/>
      <c r="R682" s="91"/>
      <c r="S682" s="91"/>
      <c r="T682" s="91"/>
      <c r="U682" s="91"/>
      <c r="V682" s="92"/>
      <c r="W682" s="92"/>
      <c r="X682" s="93"/>
      <c r="Y682" s="93"/>
      <c r="Z682" s="93"/>
      <c r="AA682" s="4"/>
      <c r="AB682" s="5"/>
    </row>
    <row r="683" spans="1:28" x14ac:dyDescent="0.2">
      <c r="A683" s="4"/>
      <c r="B683" s="94"/>
      <c r="C683" s="94"/>
      <c r="D683" s="94"/>
      <c r="E683" s="94"/>
      <c r="F683" s="94"/>
      <c r="G683" s="94"/>
      <c r="H683" s="94"/>
      <c r="I683" s="94"/>
      <c r="J683" s="94"/>
      <c r="K683" s="94"/>
      <c r="L683" s="94"/>
      <c r="M683" s="94"/>
      <c r="N683" s="95"/>
      <c r="O683" s="95"/>
      <c r="P683" s="95"/>
      <c r="Q683" s="95"/>
      <c r="R683" s="95"/>
      <c r="S683" s="95"/>
      <c r="T683" s="95"/>
      <c r="U683" s="95"/>
      <c r="V683" s="96"/>
      <c r="W683" s="96"/>
      <c r="X683" s="97"/>
      <c r="Y683" s="97"/>
      <c r="Z683" s="97"/>
      <c r="AA683" s="4"/>
      <c r="AB683" s="5"/>
    </row>
    <row r="684" spans="1:28" x14ac:dyDescent="0.2">
      <c r="A684" s="4"/>
      <c r="B684" s="90"/>
      <c r="C684" s="90"/>
      <c r="D684" s="90"/>
      <c r="E684" s="90"/>
      <c r="F684" s="90"/>
      <c r="G684" s="90"/>
      <c r="H684" s="90"/>
      <c r="I684" s="90"/>
      <c r="J684" s="90"/>
      <c r="K684" s="90"/>
      <c r="L684" s="90"/>
      <c r="M684" s="90"/>
      <c r="N684" s="91"/>
      <c r="O684" s="91"/>
      <c r="P684" s="91"/>
      <c r="Q684" s="91"/>
      <c r="R684" s="91"/>
      <c r="S684" s="91"/>
      <c r="T684" s="91"/>
      <c r="U684" s="91"/>
      <c r="V684" s="92"/>
      <c r="W684" s="92"/>
      <c r="X684" s="93"/>
      <c r="Y684" s="93"/>
      <c r="Z684" s="93"/>
      <c r="AA684" s="4"/>
      <c r="AB684" s="5"/>
    </row>
    <row r="685" spans="1:28" x14ac:dyDescent="0.2">
      <c r="A685" s="4"/>
      <c r="B685" s="94"/>
      <c r="C685" s="94"/>
      <c r="D685" s="94"/>
      <c r="E685" s="94"/>
      <c r="F685" s="94"/>
      <c r="G685" s="94"/>
      <c r="H685" s="94"/>
      <c r="I685" s="94"/>
      <c r="J685" s="94"/>
      <c r="K685" s="94"/>
      <c r="L685" s="94"/>
      <c r="M685" s="94"/>
      <c r="N685" s="95"/>
      <c r="O685" s="95"/>
      <c r="P685" s="95"/>
      <c r="Q685" s="95"/>
      <c r="R685" s="95"/>
      <c r="S685" s="95"/>
      <c r="T685" s="95"/>
      <c r="U685" s="95"/>
      <c r="V685" s="96"/>
      <c r="W685" s="96"/>
      <c r="X685" s="97"/>
      <c r="Y685" s="97"/>
      <c r="Z685" s="97"/>
      <c r="AA685" s="4"/>
      <c r="AB685" s="5"/>
    </row>
    <row r="686" spans="1:28" x14ac:dyDescent="0.2">
      <c r="A686" s="4"/>
      <c r="B686" s="90"/>
      <c r="C686" s="90"/>
      <c r="D686" s="90"/>
      <c r="E686" s="90"/>
      <c r="F686" s="90"/>
      <c r="G686" s="90"/>
      <c r="H686" s="90"/>
      <c r="I686" s="90"/>
      <c r="J686" s="90"/>
      <c r="K686" s="90"/>
      <c r="L686" s="90"/>
      <c r="M686" s="90"/>
      <c r="N686" s="91"/>
      <c r="O686" s="91"/>
      <c r="P686" s="91"/>
      <c r="Q686" s="91"/>
      <c r="R686" s="91"/>
      <c r="S686" s="91"/>
      <c r="T686" s="91"/>
      <c r="U686" s="91"/>
      <c r="V686" s="92"/>
      <c r="W686" s="92"/>
      <c r="X686" s="93"/>
      <c r="Y686" s="93"/>
      <c r="Z686" s="93"/>
      <c r="AA686" s="4"/>
      <c r="AB686" s="5"/>
    </row>
    <row r="687" spans="1:28" x14ac:dyDescent="0.2">
      <c r="A687" s="4"/>
      <c r="B687" s="94"/>
      <c r="C687" s="94"/>
      <c r="D687" s="94"/>
      <c r="E687" s="94"/>
      <c r="F687" s="94"/>
      <c r="G687" s="94"/>
      <c r="H687" s="94"/>
      <c r="I687" s="94"/>
      <c r="J687" s="94"/>
      <c r="K687" s="94"/>
      <c r="L687" s="94"/>
      <c r="M687" s="94"/>
      <c r="N687" s="95"/>
      <c r="O687" s="95"/>
      <c r="P687" s="95"/>
      <c r="Q687" s="95"/>
      <c r="R687" s="95"/>
      <c r="S687" s="95"/>
      <c r="T687" s="95"/>
      <c r="U687" s="95"/>
      <c r="V687" s="96"/>
      <c r="W687" s="96"/>
      <c r="X687" s="97"/>
      <c r="Y687" s="97"/>
      <c r="Z687" s="97"/>
      <c r="AA687" s="4"/>
      <c r="AB687" s="5"/>
    </row>
    <row r="688" spans="1:28" x14ac:dyDescent="0.2">
      <c r="A688" s="4"/>
      <c r="B688" s="90"/>
      <c r="C688" s="90"/>
      <c r="D688" s="90"/>
      <c r="E688" s="90"/>
      <c r="F688" s="90"/>
      <c r="G688" s="90"/>
      <c r="H688" s="90"/>
      <c r="I688" s="90"/>
      <c r="J688" s="90"/>
      <c r="K688" s="90"/>
      <c r="L688" s="90"/>
      <c r="M688" s="90"/>
      <c r="N688" s="91"/>
      <c r="O688" s="91"/>
      <c r="P688" s="91"/>
      <c r="Q688" s="91"/>
      <c r="R688" s="91"/>
      <c r="S688" s="91"/>
      <c r="T688" s="91"/>
      <c r="U688" s="91"/>
      <c r="V688" s="92"/>
      <c r="W688" s="92"/>
      <c r="X688" s="93"/>
      <c r="Y688" s="93"/>
      <c r="Z688" s="93"/>
      <c r="AA688" s="4"/>
      <c r="AB688" s="5"/>
    </row>
    <row r="689" spans="1:28" x14ac:dyDescent="0.2">
      <c r="A689" s="4"/>
      <c r="B689" s="94"/>
      <c r="C689" s="94"/>
      <c r="D689" s="94"/>
      <c r="E689" s="94"/>
      <c r="F689" s="94"/>
      <c r="G689" s="94"/>
      <c r="H689" s="94"/>
      <c r="I689" s="94"/>
      <c r="J689" s="94"/>
      <c r="K689" s="94"/>
      <c r="L689" s="94"/>
      <c r="M689" s="94"/>
      <c r="N689" s="95"/>
      <c r="O689" s="95"/>
      <c r="P689" s="95"/>
      <c r="Q689" s="95"/>
      <c r="R689" s="95"/>
      <c r="S689" s="95"/>
      <c r="T689" s="95"/>
      <c r="U689" s="95"/>
      <c r="V689" s="96"/>
      <c r="W689" s="96"/>
      <c r="X689" s="97"/>
      <c r="Y689" s="97"/>
      <c r="Z689" s="97"/>
      <c r="AA689" s="4"/>
      <c r="AB689" s="5"/>
    </row>
    <row r="690" spans="1:28" x14ac:dyDescent="0.2">
      <c r="A690" s="4"/>
      <c r="B690" s="90"/>
      <c r="C690" s="90"/>
      <c r="D690" s="90"/>
      <c r="E690" s="90"/>
      <c r="F690" s="90"/>
      <c r="G690" s="90"/>
      <c r="H690" s="90"/>
      <c r="I690" s="90"/>
      <c r="J690" s="90"/>
      <c r="K690" s="90"/>
      <c r="L690" s="90"/>
      <c r="M690" s="90"/>
      <c r="N690" s="91"/>
      <c r="O690" s="91"/>
      <c r="P690" s="91"/>
      <c r="Q690" s="91"/>
      <c r="R690" s="91"/>
      <c r="S690" s="91"/>
      <c r="T690" s="91"/>
      <c r="U690" s="91"/>
      <c r="V690" s="92"/>
      <c r="W690" s="92"/>
      <c r="X690" s="93"/>
      <c r="Y690" s="93"/>
      <c r="Z690" s="93"/>
      <c r="AA690" s="4"/>
      <c r="AB690" s="5"/>
    </row>
    <row r="691" spans="1:28" x14ac:dyDescent="0.2">
      <c r="A691" s="4"/>
      <c r="B691" s="94"/>
      <c r="C691" s="94"/>
      <c r="D691" s="94"/>
      <c r="E691" s="94"/>
      <c r="F691" s="94"/>
      <c r="G691" s="94"/>
      <c r="H691" s="94"/>
      <c r="I691" s="94"/>
      <c r="J691" s="94"/>
      <c r="K691" s="94"/>
      <c r="L691" s="94"/>
      <c r="M691" s="94"/>
      <c r="N691" s="95"/>
      <c r="O691" s="95"/>
      <c r="P691" s="95"/>
      <c r="Q691" s="95"/>
      <c r="R691" s="95"/>
      <c r="S691" s="95"/>
      <c r="T691" s="95"/>
      <c r="U691" s="95"/>
      <c r="V691" s="96"/>
      <c r="W691" s="96"/>
      <c r="X691" s="97"/>
      <c r="Y691" s="97"/>
      <c r="Z691" s="97"/>
      <c r="AA691" s="4"/>
      <c r="AB691" s="5"/>
    </row>
    <row r="692" spans="1:28" x14ac:dyDescent="0.2">
      <c r="A692" s="4"/>
      <c r="B692" s="90"/>
      <c r="C692" s="90"/>
      <c r="D692" s="90"/>
      <c r="E692" s="90"/>
      <c r="F692" s="90"/>
      <c r="G692" s="90"/>
      <c r="H692" s="90"/>
      <c r="I692" s="90"/>
      <c r="J692" s="90"/>
      <c r="K692" s="90"/>
      <c r="L692" s="90"/>
      <c r="M692" s="90"/>
      <c r="N692" s="91"/>
      <c r="O692" s="91"/>
      <c r="P692" s="91"/>
      <c r="Q692" s="91"/>
      <c r="R692" s="91"/>
      <c r="S692" s="91"/>
      <c r="T692" s="91"/>
      <c r="U692" s="91"/>
      <c r="V692" s="92"/>
      <c r="W692" s="92"/>
      <c r="X692" s="93"/>
      <c r="Y692" s="93"/>
      <c r="Z692" s="93"/>
      <c r="AA692" s="4"/>
      <c r="AB692" s="5"/>
    </row>
    <row r="693" spans="1:28" x14ac:dyDescent="0.2">
      <c r="A693" s="4"/>
      <c r="B693" s="94"/>
      <c r="C693" s="94"/>
      <c r="D693" s="94"/>
      <c r="E693" s="94"/>
      <c r="F693" s="94"/>
      <c r="G693" s="94"/>
      <c r="H693" s="94"/>
      <c r="I693" s="94"/>
      <c r="J693" s="94"/>
      <c r="K693" s="94"/>
      <c r="L693" s="94"/>
      <c r="M693" s="94"/>
      <c r="N693" s="95"/>
      <c r="O693" s="95"/>
      <c r="P693" s="95"/>
      <c r="Q693" s="95"/>
      <c r="R693" s="95"/>
      <c r="S693" s="95"/>
      <c r="T693" s="95"/>
      <c r="U693" s="95"/>
      <c r="V693" s="96"/>
      <c r="W693" s="96"/>
      <c r="X693" s="97"/>
      <c r="Y693" s="97"/>
      <c r="Z693" s="97"/>
      <c r="AA693" s="4"/>
      <c r="AB693" s="5"/>
    </row>
    <row r="694" spans="1:28" x14ac:dyDescent="0.2">
      <c r="A694" s="4"/>
      <c r="B694" s="90"/>
      <c r="C694" s="90"/>
      <c r="D694" s="90"/>
      <c r="E694" s="90"/>
      <c r="F694" s="90"/>
      <c r="G694" s="90"/>
      <c r="H694" s="90"/>
      <c r="I694" s="90"/>
      <c r="J694" s="90"/>
      <c r="K694" s="90"/>
      <c r="L694" s="90"/>
      <c r="M694" s="90"/>
      <c r="N694" s="91"/>
      <c r="O694" s="91"/>
      <c r="P694" s="91"/>
      <c r="Q694" s="91"/>
      <c r="R694" s="91"/>
      <c r="S694" s="91"/>
      <c r="T694" s="91"/>
      <c r="U694" s="91"/>
      <c r="V694" s="92"/>
      <c r="W694" s="92"/>
      <c r="X694" s="93"/>
      <c r="Y694" s="93"/>
      <c r="Z694" s="93"/>
      <c r="AA694" s="4"/>
      <c r="AB694" s="5"/>
    </row>
    <row r="695" spans="1:28" x14ac:dyDescent="0.2">
      <c r="A695" s="4"/>
      <c r="B695" s="94"/>
      <c r="C695" s="94"/>
      <c r="D695" s="94"/>
      <c r="E695" s="94"/>
      <c r="F695" s="94"/>
      <c r="G695" s="94"/>
      <c r="H695" s="94"/>
      <c r="I695" s="94"/>
      <c r="J695" s="94"/>
      <c r="K695" s="94"/>
      <c r="L695" s="94"/>
      <c r="M695" s="94"/>
      <c r="N695" s="95"/>
      <c r="O695" s="95"/>
      <c r="P695" s="95"/>
      <c r="Q695" s="95"/>
      <c r="R695" s="95"/>
      <c r="S695" s="95"/>
      <c r="T695" s="95"/>
      <c r="U695" s="95"/>
      <c r="V695" s="96"/>
      <c r="W695" s="96"/>
      <c r="X695" s="97"/>
      <c r="Y695" s="97"/>
      <c r="Z695" s="97"/>
      <c r="AA695" s="4"/>
      <c r="AB695" s="5"/>
    </row>
    <row r="696" spans="1:28" x14ac:dyDescent="0.2">
      <c r="A696" s="4"/>
      <c r="B696" s="90"/>
      <c r="C696" s="90"/>
      <c r="D696" s="90"/>
      <c r="E696" s="90"/>
      <c r="F696" s="90"/>
      <c r="G696" s="90"/>
      <c r="H696" s="90"/>
      <c r="I696" s="90"/>
      <c r="J696" s="90"/>
      <c r="K696" s="90"/>
      <c r="L696" s="90"/>
      <c r="M696" s="90"/>
      <c r="N696" s="91"/>
      <c r="O696" s="91"/>
      <c r="P696" s="91"/>
      <c r="Q696" s="91"/>
      <c r="R696" s="91"/>
      <c r="S696" s="91"/>
      <c r="T696" s="91"/>
      <c r="U696" s="91"/>
      <c r="V696" s="92"/>
      <c r="W696" s="92"/>
      <c r="X696" s="93"/>
      <c r="Y696" s="93"/>
      <c r="Z696" s="93"/>
      <c r="AA696" s="4"/>
      <c r="AB696" s="5"/>
    </row>
    <row r="697" spans="1:28" x14ac:dyDescent="0.2">
      <c r="A697" s="4"/>
      <c r="B697" s="94"/>
      <c r="C697" s="94"/>
      <c r="D697" s="94"/>
      <c r="E697" s="94"/>
      <c r="F697" s="94"/>
      <c r="G697" s="94"/>
      <c r="H697" s="94"/>
      <c r="I697" s="94"/>
      <c r="J697" s="94"/>
      <c r="K697" s="94"/>
      <c r="L697" s="94"/>
      <c r="M697" s="94"/>
      <c r="N697" s="95"/>
      <c r="O697" s="95"/>
      <c r="P697" s="95"/>
      <c r="Q697" s="95"/>
      <c r="R697" s="95"/>
      <c r="S697" s="95"/>
      <c r="T697" s="95"/>
      <c r="U697" s="95"/>
      <c r="V697" s="96"/>
      <c r="W697" s="96"/>
      <c r="X697" s="97"/>
      <c r="Y697" s="97"/>
      <c r="Z697" s="97"/>
      <c r="AA697" s="4"/>
      <c r="AB697" s="5"/>
    </row>
    <row r="698" spans="1:28" x14ac:dyDescent="0.2">
      <c r="A698" s="4"/>
      <c r="B698" s="90"/>
      <c r="C698" s="90"/>
      <c r="D698" s="90"/>
      <c r="E698" s="90"/>
      <c r="F698" s="90"/>
      <c r="G698" s="90"/>
      <c r="H698" s="90"/>
      <c r="I698" s="90"/>
      <c r="J698" s="90"/>
      <c r="K698" s="90"/>
      <c r="L698" s="90"/>
      <c r="M698" s="90"/>
      <c r="N698" s="91"/>
      <c r="O698" s="91"/>
      <c r="P698" s="91"/>
      <c r="Q698" s="91"/>
      <c r="R698" s="91"/>
      <c r="S698" s="91"/>
      <c r="T698" s="91"/>
      <c r="U698" s="91"/>
      <c r="V698" s="92"/>
      <c r="W698" s="92"/>
      <c r="X698" s="93"/>
      <c r="Y698" s="93"/>
      <c r="Z698" s="93"/>
      <c r="AA698" s="4"/>
      <c r="AB698" s="5"/>
    </row>
    <row r="699" spans="1:28" x14ac:dyDescent="0.2">
      <c r="A699" s="4"/>
      <c r="B699" s="94"/>
      <c r="C699" s="94"/>
      <c r="D699" s="94"/>
      <c r="E699" s="94"/>
      <c r="F699" s="94"/>
      <c r="G699" s="94"/>
      <c r="H699" s="94"/>
      <c r="I699" s="94"/>
      <c r="J699" s="94"/>
      <c r="K699" s="94"/>
      <c r="L699" s="94"/>
      <c r="M699" s="94"/>
      <c r="N699" s="95"/>
      <c r="O699" s="95"/>
      <c r="P699" s="95"/>
      <c r="Q699" s="95"/>
      <c r="R699" s="95"/>
      <c r="S699" s="95"/>
      <c r="T699" s="95"/>
      <c r="U699" s="95"/>
      <c r="V699" s="96"/>
      <c r="W699" s="96"/>
      <c r="X699" s="97"/>
      <c r="Y699" s="97"/>
      <c r="Z699" s="97"/>
      <c r="AA699" s="4"/>
      <c r="AB699" s="5"/>
    </row>
    <row r="700" spans="1:28" x14ac:dyDescent="0.2">
      <c r="A700" s="4"/>
      <c r="B700" s="90"/>
      <c r="C700" s="90"/>
      <c r="D700" s="90"/>
      <c r="E700" s="90"/>
      <c r="F700" s="90"/>
      <c r="G700" s="90"/>
      <c r="H700" s="90"/>
      <c r="I700" s="90"/>
      <c r="J700" s="90"/>
      <c r="K700" s="90"/>
      <c r="L700" s="90"/>
      <c r="M700" s="90"/>
      <c r="N700" s="91"/>
      <c r="O700" s="91"/>
      <c r="P700" s="91"/>
      <c r="Q700" s="91"/>
      <c r="R700" s="91"/>
      <c r="S700" s="91"/>
      <c r="T700" s="91"/>
      <c r="U700" s="91"/>
      <c r="V700" s="92"/>
      <c r="W700" s="92"/>
      <c r="X700" s="93"/>
      <c r="Y700" s="93"/>
      <c r="Z700" s="93"/>
      <c r="AA700" s="4"/>
      <c r="AB700" s="5"/>
    </row>
    <row r="701" spans="1:28" x14ac:dyDescent="0.2">
      <c r="A701" s="4"/>
      <c r="B701" s="94"/>
      <c r="C701" s="94"/>
      <c r="D701" s="94"/>
      <c r="E701" s="94"/>
      <c r="F701" s="94"/>
      <c r="G701" s="94"/>
      <c r="H701" s="94"/>
      <c r="I701" s="94"/>
      <c r="J701" s="94"/>
      <c r="K701" s="94"/>
      <c r="L701" s="94"/>
      <c r="M701" s="94"/>
      <c r="N701" s="95"/>
      <c r="O701" s="95"/>
      <c r="P701" s="95"/>
      <c r="Q701" s="95"/>
      <c r="R701" s="95"/>
      <c r="S701" s="95"/>
      <c r="T701" s="95"/>
      <c r="U701" s="95"/>
      <c r="V701" s="96"/>
      <c r="W701" s="96"/>
      <c r="X701" s="97"/>
      <c r="Y701" s="97"/>
      <c r="Z701" s="97"/>
      <c r="AA701" s="4"/>
      <c r="AB701" s="5"/>
    </row>
    <row r="702" spans="1:28" x14ac:dyDescent="0.2">
      <c r="A702" s="4"/>
      <c r="B702" s="90"/>
      <c r="C702" s="90"/>
      <c r="D702" s="90"/>
      <c r="E702" s="90"/>
      <c r="F702" s="90"/>
      <c r="G702" s="90"/>
      <c r="H702" s="90"/>
      <c r="I702" s="90"/>
      <c r="J702" s="90"/>
      <c r="K702" s="90"/>
      <c r="L702" s="90"/>
      <c r="M702" s="90"/>
      <c r="N702" s="91"/>
      <c r="O702" s="91"/>
      <c r="P702" s="91"/>
      <c r="Q702" s="91"/>
      <c r="R702" s="91"/>
      <c r="S702" s="91"/>
      <c r="T702" s="91"/>
      <c r="U702" s="91"/>
      <c r="V702" s="92"/>
      <c r="W702" s="92"/>
      <c r="X702" s="93"/>
      <c r="Y702" s="93"/>
      <c r="Z702" s="93"/>
      <c r="AA702" s="4"/>
      <c r="AB702" s="5"/>
    </row>
    <row r="703" spans="1:28" x14ac:dyDescent="0.2">
      <c r="A703" s="4"/>
      <c r="B703" s="94"/>
      <c r="C703" s="94"/>
      <c r="D703" s="94"/>
      <c r="E703" s="94"/>
      <c r="F703" s="94"/>
      <c r="G703" s="94"/>
      <c r="H703" s="94"/>
      <c r="I703" s="94"/>
      <c r="J703" s="94"/>
      <c r="K703" s="94"/>
      <c r="L703" s="94"/>
      <c r="M703" s="94"/>
      <c r="N703" s="95"/>
      <c r="O703" s="95"/>
      <c r="P703" s="95"/>
      <c r="Q703" s="95"/>
      <c r="R703" s="95"/>
      <c r="S703" s="95"/>
      <c r="T703" s="95"/>
      <c r="U703" s="95"/>
      <c r="V703" s="96"/>
      <c r="W703" s="96"/>
      <c r="X703" s="97"/>
      <c r="Y703" s="97"/>
      <c r="Z703" s="97"/>
      <c r="AA703" s="4"/>
      <c r="AB703" s="5"/>
    </row>
    <row r="704" spans="1:28" x14ac:dyDescent="0.2">
      <c r="A704" s="4"/>
      <c r="B704" s="90"/>
      <c r="C704" s="90"/>
      <c r="D704" s="90"/>
      <c r="E704" s="90"/>
      <c r="F704" s="90"/>
      <c r="G704" s="90"/>
      <c r="H704" s="90"/>
      <c r="I704" s="90"/>
      <c r="J704" s="90"/>
      <c r="K704" s="90"/>
      <c r="L704" s="90"/>
      <c r="M704" s="90"/>
      <c r="N704" s="91"/>
      <c r="O704" s="91"/>
      <c r="P704" s="91"/>
      <c r="Q704" s="91"/>
      <c r="R704" s="91"/>
      <c r="S704" s="91"/>
      <c r="T704" s="91"/>
      <c r="U704" s="91"/>
      <c r="V704" s="92"/>
      <c r="W704" s="92"/>
      <c r="X704" s="93"/>
      <c r="Y704" s="93"/>
      <c r="Z704" s="93"/>
      <c r="AA704" s="4"/>
      <c r="AB704" s="5"/>
    </row>
    <row r="705" spans="1:28" x14ac:dyDescent="0.2">
      <c r="A705" s="4"/>
      <c r="B705" s="94"/>
      <c r="C705" s="94"/>
      <c r="D705" s="94"/>
      <c r="E705" s="94"/>
      <c r="F705" s="94"/>
      <c r="G705" s="94"/>
      <c r="H705" s="94"/>
      <c r="I705" s="94"/>
      <c r="J705" s="94"/>
      <c r="K705" s="94"/>
      <c r="L705" s="94"/>
      <c r="M705" s="94"/>
      <c r="N705" s="95"/>
      <c r="O705" s="95"/>
      <c r="P705" s="95"/>
      <c r="Q705" s="95"/>
      <c r="R705" s="95"/>
      <c r="S705" s="95"/>
      <c r="T705" s="95"/>
      <c r="U705" s="95"/>
      <c r="V705" s="96"/>
      <c r="W705" s="96"/>
      <c r="X705" s="97"/>
      <c r="Y705" s="97"/>
      <c r="Z705" s="97"/>
      <c r="AA705" s="4"/>
      <c r="AB705" s="5"/>
    </row>
    <row r="706" spans="1:28" x14ac:dyDescent="0.2">
      <c r="A706" s="4"/>
      <c r="B706" s="90"/>
      <c r="C706" s="90"/>
      <c r="D706" s="90"/>
      <c r="E706" s="90"/>
      <c r="F706" s="90"/>
      <c r="G706" s="90"/>
      <c r="H706" s="90"/>
      <c r="I706" s="90"/>
      <c r="J706" s="90"/>
      <c r="K706" s="90"/>
      <c r="L706" s="90"/>
      <c r="M706" s="90"/>
      <c r="N706" s="91"/>
      <c r="O706" s="91"/>
      <c r="P706" s="91"/>
      <c r="Q706" s="91"/>
      <c r="R706" s="91"/>
      <c r="S706" s="91"/>
      <c r="T706" s="91"/>
      <c r="U706" s="91"/>
      <c r="V706" s="92"/>
      <c r="W706" s="92"/>
      <c r="X706" s="93"/>
      <c r="Y706" s="93"/>
      <c r="Z706" s="93"/>
      <c r="AA706" s="4"/>
      <c r="AB706" s="5"/>
    </row>
    <row r="707" spans="1:28" x14ac:dyDescent="0.2">
      <c r="A707" s="4"/>
      <c r="B707" s="94"/>
      <c r="C707" s="94"/>
      <c r="D707" s="94"/>
      <c r="E707" s="94"/>
      <c r="F707" s="94"/>
      <c r="G707" s="94"/>
      <c r="H707" s="94"/>
      <c r="I707" s="94"/>
      <c r="J707" s="94"/>
      <c r="K707" s="94"/>
      <c r="L707" s="94"/>
      <c r="M707" s="94"/>
      <c r="N707" s="95"/>
      <c r="O707" s="95"/>
      <c r="P707" s="95"/>
      <c r="Q707" s="95"/>
      <c r="R707" s="95"/>
      <c r="S707" s="95"/>
      <c r="T707" s="95"/>
      <c r="U707" s="95"/>
      <c r="V707" s="96"/>
      <c r="W707" s="96"/>
      <c r="X707" s="97"/>
      <c r="Y707" s="97"/>
      <c r="Z707" s="97"/>
      <c r="AA707" s="4"/>
      <c r="AB707" s="5"/>
    </row>
    <row r="708" spans="1:28" x14ac:dyDescent="0.2">
      <c r="A708" s="4"/>
      <c r="B708" s="90"/>
      <c r="C708" s="90"/>
      <c r="D708" s="90"/>
      <c r="E708" s="90"/>
      <c r="F708" s="90"/>
      <c r="G708" s="90"/>
      <c r="H708" s="90"/>
      <c r="I708" s="90"/>
      <c r="J708" s="90"/>
      <c r="K708" s="90"/>
      <c r="L708" s="90"/>
      <c r="M708" s="90"/>
      <c r="N708" s="91"/>
      <c r="O708" s="91"/>
      <c r="P708" s="91"/>
      <c r="Q708" s="91"/>
      <c r="R708" s="91"/>
      <c r="S708" s="91"/>
      <c r="T708" s="91"/>
      <c r="U708" s="91"/>
      <c r="V708" s="92"/>
      <c r="W708" s="92"/>
      <c r="X708" s="93"/>
      <c r="Y708" s="93"/>
      <c r="Z708" s="93"/>
      <c r="AA708" s="4"/>
      <c r="AB708" s="5"/>
    </row>
    <row r="709" spans="1:28" x14ac:dyDescent="0.2">
      <c r="A709" s="4"/>
      <c r="B709" s="94"/>
      <c r="C709" s="94"/>
      <c r="D709" s="94"/>
      <c r="E709" s="94"/>
      <c r="F709" s="94"/>
      <c r="G709" s="94"/>
      <c r="H709" s="94"/>
      <c r="I709" s="94"/>
      <c r="J709" s="94"/>
      <c r="K709" s="94"/>
      <c r="L709" s="94"/>
      <c r="M709" s="94"/>
      <c r="N709" s="95"/>
      <c r="O709" s="95"/>
      <c r="P709" s="95"/>
      <c r="Q709" s="95"/>
      <c r="R709" s="95"/>
      <c r="S709" s="95"/>
      <c r="T709" s="95"/>
      <c r="U709" s="95"/>
      <c r="V709" s="96"/>
      <c r="W709" s="96"/>
      <c r="X709" s="97"/>
      <c r="Y709" s="97"/>
      <c r="Z709" s="97"/>
      <c r="AA709" s="4"/>
      <c r="AB709" s="5"/>
    </row>
    <row r="710" spans="1:28" x14ac:dyDescent="0.2">
      <c r="A710" s="4"/>
      <c r="B710" s="90"/>
      <c r="C710" s="90"/>
      <c r="D710" s="90"/>
      <c r="E710" s="90"/>
      <c r="F710" s="90"/>
      <c r="G710" s="90"/>
      <c r="H710" s="90"/>
      <c r="I710" s="90"/>
      <c r="J710" s="90"/>
      <c r="K710" s="90"/>
      <c r="L710" s="90"/>
      <c r="M710" s="90"/>
      <c r="N710" s="91"/>
      <c r="O710" s="91"/>
      <c r="P710" s="91"/>
      <c r="Q710" s="91"/>
      <c r="R710" s="91"/>
      <c r="S710" s="91"/>
      <c r="T710" s="91"/>
      <c r="U710" s="91"/>
      <c r="V710" s="92"/>
      <c r="W710" s="92"/>
      <c r="X710" s="93"/>
      <c r="Y710" s="93"/>
      <c r="Z710" s="93"/>
      <c r="AA710" s="4"/>
      <c r="AB710" s="5"/>
    </row>
    <row r="711" spans="1:28" x14ac:dyDescent="0.2">
      <c r="A711" s="4"/>
      <c r="B711" s="94"/>
      <c r="C711" s="94"/>
      <c r="D711" s="94"/>
      <c r="E711" s="94"/>
      <c r="F711" s="94"/>
      <c r="G711" s="94"/>
      <c r="H711" s="94"/>
      <c r="I711" s="94"/>
      <c r="J711" s="94"/>
      <c r="K711" s="94"/>
      <c r="L711" s="94"/>
      <c r="M711" s="94"/>
      <c r="N711" s="95"/>
      <c r="O711" s="95"/>
      <c r="P711" s="95"/>
      <c r="Q711" s="95"/>
      <c r="R711" s="95"/>
      <c r="S711" s="95"/>
      <c r="T711" s="95"/>
      <c r="U711" s="95"/>
      <c r="V711" s="96"/>
      <c r="W711" s="96"/>
      <c r="X711" s="97"/>
      <c r="Y711" s="97"/>
      <c r="Z711" s="97"/>
      <c r="AA711" s="4"/>
      <c r="AB711" s="5"/>
    </row>
    <row r="712" spans="1:28" x14ac:dyDescent="0.2">
      <c r="A712" s="4"/>
      <c r="B712" s="90"/>
      <c r="C712" s="90"/>
      <c r="D712" s="90"/>
      <c r="E712" s="90"/>
      <c r="F712" s="90"/>
      <c r="G712" s="90"/>
      <c r="H712" s="90"/>
      <c r="I712" s="90"/>
      <c r="J712" s="90"/>
      <c r="K712" s="90"/>
      <c r="L712" s="90"/>
      <c r="M712" s="90"/>
      <c r="N712" s="91"/>
      <c r="O712" s="91"/>
      <c r="P712" s="91"/>
      <c r="Q712" s="91"/>
      <c r="R712" s="91"/>
      <c r="S712" s="91"/>
      <c r="T712" s="91"/>
      <c r="U712" s="91"/>
      <c r="V712" s="92"/>
      <c r="W712" s="92"/>
      <c r="X712" s="93"/>
      <c r="Y712" s="93"/>
      <c r="Z712" s="93"/>
      <c r="AA712" s="4"/>
      <c r="AB712" s="5"/>
    </row>
    <row r="713" spans="1:28" x14ac:dyDescent="0.2">
      <c r="A713" s="4"/>
      <c r="B713" s="94"/>
      <c r="C713" s="94"/>
      <c r="D713" s="94"/>
      <c r="E713" s="94"/>
      <c r="F713" s="94"/>
      <c r="G713" s="94"/>
      <c r="H713" s="94"/>
      <c r="I713" s="94"/>
      <c r="J713" s="94"/>
      <c r="K713" s="94"/>
      <c r="L713" s="94"/>
      <c r="M713" s="94"/>
      <c r="N713" s="95"/>
      <c r="O713" s="95"/>
      <c r="P713" s="95"/>
      <c r="Q713" s="95"/>
      <c r="R713" s="95"/>
      <c r="S713" s="95"/>
      <c r="T713" s="95"/>
      <c r="U713" s="95"/>
      <c r="V713" s="96"/>
      <c r="W713" s="96"/>
      <c r="X713" s="97"/>
      <c r="Y713" s="97"/>
      <c r="Z713" s="97"/>
      <c r="AA713" s="4"/>
      <c r="AB713" s="5"/>
    </row>
    <row r="714" spans="1:28" x14ac:dyDescent="0.2">
      <c r="A714" s="4"/>
      <c r="B714" s="90"/>
      <c r="C714" s="90"/>
      <c r="D714" s="90"/>
      <c r="E714" s="90"/>
      <c r="F714" s="90"/>
      <c r="G714" s="90"/>
      <c r="H714" s="90"/>
      <c r="I714" s="90"/>
      <c r="J714" s="90"/>
      <c r="K714" s="90"/>
      <c r="L714" s="90"/>
      <c r="M714" s="90"/>
      <c r="N714" s="91"/>
      <c r="O714" s="91"/>
      <c r="P714" s="91"/>
      <c r="Q714" s="91"/>
      <c r="R714" s="91"/>
      <c r="S714" s="91"/>
      <c r="T714" s="91"/>
      <c r="U714" s="91"/>
      <c r="V714" s="92"/>
      <c r="W714" s="92"/>
      <c r="X714" s="93"/>
      <c r="Y714" s="93"/>
      <c r="Z714" s="93"/>
      <c r="AA714" s="4"/>
      <c r="AB714" s="5"/>
    </row>
    <row r="715" spans="1:28" x14ac:dyDescent="0.2">
      <c r="A715" s="4"/>
      <c r="B715" s="94"/>
      <c r="C715" s="94"/>
      <c r="D715" s="94"/>
      <c r="E715" s="94"/>
      <c r="F715" s="94"/>
      <c r="G715" s="94"/>
      <c r="H715" s="94"/>
      <c r="I715" s="94"/>
      <c r="J715" s="94"/>
      <c r="K715" s="94"/>
      <c r="L715" s="94"/>
      <c r="M715" s="94"/>
      <c r="N715" s="95"/>
      <c r="O715" s="95"/>
      <c r="P715" s="95"/>
      <c r="Q715" s="95"/>
      <c r="R715" s="95"/>
      <c r="S715" s="95"/>
      <c r="T715" s="95"/>
      <c r="U715" s="95"/>
      <c r="V715" s="96"/>
      <c r="W715" s="96"/>
      <c r="X715" s="97"/>
      <c r="Y715" s="97"/>
      <c r="Z715" s="97"/>
      <c r="AA715" s="4"/>
      <c r="AB715" s="5"/>
    </row>
    <row r="716" spans="1:28" x14ac:dyDescent="0.2">
      <c r="A716" s="4"/>
      <c r="B716" s="90"/>
      <c r="C716" s="90"/>
      <c r="D716" s="90"/>
      <c r="E716" s="90"/>
      <c r="F716" s="90"/>
      <c r="G716" s="90"/>
      <c r="H716" s="90"/>
      <c r="I716" s="90"/>
      <c r="J716" s="90"/>
      <c r="K716" s="90"/>
      <c r="L716" s="90"/>
      <c r="M716" s="90"/>
      <c r="N716" s="91"/>
      <c r="O716" s="91"/>
      <c r="P716" s="91"/>
      <c r="Q716" s="91"/>
      <c r="R716" s="91"/>
      <c r="S716" s="91"/>
      <c r="T716" s="91"/>
      <c r="U716" s="91"/>
      <c r="V716" s="92"/>
      <c r="W716" s="92"/>
      <c r="X716" s="93"/>
      <c r="Y716" s="93"/>
      <c r="Z716" s="93"/>
      <c r="AA716" s="4"/>
      <c r="AB716" s="5"/>
    </row>
    <row r="717" spans="1:28" x14ac:dyDescent="0.2">
      <c r="A717" s="4"/>
      <c r="B717" s="94"/>
      <c r="C717" s="94"/>
      <c r="D717" s="94"/>
      <c r="E717" s="94"/>
      <c r="F717" s="94"/>
      <c r="G717" s="94"/>
      <c r="H717" s="94"/>
      <c r="I717" s="94"/>
      <c r="J717" s="94"/>
      <c r="K717" s="94"/>
      <c r="L717" s="94"/>
      <c r="M717" s="94"/>
      <c r="N717" s="95"/>
      <c r="O717" s="95"/>
      <c r="P717" s="95"/>
      <c r="Q717" s="95"/>
      <c r="R717" s="95"/>
      <c r="S717" s="95"/>
      <c r="T717" s="95"/>
      <c r="U717" s="95"/>
      <c r="V717" s="96"/>
      <c r="W717" s="96"/>
      <c r="X717" s="97"/>
      <c r="Y717" s="97"/>
      <c r="Z717" s="97"/>
      <c r="AA717" s="4"/>
      <c r="AB717" s="5"/>
    </row>
    <row r="718" spans="1:28" x14ac:dyDescent="0.2">
      <c r="A718" s="4"/>
      <c r="B718" s="90"/>
      <c r="C718" s="90"/>
      <c r="D718" s="90"/>
      <c r="E718" s="90"/>
      <c r="F718" s="90"/>
      <c r="G718" s="90"/>
      <c r="H718" s="90"/>
      <c r="I718" s="90"/>
      <c r="J718" s="90"/>
      <c r="K718" s="90"/>
      <c r="L718" s="90"/>
      <c r="M718" s="90"/>
      <c r="N718" s="91"/>
      <c r="O718" s="91"/>
      <c r="P718" s="91"/>
      <c r="Q718" s="91"/>
      <c r="R718" s="91"/>
      <c r="S718" s="91"/>
      <c r="T718" s="91"/>
      <c r="U718" s="91"/>
      <c r="V718" s="92"/>
      <c r="W718" s="92"/>
      <c r="X718" s="93"/>
      <c r="Y718" s="93"/>
      <c r="Z718" s="93"/>
      <c r="AA718" s="4"/>
      <c r="AB718" s="5"/>
    </row>
    <row r="719" spans="1:28" x14ac:dyDescent="0.2">
      <c r="A719" s="4"/>
      <c r="B719" s="94"/>
      <c r="C719" s="94"/>
      <c r="D719" s="94"/>
      <c r="E719" s="94"/>
      <c r="F719" s="94"/>
      <c r="G719" s="94"/>
      <c r="H719" s="94"/>
      <c r="I719" s="94"/>
      <c r="J719" s="94"/>
      <c r="K719" s="94"/>
      <c r="L719" s="94"/>
      <c r="M719" s="94"/>
      <c r="N719" s="95"/>
      <c r="O719" s="95"/>
      <c r="P719" s="95"/>
      <c r="Q719" s="95"/>
      <c r="R719" s="95"/>
      <c r="S719" s="95"/>
      <c r="T719" s="95"/>
      <c r="U719" s="95"/>
      <c r="V719" s="96"/>
      <c r="W719" s="96"/>
      <c r="X719" s="97"/>
      <c r="Y719" s="97"/>
      <c r="Z719" s="97"/>
      <c r="AA719" s="4"/>
      <c r="AB719" s="5"/>
    </row>
    <row r="720" spans="1:28" x14ac:dyDescent="0.2">
      <c r="A720" s="4"/>
      <c r="B720" s="90"/>
      <c r="C720" s="90"/>
      <c r="D720" s="90"/>
      <c r="E720" s="90"/>
      <c r="F720" s="90"/>
      <c r="G720" s="90"/>
      <c r="H720" s="90"/>
      <c r="I720" s="90"/>
      <c r="J720" s="90"/>
      <c r="K720" s="90"/>
      <c r="L720" s="90"/>
      <c r="M720" s="90"/>
      <c r="N720" s="91"/>
      <c r="O720" s="91"/>
      <c r="P720" s="91"/>
      <c r="Q720" s="91"/>
      <c r="R720" s="91"/>
      <c r="S720" s="91"/>
      <c r="T720" s="91"/>
      <c r="U720" s="91"/>
      <c r="V720" s="92"/>
      <c r="W720" s="92"/>
      <c r="X720" s="93"/>
      <c r="Y720" s="93"/>
      <c r="Z720" s="93"/>
      <c r="AA720" s="4"/>
      <c r="AB720" s="5"/>
    </row>
    <row r="721" spans="1:28" x14ac:dyDescent="0.2">
      <c r="A721" s="4"/>
      <c r="B721" s="94"/>
      <c r="C721" s="94"/>
      <c r="D721" s="94"/>
      <c r="E721" s="94"/>
      <c r="F721" s="94"/>
      <c r="G721" s="94"/>
      <c r="H721" s="94"/>
      <c r="I721" s="94"/>
      <c r="J721" s="94"/>
      <c r="K721" s="94"/>
      <c r="L721" s="94"/>
      <c r="M721" s="94"/>
      <c r="N721" s="95"/>
      <c r="O721" s="95"/>
      <c r="P721" s="95"/>
      <c r="Q721" s="95"/>
      <c r="R721" s="95"/>
      <c r="S721" s="95"/>
      <c r="T721" s="95"/>
      <c r="U721" s="95"/>
      <c r="V721" s="96"/>
      <c r="W721" s="96"/>
      <c r="X721" s="97"/>
      <c r="Y721" s="97"/>
      <c r="Z721" s="97"/>
      <c r="AA721" s="4"/>
      <c r="AB721" s="5"/>
    </row>
    <row r="722" spans="1:28" x14ac:dyDescent="0.2">
      <c r="A722" s="4"/>
      <c r="B722" s="90"/>
      <c r="C722" s="90"/>
      <c r="D722" s="90"/>
      <c r="E722" s="90"/>
      <c r="F722" s="90"/>
      <c r="G722" s="90"/>
      <c r="H722" s="90"/>
      <c r="I722" s="90"/>
      <c r="J722" s="90"/>
      <c r="K722" s="90"/>
      <c r="L722" s="90"/>
      <c r="M722" s="90"/>
      <c r="N722" s="91"/>
      <c r="O722" s="91"/>
      <c r="P722" s="91"/>
      <c r="Q722" s="91"/>
      <c r="R722" s="91"/>
      <c r="S722" s="91"/>
      <c r="T722" s="91"/>
      <c r="U722" s="91"/>
      <c r="V722" s="92"/>
      <c r="W722" s="92"/>
      <c r="X722" s="93"/>
      <c r="Y722" s="93"/>
      <c r="Z722" s="93"/>
      <c r="AA722" s="4"/>
      <c r="AB722" s="5"/>
    </row>
    <row r="723" spans="1:28" x14ac:dyDescent="0.2">
      <c r="A723" s="4"/>
      <c r="B723" s="94"/>
      <c r="C723" s="94"/>
      <c r="D723" s="94"/>
      <c r="E723" s="94"/>
      <c r="F723" s="94"/>
      <c r="G723" s="94"/>
      <c r="H723" s="94"/>
      <c r="I723" s="94"/>
      <c r="J723" s="94"/>
      <c r="K723" s="94"/>
      <c r="L723" s="94"/>
      <c r="M723" s="94"/>
      <c r="N723" s="95"/>
      <c r="O723" s="95"/>
      <c r="P723" s="95"/>
      <c r="Q723" s="95"/>
      <c r="R723" s="95"/>
      <c r="S723" s="95"/>
      <c r="T723" s="95"/>
      <c r="U723" s="95"/>
      <c r="V723" s="96"/>
      <c r="W723" s="96"/>
      <c r="X723" s="97"/>
      <c r="Y723" s="97"/>
      <c r="Z723" s="97"/>
      <c r="AA723" s="4"/>
      <c r="AB723" s="5"/>
    </row>
    <row r="724" spans="1:28" x14ac:dyDescent="0.2">
      <c r="A724" s="4"/>
      <c r="B724" s="90"/>
      <c r="C724" s="90"/>
      <c r="D724" s="90"/>
      <c r="E724" s="90"/>
      <c r="F724" s="90"/>
      <c r="G724" s="90"/>
      <c r="H724" s="90"/>
      <c r="I724" s="90"/>
      <c r="J724" s="90"/>
      <c r="K724" s="90"/>
      <c r="L724" s="90"/>
      <c r="M724" s="90"/>
      <c r="N724" s="91"/>
      <c r="O724" s="91"/>
      <c r="P724" s="91"/>
      <c r="Q724" s="91"/>
      <c r="R724" s="91"/>
      <c r="S724" s="91"/>
      <c r="T724" s="91"/>
      <c r="U724" s="91"/>
      <c r="V724" s="92"/>
      <c r="W724" s="92"/>
      <c r="X724" s="93"/>
      <c r="Y724" s="93"/>
      <c r="Z724" s="93"/>
      <c r="AA724" s="4"/>
      <c r="AB724" s="5"/>
    </row>
    <row r="725" spans="1:28" x14ac:dyDescent="0.2">
      <c r="A725" s="4"/>
      <c r="B725" s="94"/>
      <c r="C725" s="94"/>
      <c r="D725" s="94"/>
      <c r="E725" s="94"/>
      <c r="F725" s="94"/>
      <c r="G725" s="94"/>
      <c r="H725" s="94"/>
      <c r="I725" s="94"/>
      <c r="J725" s="94"/>
      <c r="K725" s="94"/>
      <c r="L725" s="94"/>
      <c r="M725" s="94"/>
      <c r="N725" s="95"/>
      <c r="O725" s="95"/>
      <c r="P725" s="95"/>
      <c r="Q725" s="95"/>
      <c r="R725" s="95"/>
      <c r="S725" s="95"/>
      <c r="T725" s="95"/>
      <c r="U725" s="95"/>
      <c r="V725" s="96"/>
      <c r="W725" s="96"/>
      <c r="X725" s="97"/>
      <c r="Y725" s="97"/>
      <c r="Z725" s="97"/>
      <c r="AA725" s="4"/>
      <c r="AB725" s="5"/>
    </row>
    <row r="726" spans="1:28" x14ac:dyDescent="0.2">
      <c r="A726" s="4"/>
      <c r="B726" s="90"/>
      <c r="C726" s="90"/>
      <c r="D726" s="90"/>
      <c r="E726" s="90"/>
      <c r="F726" s="90"/>
      <c r="G726" s="90"/>
      <c r="H726" s="90"/>
      <c r="I726" s="90"/>
      <c r="J726" s="90"/>
      <c r="K726" s="90"/>
      <c r="L726" s="90"/>
      <c r="M726" s="90"/>
      <c r="N726" s="91"/>
      <c r="O726" s="91"/>
      <c r="P726" s="91"/>
      <c r="Q726" s="91"/>
      <c r="R726" s="91"/>
      <c r="S726" s="91"/>
      <c r="T726" s="91"/>
      <c r="U726" s="91"/>
      <c r="V726" s="92"/>
      <c r="W726" s="92"/>
      <c r="X726" s="93"/>
      <c r="Y726" s="93"/>
      <c r="Z726" s="93"/>
      <c r="AA726" s="4"/>
      <c r="AB726" s="5"/>
    </row>
    <row r="727" spans="1:28" x14ac:dyDescent="0.2">
      <c r="A727" s="4"/>
      <c r="B727" s="94"/>
      <c r="C727" s="94"/>
      <c r="D727" s="94"/>
      <c r="E727" s="94"/>
      <c r="F727" s="94"/>
      <c r="G727" s="94"/>
      <c r="H727" s="94"/>
      <c r="I727" s="94"/>
      <c r="J727" s="94"/>
      <c r="K727" s="94"/>
      <c r="L727" s="94"/>
      <c r="M727" s="94"/>
      <c r="N727" s="95"/>
      <c r="O727" s="95"/>
      <c r="P727" s="95"/>
      <c r="Q727" s="95"/>
      <c r="R727" s="95"/>
      <c r="S727" s="95"/>
      <c r="T727" s="95"/>
      <c r="U727" s="95"/>
      <c r="V727" s="96"/>
      <c r="W727" s="96"/>
      <c r="X727" s="97"/>
      <c r="Y727" s="97"/>
      <c r="Z727" s="97"/>
      <c r="AA727" s="4"/>
      <c r="AB727" s="5"/>
    </row>
    <row r="728" spans="1:28" x14ac:dyDescent="0.2">
      <c r="A728" s="4"/>
      <c r="B728" s="90"/>
      <c r="C728" s="90"/>
      <c r="D728" s="90"/>
      <c r="E728" s="90"/>
      <c r="F728" s="90"/>
      <c r="G728" s="90"/>
      <c r="H728" s="90"/>
      <c r="I728" s="90"/>
      <c r="J728" s="90"/>
      <c r="K728" s="90"/>
      <c r="L728" s="90"/>
      <c r="M728" s="90"/>
      <c r="N728" s="91"/>
      <c r="O728" s="91"/>
      <c r="P728" s="91"/>
      <c r="Q728" s="91"/>
      <c r="R728" s="91"/>
      <c r="S728" s="91"/>
      <c r="T728" s="91"/>
      <c r="U728" s="91"/>
      <c r="V728" s="92"/>
      <c r="W728" s="92"/>
      <c r="X728" s="93"/>
      <c r="Y728" s="93"/>
      <c r="Z728" s="93"/>
      <c r="AA728" s="4"/>
      <c r="AB728" s="5"/>
    </row>
    <row r="729" spans="1:28" x14ac:dyDescent="0.2">
      <c r="A729" s="4"/>
      <c r="B729" s="94"/>
      <c r="C729" s="94"/>
      <c r="D729" s="94"/>
      <c r="E729" s="94"/>
      <c r="F729" s="94"/>
      <c r="G729" s="94"/>
      <c r="H729" s="94"/>
      <c r="I729" s="94"/>
      <c r="J729" s="94"/>
      <c r="K729" s="94"/>
      <c r="L729" s="94"/>
      <c r="M729" s="94"/>
      <c r="N729" s="95"/>
      <c r="O729" s="95"/>
      <c r="P729" s="95"/>
      <c r="Q729" s="95"/>
      <c r="R729" s="95"/>
      <c r="S729" s="95"/>
      <c r="T729" s="95"/>
      <c r="U729" s="95"/>
      <c r="V729" s="96"/>
      <c r="W729" s="96"/>
      <c r="X729" s="97"/>
      <c r="Y729" s="97"/>
      <c r="Z729" s="97"/>
      <c r="AA729" s="4"/>
      <c r="AB729" s="5"/>
    </row>
    <row r="730" spans="1:28" x14ac:dyDescent="0.2">
      <c r="A730" s="4"/>
      <c r="B730" s="90"/>
      <c r="C730" s="90"/>
      <c r="D730" s="90"/>
      <c r="E730" s="90"/>
      <c r="F730" s="90"/>
      <c r="G730" s="90"/>
      <c r="H730" s="90"/>
      <c r="I730" s="90"/>
      <c r="J730" s="90"/>
      <c r="K730" s="90"/>
      <c r="L730" s="90"/>
      <c r="M730" s="90"/>
      <c r="N730" s="91"/>
      <c r="O730" s="91"/>
      <c r="P730" s="91"/>
      <c r="Q730" s="91"/>
      <c r="R730" s="91"/>
      <c r="S730" s="91"/>
      <c r="T730" s="91"/>
      <c r="U730" s="91"/>
      <c r="V730" s="92"/>
      <c r="W730" s="92"/>
      <c r="X730" s="93"/>
      <c r="Y730" s="93"/>
      <c r="Z730" s="93"/>
      <c r="AA730" s="4"/>
      <c r="AB730" s="5"/>
    </row>
    <row r="731" spans="1:28" x14ac:dyDescent="0.2">
      <c r="A731" s="4"/>
      <c r="B731" s="94"/>
      <c r="C731" s="94"/>
      <c r="D731" s="94"/>
      <c r="E731" s="94"/>
      <c r="F731" s="94"/>
      <c r="G731" s="94"/>
      <c r="H731" s="94"/>
      <c r="I731" s="94"/>
      <c r="J731" s="94"/>
      <c r="K731" s="94"/>
      <c r="L731" s="94"/>
      <c r="M731" s="94"/>
      <c r="N731" s="95"/>
      <c r="O731" s="95"/>
      <c r="P731" s="95"/>
      <c r="Q731" s="95"/>
      <c r="R731" s="95"/>
      <c r="S731" s="95"/>
      <c r="T731" s="95"/>
      <c r="U731" s="95"/>
      <c r="V731" s="96"/>
      <c r="W731" s="96"/>
      <c r="X731" s="97"/>
      <c r="Y731" s="97"/>
      <c r="Z731" s="97"/>
      <c r="AA731" s="4"/>
      <c r="AB731" s="5"/>
    </row>
    <row r="732" spans="1:28" x14ac:dyDescent="0.2">
      <c r="A732" s="4"/>
      <c r="B732" s="90"/>
      <c r="C732" s="90"/>
      <c r="D732" s="90"/>
      <c r="E732" s="90"/>
      <c r="F732" s="90"/>
      <c r="G732" s="90"/>
      <c r="H732" s="90"/>
      <c r="I732" s="90"/>
      <c r="J732" s="90"/>
      <c r="K732" s="90"/>
      <c r="L732" s="90"/>
      <c r="M732" s="90"/>
      <c r="N732" s="91"/>
      <c r="O732" s="91"/>
      <c r="P732" s="91"/>
      <c r="Q732" s="91"/>
      <c r="R732" s="91"/>
      <c r="S732" s="91"/>
      <c r="T732" s="91"/>
      <c r="U732" s="91"/>
      <c r="V732" s="92"/>
      <c r="W732" s="92"/>
      <c r="X732" s="93"/>
      <c r="Y732" s="93"/>
      <c r="Z732" s="93"/>
      <c r="AA732" s="4"/>
      <c r="AB732" s="5"/>
    </row>
    <row r="733" spans="1:28" x14ac:dyDescent="0.2">
      <c r="A733" s="4"/>
      <c r="B733" s="94"/>
      <c r="C733" s="94"/>
      <c r="D733" s="94"/>
      <c r="E733" s="94"/>
      <c r="F733" s="94"/>
      <c r="G733" s="94"/>
      <c r="H733" s="94"/>
      <c r="I733" s="94"/>
      <c r="J733" s="94"/>
      <c r="K733" s="94"/>
      <c r="L733" s="94"/>
      <c r="M733" s="94"/>
      <c r="N733" s="95"/>
      <c r="O733" s="95"/>
      <c r="P733" s="95"/>
      <c r="Q733" s="95"/>
      <c r="R733" s="95"/>
      <c r="S733" s="95"/>
      <c r="T733" s="95"/>
      <c r="U733" s="95"/>
      <c r="V733" s="96"/>
      <c r="W733" s="96"/>
      <c r="X733" s="97"/>
      <c r="Y733" s="97"/>
      <c r="Z733" s="97"/>
      <c r="AA733" s="4"/>
      <c r="AB733" s="5"/>
    </row>
    <row r="734" spans="1:28" x14ac:dyDescent="0.2">
      <c r="A734" s="4"/>
      <c r="B734" s="90"/>
      <c r="C734" s="90"/>
      <c r="D734" s="90"/>
      <c r="E734" s="90"/>
      <c r="F734" s="90"/>
      <c r="G734" s="90"/>
      <c r="H734" s="90"/>
      <c r="I734" s="90"/>
      <c r="J734" s="90"/>
      <c r="K734" s="90"/>
      <c r="L734" s="90"/>
      <c r="M734" s="90"/>
      <c r="N734" s="91"/>
      <c r="O734" s="91"/>
      <c r="P734" s="91"/>
      <c r="Q734" s="91"/>
      <c r="R734" s="91"/>
      <c r="S734" s="91"/>
      <c r="T734" s="91"/>
      <c r="U734" s="91"/>
      <c r="V734" s="92"/>
      <c r="W734" s="92"/>
      <c r="X734" s="93"/>
      <c r="Y734" s="93"/>
      <c r="Z734" s="93"/>
      <c r="AA734" s="4"/>
      <c r="AB734" s="5"/>
    </row>
    <row r="735" spans="1:28" x14ac:dyDescent="0.2">
      <c r="A735" s="4"/>
      <c r="B735" s="94"/>
      <c r="C735" s="94"/>
      <c r="D735" s="94"/>
      <c r="E735" s="94"/>
      <c r="F735" s="94"/>
      <c r="G735" s="94"/>
      <c r="H735" s="94"/>
      <c r="I735" s="94"/>
      <c r="J735" s="94"/>
      <c r="K735" s="94"/>
      <c r="L735" s="94"/>
      <c r="M735" s="94"/>
      <c r="N735" s="95"/>
      <c r="O735" s="95"/>
      <c r="P735" s="95"/>
      <c r="Q735" s="95"/>
      <c r="R735" s="95"/>
      <c r="S735" s="95"/>
      <c r="T735" s="95"/>
      <c r="U735" s="95"/>
      <c r="V735" s="96"/>
      <c r="W735" s="96"/>
      <c r="X735" s="97"/>
      <c r="Y735" s="97"/>
      <c r="Z735" s="97"/>
      <c r="AA735" s="4"/>
      <c r="AB735" s="5"/>
    </row>
    <row r="736" spans="1:28" x14ac:dyDescent="0.2">
      <c r="A736" s="4"/>
      <c r="B736" s="90"/>
      <c r="C736" s="90"/>
      <c r="D736" s="90"/>
      <c r="E736" s="90"/>
      <c r="F736" s="90"/>
      <c r="G736" s="90"/>
      <c r="H736" s="90"/>
      <c r="I736" s="90"/>
      <c r="J736" s="90"/>
      <c r="K736" s="90"/>
      <c r="L736" s="90"/>
      <c r="M736" s="90"/>
      <c r="N736" s="91"/>
      <c r="O736" s="91"/>
      <c r="P736" s="91"/>
      <c r="Q736" s="91"/>
      <c r="R736" s="91"/>
      <c r="S736" s="91"/>
      <c r="T736" s="91"/>
      <c r="U736" s="91"/>
      <c r="V736" s="92"/>
      <c r="W736" s="92"/>
      <c r="X736" s="93"/>
      <c r="Y736" s="93"/>
      <c r="Z736" s="93"/>
      <c r="AA736" s="4"/>
      <c r="AB736" s="5"/>
    </row>
    <row r="737" spans="1:28" x14ac:dyDescent="0.2">
      <c r="A737" s="4"/>
      <c r="B737" s="94"/>
      <c r="C737" s="94"/>
      <c r="D737" s="94"/>
      <c r="E737" s="94"/>
      <c r="F737" s="94"/>
      <c r="G737" s="94"/>
      <c r="H737" s="94"/>
      <c r="I737" s="94"/>
      <c r="J737" s="94"/>
      <c r="K737" s="94"/>
      <c r="L737" s="94"/>
      <c r="M737" s="94"/>
      <c r="N737" s="95"/>
      <c r="O737" s="95"/>
      <c r="P737" s="95"/>
      <c r="Q737" s="95"/>
      <c r="R737" s="95"/>
      <c r="S737" s="95"/>
      <c r="T737" s="95"/>
      <c r="U737" s="95"/>
      <c r="V737" s="96"/>
      <c r="W737" s="96"/>
      <c r="X737" s="97"/>
      <c r="Y737" s="97"/>
      <c r="Z737" s="97"/>
      <c r="AA737" s="4"/>
      <c r="AB737" s="5"/>
    </row>
    <row r="738" spans="1:28" x14ac:dyDescent="0.2">
      <c r="A738" s="4"/>
      <c r="B738" s="90"/>
      <c r="C738" s="90"/>
      <c r="D738" s="90"/>
      <c r="E738" s="90"/>
      <c r="F738" s="90"/>
      <c r="G738" s="90"/>
      <c r="H738" s="90"/>
      <c r="I738" s="90"/>
      <c r="J738" s="90"/>
      <c r="K738" s="90"/>
      <c r="L738" s="90"/>
      <c r="M738" s="90"/>
      <c r="N738" s="91"/>
      <c r="O738" s="91"/>
      <c r="P738" s="91"/>
      <c r="Q738" s="91"/>
      <c r="R738" s="91"/>
      <c r="S738" s="91"/>
      <c r="T738" s="91"/>
      <c r="U738" s="91"/>
      <c r="V738" s="92"/>
      <c r="W738" s="92"/>
      <c r="X738" s="93"/>
      <c r="Y738" s="93"/>
      <c r="Z738" s="93"/>
      <c r="AA738" s="4"/>
      <c r="AB738" s="5"/>
    </row>
    <row r="739" spans="1:28" x14ac:dyDescent="0.2">
      <c r="A739" s="4"/>
      <c r="B739" s="94"/>
      <c r="C739" s="94"/>
      <c r="D739" s="94"/>
      <c r="E739" s="94"/>
      <c r="F739" s="94"/>
      <c r="G739" s="94"/>
      <c r="H739" s="94"/>
      <c r="I739" s="94"/>
      <c r="J739" s="94"/>
      <c r="K739" s="94"/>
      <c r="L739" s="94"/>
      <c r="M739" s="94"/>
      <c r="N739" s="95"/>
      <c r="O739" s="95"/>
      <c r="P739" s="95"/>
      <c r="Q739" s="95"/>
      <c r="R739" s="95"/>
      <c r="S739" s="95"/>
      <c r="T739" s="95"/>
      <c r="U739" s="95"/>
      <c r="V739" s="96"/>
      <c r="W739" s="96"/>
      <c r="X739" s="97"/>
      <c r="Y739" s="97"/>
      <c r="Z739" s="97"/>
      <c r="AA739" s="4"/>
      <c r="AB739" s="5"/>
    </row>
    <row r="740" spans="1:28" x14ac:dyDescent="0.2">
      <c r="A740" s="4"/>
      <c r="B740" s="90"/>
      <c r="C740" s="90"/>
      <c r="D740" s="90"/>
      <c r="E740" s="90"/>
      <c r="F740" s="90"/>
      <c r="G740" s="90"/>
      <c r="H740" s="90"/>
      <c r="I740" s="90"/>
      <c r="J740" s="90"/>
      <c r="K740" s="90"/>
      <c r="L740" s="90"/>
      <c r="M740" s="90"/>
      <c r="N740" s="91"/>
      <c r="O740" s="91"/>
      <c r="P740" s="91"/>
      <c r="Q740" s="91"/>
      <c r="R740" s="91"/>
      <c r="S740" s="91"/>
      <c r="T740" s="91"/>
      <c r="U740" s="91"/>
      <c r="V740" s="92"/>
      <c r="W740" s="92"/>
      <c r="X740" s="93"/>
      <c r="Y740" s="93"/>
      <c r="Z740" s="93"/>
      <c r="AA740" s="4"/>
      <c r="AB740" s="5"/>
    </row>
    <row r="741" spans="1:28" x14ac:dyDescent="0.2">
      <c r="A741" s="4"/>
      <c r="B741" s="94"/>
      <c r="C741" s="94"/>
      <c r="D741" s="94"/>
      <c r="E741" s="94"/>
      <c r="F741" s="94"/>
      <c r="G741" s="94"/>
      <c r="H741" s="94"/>
      <c r="I741" s="94"/>
      <c r="J741" s="94"/>
      <c r="K741" s="94"/>
      <c r="L741" s="94"/>
      <c r="M741" s="94"/>
      <c r="N741" s="95"/>
      <c r="O741" s="95"/>
      <c r="P741" s="95"/>
      <c r="Q741" s="95"/>
      <c r="R741" s="95"/>
      <c r="S741" s="95"/>
      <c r="T741" s="95"/>
      <c r="U741" s="95"/>
      <c r="V741" s="96"/>
      <c r="W741" s="96"/>
      <c r="X741" s="97"/>
      <c r="Y741" s="97"/>
      <c r="Z741" s="97"/>
      <c r="AA741" s="4"/>
      <c r="AB741" s="5"/>
    </row>
    <row r="742" spans="1:28" x14ac:dyDescent="0.2">
      <c r="A742" s="4"/>
      <c r="B742" s="90"/>
      <c r="C742" s="90"/>
      <c r="D742" s="90"/>
      <c r="E742" s="90"/>
      <c r="F742" s="90"/>
      <c r="G742" s="90"/>
      <c r="H742" s="90"/>
      <c r="I742" s="90"/>
      <c r="J742" s="90"/>
      <c r="K742" s="90"/>
      <c r="L742" s="90"/>
      <c r="M742" s="90"/>
      <c r="N742" s="91"/>
      <c r="O742" s="91"/>
      <c r="P742" s="91"/>
      <c r="Q742" s="91"/>
      <c r="R742" s="91"/>
      <c r="S742" s="91"/>
      <c r="T742" s="91"/>
      <c r="U742" s="91"/>
      <c r="V742" s="92"/>
      <c r="W742" s="92"/>
      <c r="X742" s="93"/>
      <c r="Y742" s="93"/>
      <c r="Z742" s="93"/>
      <c r="AA742" s="4"/>
      <c r="AB742" s="5"/>
    </row>
    <row r="743" spans="1:28" x14ac:dyDescent="0.2">
      <c r="A743" s="4"/>
      <c r="B743" s="94"/>
      <c r="C743" s="94"/>
      <c r="D743" s="94"/>
      <c r="E743" s="94"/>
      <c r="F743" s="94"/>
      <c r="G743" s="94"/>
      <c r="H743" s="94"/>
      <c r="I743" s="94"/>
      <c r="J743" s="94"/>
      <c r="K743" s="94"/>
      <c r="L743" s="94"/>
      <c r="M743" s="94"/>
      <c r="N743" s="95"/>
      <c r="O743" s="95"/>
      <c r="P743" s="95"/>
      <c r="Q743" s="95"/>
      <c r="R743" s="95"/>
      <c r="S743" s="95"/>
      <c r="T743" s="95"/>
      <c r="U743" s="95"/>
      <c r="V743" s="96"/>
      <c r="W743" s="96"/>
      <c r="X743" s="97"/>
      <c r="Y743" s="97"/>
      <c r="Z743" s="97"/>
      <c r="AA743" s="4"/>
      <c r="AB743" s="5"/>
    </row>
    <row r="744" spans="1:28" x14ac:dyDescent="0.2">
      <c r="A744" s="4"/>
      <c r="B744" s="90"/>
      <c r="C744" s="90"/>
      <c r="D744" s="90"/>
      <c r="E744" s="90"/>
      <c r="F744" s="90"/>
      <c r="G744" s="90"/>
      <c r="H744" s="90"/>
      <c r="I744" s="90"/>
      <c r="J744" s="90"/>
      <c r="K744" s="90"/>
      <c r="L744" s="90"/>
      <c r="M744" s="90"/>
      <c r="N744" s="91"/>
      <c r="O744" s="91"/>
      <c r="P744" s="91"/>
      <c r="Q744" s="91"/>
      <c r="R744" s="91"/>
      <c r="S744" s="91"/>
      <c r="T744" s="91"/>
      <c r="U744" s="91"/>
      <c r="V744" s="92"/>
      <c r="W744" s="92"/>
      <c r="X744" s="93"/>
      <c r="Y744" s="93"/>
      <c r="Z744" s="93"/>
      <c r="AA744" s="4"/>
      <c r="AB744" s="5"/>
    </row>
    <row r="745" spans="1:28" x14ac:dyDescent="0.2">
      <c r="A745" s="4"/>
      <c r="B745" s="94"/>
      <c r="C745" s="94"/>
      <c r="D745" s="94"/>
      <c r="E745" s="94"/>
      <c r="F745" s="94"/>
      <c r="G745" s="94"/>
      <c r="H745" s="94"/>
      <c r="I745" s="94"/>
      <c r="J745" s="94"/>
      <c r="K745" s="94"/>
      <c r="L745" s="94"/>
      <c r="M745" s="94"/>
      <c r="N745" s="95"/>
      <c r="O745" s="95"/>
      <c r="P745" s="95"/>
      <c r="Q745" s="95"/>
      <c r="R745" s="95"/>
      <c r="S745" s="95"/>
      <c r="T745" s="95"/>
      <c r="U745" s="95"/>
      <c r="V745" s="96"/>
      <c r="W745" s="96"/>
      <c r="X745" s="97"/>
      <c r="Y745" s="97"/>
      <c r="Z745" s="97"/>
      <c r="AA745" s="4"/>
      <c r="AB745" s="5"/>
    </row>
    <row r="746" spans="1:28" x14ac:dyDescent="0.2">
      <c r="A746" s="4"/>
      <c r="B746" s="90"/>
      <c r="C746" s="90"/>
      <c r="D746" s="90"/>
      <c r="E746" s="90"/>
      <c r="F746" s="90"/>
      <c r="G746" s="90"/>
      <c r="H746" s="90"/>
      <c r="I746" s="90"/>
      <c r="J746" s="90"/>
      <c r="K746" s="90"/>
      <c r="L746" s="90"/>
      <c r="M746" s="90"/>
      <c r="N746" s="91"/>
      <c r="O746" s="91"/>
      <c r="P746" s="91"/>
      <c r="Q746" s="91"/>
      <c r="R746" s="91"/>
      <c r="S746" s="91"/>
      <c r="T746" s="91"/>
      <c r="U746" s="91"/>
      <c r="V746" s="92"/>
      <c r="W746" s="92"/>
      <c r="X746" s="93"/>
      <c r="Y746" s="93"/>
      <c r="Z746" s="93"/>
      <c r="AA746" s="4"/>
      <c r="AB746" s="5"/>
    </row>
    <row r="747" spans="1:28" x14ac:dyDescent="0.2">
      <c r="A747" s="4"/>
      <c r="B747" s="94"/>
      <c r="C747" s="94"/>
      <c r="D747" s="94"/>
      <c r="E747" s="94"/>
      <c r="F747" s="94"/>
      <c r="G747" s="94"/>
      <c r="H747" s="94"/>
      <c r="I747" s="94"/>
      <c r="J747" s="94"/>
      <c r="K747" s="94"/>
      <c r="L747" s="94"/>
      <c r="M747" s="94"/>
      <c r="N747" s="95"/>
      <c r="O747" s="95"/>
      <c r="P747" s="95"/>
      <c r="Q747" s="95"/>
      <c r="R747" s="95"/>
      <c r="S747" s="95"/>
      <c r="T747" s="95"/>
      <c r="U747" s="95"/>
      <c r="V747" s="96"/>
      <c r="W747" s="96"/>
      <c r="X747" s="97"/>
      <c r="Y747" s="97"/>
      <c r="Z747" s="97"/>
      <c r="AA747" s="4"/>
      <c r="AB747" s="5"/>
    </row>
    <row r="748" spans="1:28" x14ac:dyDescent="0.2">
      <c r="A748" s="4"/>
      <c r="B748" s="90"/>
      <c r="C748" s="90"/>
      <c r="D748" s="90"/>
      <c r="E748" s="90"/>
      <c r="F748" s="90"/>
      <c r="G748" s="90"/>
      <c r="H748" s="90"/>
      <c r="I748" s="90"/>
      <c r="J748" s="90"/>
      <c r="K748" s="90"/>
      <c r="L748" s="90"/>
      <c r="M748" s="90"/>
      <c r="N748" s="91"/>
      <c r="O748" s="91"/>
      <c r="P748" s="91"/>
      <c r="Q748" s="91"/>
      <c r="R748" s="91"/>
      <c r="S748" s="91"/>
      <c r="T748" s="91"/>
      <c r="U748" s="91"/>
      <c r="V748" s="92"/>
      <c r="W748" s="92"/>
      <c r="X748" s="93"/>
      <c r="Y748" s="93"/>
      <c r="Z748" s="93"/>
      <c r="AA748" s="4"/>
      <c r="AB748" s="5"/>
    </row>
    <row r="749" spans="1:28" x14ac:dyDescent="0.2">
      <c r="A749" s="4"/>
      <c r="B749" s="94"/>
      <c r="C749" s="94"/>
      <c r="D749" s="94"/>
      <c r="E749" s="94"/>
      <c r="F749" s="94"/>
      <c r="G749" s="94"/>
      <c r="H749" s="94"/>
      <c r="I749" s="94"/>
      <c r="J749" s="94"/>
      <c r="K749" s="94"/>
      <c r="L749" s="94"/>
      <c r="M749" s="94"/>
      <c r="N749" s="95"/>
      <c r="O749" s="95"/>
      <c r="P749" s="95"/>
      <c r="Q749" s="95"/>
      <c r="R749" s="95"/>
      <c r="S749" s="95"/>
      <c r="T749" s="95"/>
      <c r="U749" s="95"/>
      <c r="V749" s="96"/>
      <c r="W749" s="96"/>
      <c r="X749" s="97"/>
      <c r="Y749" s="97"/>
      <c r="Z749" s="97"/>
      <c r="AA749" s="4"/>
      <c r="AB749" s="5"/>
    </row>
    <row r="750" spans="1:28" x14ac:dyDescent="0.2">
      <c r="A750" s="4"/>
      <c r="B750" s="90"/>
      <c r="C750" s="90"/>
      <c r="D750" s="90"/>
      <c r="E750" s="90"/>
      <c r="F750" s="90"/>
      <c r="G750" s="90"/>
      <c r="H750" s="90"/>
      <c r="I750" s="90"/>
      <c r="J750" s="90"/>
      <c r="K750" s="90"/>
      <c r="L750" s="90"/>
      <c r="M750" s="90"/>
      <c r="N750" s="91"/>
      <c r="O750" s="91"/>
      <c r="P750" s="91"/>
      <c r="Q750" s="91"/>
      <c r="R750" s="91"/>
      <c r="S750" s="91"/>
      <c r="T750" s="91"/>
      <c r="U750" s="91"/>
      <c r="V750" s="92"/>
      <c r="W750" s="92"/>
      <c r="X750" s="93"/>
      <c r="Y750" s="93"/>
      <c r="Z750" s="93"/>
      <c r="AA750" s="4"/>
      <c r="AB750" s="5"/>
    </row>
    <row r="751" spans="1:28" x14ac:dyDescent="0.2">
      <c r="A751" s="4"/>
      <c r="B751" s="94"/>
      <c r="C751" s="94"/>
      <c r="D751" s="94"/>
      <c r="E751" s="94"/>
      <c r="F751" s="94"/>
      <c r="G751" s="94"/>
      <c r="H751" s="94"/>
      <c r="I751" s="94"/>
      <c r="J751" s="94"/>
      <c r="K751" s="94"/>
      <c r="L751" s="94"/>
      <c r="M751" s="94"/>
      <c r="N751" s="95"/>
      <c r="O751" s="95"/>
      <c r="P751" s="95"/>
      <c r="Q751" s="95"/>
      <c r="R751" s="95"/>
      <c r="S751" s="95"/>
      <c r="T751" s="95"/>
      <c r="U751" s="95"/>
      <c r="V751" s="96"/>
      <c r="W751" s="96"/>
      <c r="X751" s="97"/>
      <c r="Y751" s="97"/>
      <c r="Z751" s="97"/>
      <c r="AA751" s="4"/>
      <c r="AB751" s="5"/>
    </row>
    <row r="752" spans="1:28" x14ac:dyDescent="0.2">
      <c r="A752" s="4"/>
      <c r="B752" s="90"/>
      <c r="C752" s="90"/>
      <c r="D752" s="90"/>
      <c r="E752" s="90"/>
      <c r="F752" s="90"/>
      <c r="G752" s="90"/>
      <c r="H752" s="90"/>
      <c r="I752" s="90"/>
      <c r="J752" s="90"/>
      <c r="K752" s="90"/>
      <c r="L752" s="90"/>
      <c r="M752" s="90"/>
      <c r="N752" s="91"/>
      <c r="O752" s="91"/>
      <c r="P752" s="91"/>
      <c r="Q752" s="91"/>
      <c r="R752" s="91"/>
      <c r="S752" s="91"/>
      <c r="T752" s="91"/>
      <c r="U752" s="91"/>
      <c r="V752" s="92"/>
      <c r="W752" s="92"/>
      <c r="X752" s="93"/>
      <c r="Y752" s="93"/>
      <c r="Z752" s="93"/>
      <c r="AA752" s="4"/>
      <c r="AB752" s="5"/>
    </row>
    <row r="753" spans="1:28" x14ac:dyDescent="0.2">
      <c r="A753" s="4"/>
      <c r="B753" s="94"/>
      <c r="C753" s="94"/>
      <c r="D753" s="94"/>
      <c r="E753" s="94"/>
      <c r="F753" s="94"/>
      <c r="G753" s="94"/>
      <c r="H753" s="94"/>
      <c r="I753" s="94"/>
      <c r="J753" s="94"/>
      <c r="K753" s="94"/>
      <c r="L753" s="94"/>
      <c r="M753" s="94"/>
      <c r="N753" s="95"/>
      <c r="O753" s="95"/>
      <c r="P753" s="95"/>
      <c r="Q753" s="95"/>
      <c r="R753" s="95"/>
      <c r="S753" s="95"/>
      <c r="T753" s="95"/>
      <c r="U753" s="95"/>
      <c r="V753" s="96"/>
      <c r="W753" s="96"/>
      <c r="X753" s="97"/>
      <c r="Y753" s="97"/>
      <c r="Z753" s="97"/>
      <c r="AA753" s="4"/>
      <c r="AB753" s="5"/>
    </row>
    <row r="754" spans="1:28" x14ac:dyDescent="0.2">
      <c r="A754" s="4"/>
      <c r="B754" s="90"/>
      <c r="C754" s="90"/>
      <c r="D754" s="90"/>
      <c r="E754" s="90"/>
      <c r="F754" s="90"/>
      <c r="G754" s="90"/>
      <c r="H754" s="90"/>
      <c r="I754" s="90"/>
      <c r="J754" s="90"/>
      <c r="K754" s="90"/>
      <c r="L754" s="90"/>
      <c r="M754" s="90"/>
      <c r="N754" s="91"/>
      <c r="O754" s="91"/>
      <c r="P754" s="91"/>
      <c r="Q754" s="91"/>
      <c r="R754" s="91"/>
      <c r="S754" s="91"/>
      <c r="T754" s="91"/>
      <c r="U754" s="91"/>
      <c r="V754" s="92"/>
      <c r="W754" s="92"/>
      <c r="X754" s="93"/>
      <c r="Y754" s="93"/>
      <c r="Z754" s="93"/>
      <c r="AA754" s="4"/>
      <c r="AB754" s="5"/>
    </row>
    <row r="755" spans="1:28" x14ac:dyDescent="0.2">
      <c r="A755" s="4"/>
      <c r="B755" s="94"/>
      <c r="C755" s="94"/>
      <c r="D755" s="94"/>
      <c r="E755" s="94"/>
      <c r="F755" s="94"/>
      <c r="G755" s="94"/>
      <c r="H755" s="94"/>
      <c r="I755" s="94"/>
      <c r="J755" s="94"/>
      <c r="K755" s="94"/>
      <c r="L755" s="94"/>
      <c r="M755" s="94"/>
      <c r="N755" s="95"/>
      <c r="O755" s="95"/>
      <c r="P755" s="95"/>
      <c r="Q755" s="95"/>
      <c r="R755" s="95"/>
      <c r="S755" s="95"/>
      <c r="T755" s="95"/>
      <c r="U755" s="95"/>
      <c r="V755" s="96"/>
      <c r="W755" s="96"/>
      <c r="X755" s="97"/>
      <c r="Y755" s="97"/>
      <c r="Z755" s="97"/>
      <c r="AA755" s="4"/>
      <c r="AB755" s="5"/>
    </row>
    <row r="756" spans="1:28" x14ac:dyDescent="0.2">
      <c r="A756" s="4"/>
      <c r="B756" s="90"/>
      <c r="C756" s="90"/>
      <c r="D756" s="90"/>
      <c r="E756" s="90"/>
      <c r="F756" s="90"/>
      <c r="G756" s="90"/>
      <c r="H756" s="90"/>
      <c r="I756" s="90"/>
      <c r="J756" s="90"/>
      <c r="K756" s="90"/>
      <c r="L756" s="90"/>
      <c r="M756" s="90"/>
      <c r="N756" s="91"/>
      <c r="O756" s="91"/>
      <c r="P756" s="91"/>
      <c r="Q756" s="91"/>
      <c r="R756" s="91"/>
      <c r="S756" s="91"/>
      <c r="T756" s="91"/>
      <c r="U756" s="91"/>
      <c r="V756" s="92"/>
      <c r="W756" s="92"/>
      <c r="X756" s="93"/>
      <c r="Y756" s="93"/>
      <c r="Z756" s="93"/>
      <c r="AA756" s="4"/>
      <c r="AB756" s="5"/>
    </row>
    <row r="757" spans="1:28" x14ac:dyDescent="0.2">
      <c r="A757" s="4"/>
      <c r="B757" s="94"/>
      <c r="C757" s="94"/>
      <c r="D757" s="94"/>
      <c r="E757" s="94"/>
      <c r="F757" s="94"/>
      <c r="G757" s="94"/>
      <c r="H757" s="94"/>
      <c r="I757" s="94"/>
      <c r="J757" s="94"/>
      <c r="K757" s="94"/>
      <c r="L757" s="94"/>
      <c r="M757" s="94"/>
      <c r="N757" s="95"/>
      <c r="O757" s="95"/>
      <c r="P757" s="95"/>
      <c r="Q757" s="95"/>
      <c r="R757" s="95"/>
      <c r="S757" s="95"/>
      <c r="T757" s="95"/>
      <c r="U757" s="95"/>
      <c r="V757" s="96"/>
      <c r="W757" s="96"/>
      <c r="X757" s="97"/>
      <c r="Y757" s="97"/>
      <c r="Z757" s="97"/>
      <c r="AA757" s="4"/>
      <c r="AB757" s="5"/>
    </row>
    <row r="758" spans="1:28" x14ac:dyDescent="0.2">
      <c r="A758" s="4"/>
      <c r="B758" s="90"/>
      <c r="C758" s="90"/>
      <c r="D758" s="90"/>
      <c r="E758" s="90"/>
      <c r="F758" s="90"/>
      <c r="G758" s="90"/>
      <c r="H758" s="90"/>
      <c r="I758" s="90"/>
      <c r="J758" s="90"/>
      <c r="K758" s="90"/>
      <c r="L758" s="90"/>
      <c r="M758" s="90"/>
      <c r="N758" s="91"/>
      <c r="O758" s="91"/>
      <c r="P758" s="91"/>
      <c r="Q758" s="91"/>
      <c r="R758" s="91"/>
      <c r="S758" s="91"/>
      <c r="T758" s="91"/>
      <c r="U758" s="91"/>
      <c r="V758" s="92"/>
      <c r="W758" s="92"/>
      <c r="X758" s="93"/>
      <c r="Y758" s="93"/>
      <c r="Z758" s="93"/>
      <c r="AA758" s="4"/>
      <c r="AB758" s="5"/>
    </row>
    <row r="759" spans="1:28" x14ac:dyDescent="0.2">
      <c r="A759" s="4"/>
      <c r="B759" s="94"/>
      <c r="C759" s="94"/>
      <c r="D759" s="94"/>
      <c r="E759" s="94"/>
      <c r="F759" s="94"/>
      <c r="G759" s="94"/>
      <c r="H759" s="94"/>
      <c r="I759" s="94"/>
      <c r="J759" s="94"/>
      <c r="K759" s="94"/>
      <c r="L759" s="94"/>
      <c r="M759" s="94"/>
      <c r="N759" s="95"/>
      <c r="O759" s="95"/>
      <c r="P759" s="95"/>
      <c r="Q759" s="95"/>
      <c r="R759" s="95"/>
      <c r="S759" s="95"/>
      <c r="T759" s="95"/>
      <c r="U759" s="95"/>
      <c r="V759" s="96"/>
      <c r="W759" s="96"/>
      <c r="X759" s="97"/>
      <c r="Y759" s="97"/>
      <c r="Z759" s="97"/>
      <c r="AA759" s="4"/>
      <c r="AB759" s="5"/>
    </row>
    <row r="760" spans="1:28" x14ac:dyDescent="0.2">
      <c r="A760" s="4"/>
      <c r="B760" s="90"/>
      <c r="C760" s="90"/>
      <c r="D760" s="90"/>
      <c r="E760" s="90"/>
      <c r="F760" s="90"/>
      <c r="G760" s="90"/>
      <c r="H760" s="90"/>
      <c r="I760" s="90"/>
      <c r="J760" s="90"/>
      <c r="K760" s="90"/>
      <c r="L760" s="90"/>
      <c r="M760" s="90"/>
      <c r="N760" s="91"/>
      <c r="O760" s="91"/>
      <c r="P760" s="91"/>
      <c r="Q760" s="91"/>
      <c r="R760" s="91"/>
      <c r="S760" s="91"/>
      <c r="T760" s="91"/>
      <c r="U760" s="91"/>
      <c r="V760" s="92"/>
      <c r="W760" s="92"/>
      <c r="X760" s="93"/>
      <c r="Y760" s="93"/>
      <c r="Z760" s="93"/>
      <c r="AA760" s="4"/>
      <c r="AB760" s="5"/>
    </row>
    <row r="761" spans="1:28" x14ac:dyDescent="0.2">
      <c r="A761" s="4"/>
      <c r="B761" s="94"/>
      <c r="C761" s="94"/>
      <c r="D761" s="94"/>
      <c r="E761" s="94"/>
      <c r="F761" s="94"/>
      <c r="G761" s="94"/>
      <c r="H761" s="94"/>
      <c r="I761" s="94"/>
      <c r="J761" s="94"/>
      <c r="K761" s="94"/>
      <c r="L761" s="94"/>
      <c r="M761" s="94"/>
      <c r="N761" s="95"/>
      <c r="O761" s="95"/>
      <c r="P761" s="95"/>
      <c r="Q761" s="95"/>
      <c r="R761" s="95"/>
      <c r="S761" s="95"/>
      <c r="T761" s="95"/>
      <c r="U761" s="95"/>
      <c r="V761" s="96"/>
      <c r="W761" s="96"/>
      <c r="X761" s="97"/>
      <c r="Y761" s="97"/>
      <c r="Z761" s="97"/>
      <c r="AA761" s="4"/>
      <c r="AB761" s="5"/>
    </row>
    <row r="762" spans="1:28" x14ac:dyDescent="0.2">
      <c r="A762" s="4"/>
      <c r="B762" s="90"/>
      <c r="C762" s="90"/>
      <c r="D762" s="90"/>
      <c r="E762" s="90"/>
      <c r="F762" s="90"/>
      <c r="G762" s="90"/>
      <c r="H762" s="90"/>
      <c r="I762" s="90"/>
      <c r="J762" s="90"/>
      <c r="K762" s="90"/>
      <c r="L762" s="90"/>
      <c r="M762" s="90"/>
      <c r="N762" s="91"/>
      <c r="O762" s="91"/>
      <c r="P762" s="91"/>
      <c r="Q762" s="91"/>
      <c r="R762" s="91"/>
      <c r="S762" s="91"/>
      <c r="T762" s="91"/>
      <c r="U762" s="91"/>
      <c r="V762" s="92"/>
      <c r="W762" s="92"/>
      <c r="X762" s="93"/>
      <c r="Y762" s="93"/>
      <c r="Z762" s="93"/>
      <c r="AA762" s="4"/>
      <c r="AB762" s="5"/>
    </row>
    <row r="763" spans="1:28" x14ac:dyDescent="0.2">
      <c r="A763" s="4"/>
      <c r="B763" s="94"/>
      <c r="C763" s="94"/>
      <c r="D763" s="94"/>
      <c r="E763" s="94"/>
      <c r="F763" s="94"/>
      <c r="G763" s="94"/>
      <c r="H763" s="94"/>
      <c r="I763" s="94"/>
      <c r="J763" s="94"/>
      <c r="K763" s="94"/>
      <c r="L763" s="94"/>
      <c r="M763" s="94"/>
      <c r="N763" s="95"/>
      <c r="O763" s="95"/>
      <c r="P763" s="95"/>
      <c r="Q763" s="95"/>
      <c r="R763" s="95"/>
      <c r="S763" s="95"/>
      <c r="T763" s="95"/>
      <c r="U763" s="95"/>
      <c r="V763" s="96"/>
      <c r="W763" s="96"/>
      <c r="X763" s="97"/>
      <c r="Y763" s="97"/>
      <c r="Z763" s="97"/>
      <c r="AA763" s="4"/>
      <c r="AB763" s="5"/>
    </row>
    <row r="764" spans="1:28" x14ac:dyDescent="0.2">
      <c r="A764" s="4"/>
      <c r="B764" s="90"/>
      <c r="C764" s="90"/>
      <c r="D764" s="90"/>
      <c r="E764" s="90"/>
      <c r="F764" s="90"/>
      <c r="G764" s="90"/>
      <c r="H764" s="90"/>
      <c r="I764" s="90"/>
      <c r="J764" s="90"/>
      <c r="K764" s="90"/>
      <c r="L764" s="90"/>
      <c r="M764" s="90"/>
      <c r="N764" s="91"/>
      <c r="O764" s="91"/>
      <c r="P764" s="91"/>
      <c r="Q764" s="91"/>
      <c r="R764" s="91"/>
      <c r="S764" s="91"/>
      <c r="T764" s="91"/>
      <c r="U764" s="91"/>
      <c r="V764" s="92"/>
      <c r="W764" s="92"/>
      <c r="X764" s="93"/>
      <c r="Y764" s="93"/>
      <c r="Z764" s="93"/>
      <c r="AA764" s="4"/>
      <c r="AB764" s="5"/>
    </row>
    <row r="765" spans="1:28" x14ac:dyDescent="0.2">
      <c r="A765" s="4"/>
      <c r="B765" s="94"/>
      <c r="C765" s="94"/>
      <c r="D765" s="94"/>
      <c r="E765" s="94"/>
      <c r="F765" s="94"/>
      <c r="G765" s="94"/>
      <c r="H765" s="94"/>
      <c r="I765" s="94"/>
      <c r="J765" s="94"/>
      <c r="K765" s="94"/>
      <c r="L765" s="94"/>
      <c r="M765" s="94"/>
      <c r="N765" s="95"/>
      <c r="O765" s="95"/>
      <c r="P765" s="95"/>
      <c r="Q765" s="95"/>
      <c r="R765" s="95"/>
      <c r="S765" s="95"/>
      <c r="T765" s="95"/>
      <c r="U765" s="95"/>
      <c r="V765" s="96"/>
      <c r="W765" s="96"/>
      <c r="X765" s="97"/>
      <c r="Y765" s="97"/>
      <c r="Z765" s="97"/>
      <c r="AA765" s="4"/>
      <c r="AB765" s="5"/>
    </row>
    <row r="766" spans="1:28" x14ac:dyDescent="0.2">
      <c r="A766" s="4"/>
      <c r="B766" s="90"/>
      <c r="C766" s="90"/>
      <c r="D766" s="90"/>
      <c r="E766" s="90"/>
      <c r="F766" s="90"/>
      <c r="G766" s="90"/>
      <c r="H766" s="90"/>
      <c r="I766" s="90"/>
      <c r="J766" s="90"/>
      <c r="K766" s="90"/>
      <c r="L766" s="90"/>
      <c r="M766" s="90"/>
      <c r="N766" s="91"/>
      <c r="O766" s="91"/>
      <c r="P766" s="91"/>
      <c r="Q766" s="91"/>
      <c r="R766" s="91"/>
      <c r="S766" s="91"/>
      <c r="T766" s="91"/>
      <c r="U766" s="91"/>
      <c r="V766" s="92"/>
      <c r="W766" s="92"/>
      <c r="X766" s="93"/>
      <c r="Y766" s="93"/>
      <c r="Z766" s="93"/>
      <c r="AA766" s="4"/>
      <c r="AB766" s="5"/>
    </row>
    <row r="767" spans="1:28" x14ac:dyDescent="0.2">
      <c r="A767" s="4"/>
      <c r="B767" s="94"/>
      <c r="C767" s="94"/>
      <c r="D767" s="94"/>
      <c r="E767" s="94"/>
      <c r="F767" s="94"/>
      <c r="G767" s="94"/>
      <c r="H767" s="94"/>
      <c r="I767" s="94"/>
      <c r="J767" s="94"/>
      <c r="K767" s="94"/>
      <c r="L767" s="94"/>
      <c r="M767" s="94"/>
      <c r="N767" s="95"/>
      <c r="O767" s="95"/>
      <c r="P767" s="95"/>
      <c r="Q767" s="95"/>
      <c r="R767" s="95"/>
      <c r="S767" s="95"/>
      <c r="T767" s="95"/>
      <c r="U767" s="95"/>
      <c r="V767" s="96"/>
      <c r="W767" s="96"/>
      <c r="X767" s="97"/>
      <c r="Y767" s="97"/>
      <c r="Z767" s="97"/>
      <c r="AA767" s="4"/>
      <c r="AB767" s="5"/>
    </row>
    <row r="768" spans="1:28" x14ac:dyDescent="0.2">
      <c r="A768" s="4"/>
      <c r="B768" s="90"/>
      <c r="C768" s="90"/>
      <c r="D768" s="90"/>
      <c r="E768" s="90"/>
      <c r="F768" s="90"/>
      <c r="G768" s="90"/>
      <c r="H768" s="90"/>
      <c r="I768" s="90"/>
      <c r="J768" s="90"/>
      <c r="K768" s="90"/>
      <c r="L768" s="90"/>
      <c r="M768" s="90"/>
      <c r="N768" s="91"/>
      <c r="O768" s="91"/>
      <c r="P768" s="91"/>
      <c r="Q768" s="91"/>
      <c r="R768" s="91"/>
      <c r="S768" s="91"/>
      <c r="T768" s="91"/>
      <c r="U768" s="91"/>
      <c r="V768" s="92"/>
      <c r="W768" s="92"/>
      <c r="X768" s="93"/>
      <c r="Y768" s="93"/>
      <c r="Z768" s="93"/>
      <c r="AA768" s="4"/>
      <c r="AB768" s="5"/>
    </row>
    <row r="769" spans="1:28" x14ac:dyDescent="0.2">
      <c r="A769" s="4"/>
      <c r="B769" s="94"/>
      <c r="C769" s="94"/>
      <c r="D769" s="94"/>
      <c r="E769" s="94"/>
      <c r="F769" s="94"/>
      <c r="G769" s="94"/>
      <c r="H769" s="94"/>
      <c r="I769" s="94"/>
      <c r="J769" s="94"/>
      <c r="K769" s="94"/>
      <c r="L769" s="94"/>
      <c r="M769" s="94"/>
      <c r="N769" s="95"/>
      <c r="O769" s="95"/>
      <c r="P769" s="95"/>
      <c r="Q769" s="95"/>
      <c r="R769" s="95"/>
      <c r="S769" s="95"/>
      <c r="T769" s="95"/>
      <c r="U769" s="95"/>
      <c r="V769" s="96"/>
      <c r="W769" s="96"/>
      <c r="X769" s="97"/>
      <c r="Y769" s="97"/>
      <c r="Z769" s="97"/>
      <c r="AA769" s="4"/>
      <c r="AB769" s="5"/>
    </row>
    <row r="770" spans="1:28" x14ac:dyDescent="0.2">
      <c r="A770" s="4"/>
      <c r="B770" s="90"/>
      <c r="C770" s="90"/>
      <c r="D770" s="90"/>
      <c r="E770" s="90"/>
      <c r="F770" s="90"/>
      <c r="G770" s="90"/>
      <c r="H770" s="90"/>
      <c r="I770" s="90"/>
      <c r="J770" s="90"/>
      <c r="K770" s="90"/>
      <c r="L770" s="90"/>
      <c r="M770" s="90"/>
      <c r="N770" s="91"/>
      <c r="O770" s="91"/>
      <c r="P770" s="91"/>
      <c r="Q770" s="91"/>
      <c r="R770" s="91"/>
      <c r="S770" s="91"/>
      <c r="T770" s="91"/>
      <c r="U770" s="91"/>
      <c r="V770" s="92"/>
      <c r="W770" s="92"/>
      <c r="X770" s="93"/>
      <c r="Y770" s="93"/>
      <c r="Z770" s="93"/>
      <c r="AA770" s="4"/>
      <c r="AB770" s="5"/>
    </row>
    <row r="771" spans="1:28" x14ac:dyDescent="0.2">
      <c r="A771" s="4"/>
      <c r="B771" s="94"/>
      <c r="C771" s="94"/>
      <c r="D771" s="94"/>
      <c r="E771" s="94"/>
      <c r="F771" s="94"/>
      <c r="G771" s="94"/>
      <c r="H771" s="94"/>
      <c r="I771" s="94"/>
      <c r="J771" s="94"/>
      <c r="K771" s="94"/>
      <c r="L771" s="94"/>
      <c r="M771" s="94"/>
      <c r="N771" s="95"/>
      <c r="O771" s="95"/>
      <c r="P771" s="95"/>
      <c r="Q771" s="95"/>
      <c r="R771" s="95"/>
      <c r="S771" s="95"/>
      <c r="T771" s="95"/>
      <c r="U771" s="95"/>
      <c r="V771" s="96"/>
      <c r="W771" s="96"/>
      <c r="X771" s="97"/>
      <c r="Y771" s="97"/>
      <c r="Z771" s="97"/>
      <c r="AA771" s="4"/>
      <c r="AB771" s="5"/>
    </row>
    <row r="772" spans="1:28" x14ac:dyDescent="0.2">
      <c r="A772" s="4"/>
      <c r="B772" s="90"/>
      <c r="C772" s="90"/>
      <c r="D772" s="90"/>
      <c r="E772" s="90"/>
      <c r="F772" s="90"/>
      <c r="G772" s="90"/>
      <c r="H772" s="90"/>
      <c r="I772" s="90"/>
      <c r="J772" s="90"/>
      <c r="K772" s="90"/>
      <c r="L772" s="90"/>
      <c r="M772" s="90"/>
      <c r="N772" s="91"/>
      <c r="O772" s="91"/>
      <c r="P772" s="91"/>
      <c r="Q772" s="91"/>
      <c r="R772" s="91"/>
      <c r="S772" s="91"/>
      <c r="T772" s="91"/>
      <c r="U772" s="91"/>
      <c r="V772" s="92"/>
      <c r="W772" s="92"/>
      <c r="X772" s="93"/>
      <c r="Y772" s="93"/>
      <c r="Z772" s="93"/>
      <c r="AA772" s="4"/>
      <c r="AB772" s="5"/>
    </row>
    <row r="773" spans="1:28" x14ac:dyDescent="0.2">
      <c r="A773" s="4"/>
      <c r="B773" s="94"/>
      <c r="C773" s="94"/>
      <c r="D773" s="94"/>
      <c r="E773" s="94"/>
      <c r="F773" s="94"/>
      <c r="G773" s="94"/>
      <c r="H773" s="94"/>
      <c r="I773" s="94"/>
      <c r="J773" s="94"/>
      <c r="K773" s="94"/>
      <c r="L773" s="94"/>
      <c r="M773" s="94"/>
      <c r="N773" s="95"/>
      <c r="O773" s="95"/>
      <c r="P773" s="95"/>
      <c r="Q773" s="95"/>
      <c r="R773" s="95"/>
      <c r="S773" s="95"/>
      <c r="T773" s="95"/>
      <c r="U773" s="95"/>
      <c r="V773" s="96"/>
      <c r="W773" s="96"/>
      <c r="X773" s="97"/>
      <c r="Y773" s="97"/>
      <c r="Z773" s="97"/>
      <c r="AA773" s="4"/>
      <c r="AB773" s="5"/>
    </row>
    <row r="774" spans="1:28" x14ac:dyDescent="0.2">
      <c r="A774" s="4"/>
      <c r="B774" s="90"/>
      <c r="C774" s="90"/>
      <c r="D774" s="90"/>
      <c r="E774" s="90"/>
      <c r="F774" s="90"/>
      <c r="G774" s="90"/>
      <c r="H774" s="90"/>
      <c r="I774" s="90"/>
      <c r="J774" s="90"/>
      <c r="K774" s="90"/>
      <c r="L774" s="90"/>
      <c r="M774" s="90"/>
      <c r="N774" s="91"/>
      <c r="O774" s="91"/>
      <c r="P774" s="91"/>
      <c r="Q774" s="91"/>
      <c r="R774" s="91"/>
      <c r="S774" s="91"/>
      <c r="T774" s="91"/>
      <c r="U774" s="91"/>
      <c r="V774" s="92"/>
      <c r="W774" s="92"/>
      <c r="X774" s="93"/>
      <c r="Y774" s="93"/>
      <c r="Z774" s="93"/>
      <c r="AA774" s="4"/>
      <c r="AB774" s="5"/>
    </row>
    <row r="775" spans="1:28" x14ac:dyDescent="0.2">
      <c r="A775" s="4"/>
      <c r="B775" s="94"/>
      <c r="C775" s="94"/>
      <c r="D775" s="94"/>
      <c r="E775" s="94"/>
      <c r="F775" s="94"/>
      <c r="G775" s="94"/>
      <c r="H775" s="94"/>
      <c r="I775" s="94"/>
      <c r="J775" s="94"/>
      <c r="K775" s="94"/>
      <c r="L775" s="94"/>
      <c r="M775" s="94"/>
      <c r="N775" s="95"/>
      <c r="O775" s="95"/>
      <c r="P775" s="95"/>
      <c r="Q775" s="95"/>
      <c r="R775" s="95"/>
      <c r="S775" s="95"/>
      <c r="T775" s="95"/>
      <c r="U775" s="95"/>
      <c r="V775" s="96"/>
      <c r="W775" s="96"/>
      <c r="X775" s="97"/>
      <c r="Y775" s="97"/>
      <c r="Z775" s="97"/>
      <c r="AA775" s="4"/>
      <c r="AB775" s="5"/>
    </row>
    <row r="776" spans="1:28" x14ac:dyDescent="0.2">
      <c r="A776" s="4"/>
      <c r="B776" s="90"/>
      <c r="C776" s="90"/>
      <c r="D776" s="90"/>
      <c r="E776" s="90"/>
      <c r="F776" s="90"/>
      <c r="G776" s="90"/>
      <c r="H776" s="90"/>
      <c r="I776" s="90"/>
      <c r="J776" s="90"/>
      <c r="K776" s="90"/>
      <c r="L776" s="90"/>
      <c r="M776" s="90"/>
      <c r="N776" s="91"/>
      <c r="O776" s="91"/>
      <c r="P776" s="91"/>
      <c r="Q776" s="91"/>
      <c r="R776" s="91"/>
      <c r="S776" s="91"/>
      <c r="T776" s="91"/>
      <c r="U776" s="91"/>
      <c r="V776" s="92"/>
      <c r="W776" s="92"/>
      <c r="X776" s="93"/>
      <c r="Y776" s="93"/>
      <c r="Z776" s="93"/>
      <c r="AA776" s="4"/>
      <c r="AB776" s="5"/>
    </row>
    <row r="777" spans="1:28" x14ac:dyDescent="0.2">
      <c r="A777" s="4"/>
      <c r="B777" s="94"/>
      <c r="C777" s="94"/>
      <c r="D777" s="94"/>
      <c r="E777" s="94"/>
      <c r="F777" s="94"/>
      <c r="G777" s="94"/>
      <c r="H777" s="94"/>
      <c r="I777" s="94"/>
      <c r="J777" s="94"/>
      <c r="K777" s="94"/>
      <c r="L777" s="94"/>
      <c r="M777" s="94"/>
      <c r="N777" s="95"/>
      <c r="O777" s="95"/>
      <c r="P777" s="95"/>
      <c r="Q777" s="95"/>
      <c r="R777" s="95"/>
      <c r="S777" s="95"/>
      <c r="T777" s="95"/>
      <c r="U777" s="95"/>
      <c r="V777" s="96"/>
      <c r="W777" s="96"/>
      <c r="X777" s="97"/>
      <c r="Y777" s="97"/>
      <c r="Z777" s="97"/>
      <c r="AA777" s="4"/>
      <c r="AB777" s="5"/>
    </row>
    <row r="778" spans="1:28" x14ac:dyDescent="0.2">
      <c r="A778" s="4"/>
      <c r="B778" s="90"/>
      <c r="C778" s="90"/>
      <c r="D778" s="90"/>
      <c r="E778" s="90"/>
      <c r="F778" s="90"/>
      <c r="G778" s="90"/>
      <c r="H778" s="90"/>
      <c r="I778" s="90"/>
      <c r="J778" s="90"/>
      <c r="K778" s="90"/>
      <c r="L778" s="90"/>
      <c r="M778" s="90"/>
      <c r="N778" s="91"/>
      <c r="O778" s="91"/>
      <c r="P778" s="91"/>
      <c r="Q778" s="91"/>
      <c r="R778" s="91"/>
      <c r="S778" s="91"/>
      <c r="T778" s="91"/>
      <c r="U778" s="91"/>
      <c r="V778" s="92"/>
      <c r="W778" s="92"/>
      <c r="X778" s="93"/>
      <c r="Y778" s="93"/>
      <c r="Z778" s="93"/>
      <c r="AA778" s="4"/>
      <c r="AB778" s="5"/>
    </row>
    <row r="779" spans="1:28" x14ac:dyDescent="0.2">
      <c r="A779" s="4"/>
      <c r="B779" s="94"/>
      <c r="C779" s="94"/>
      <c r="D779" s="94"/>
      <c r="E779" s="94"/>
      <c r="F779" s="94"/>
      <c r="G779" s="94"/>
      <c r="H779" s="94"/>
      <c r="I779" s="94"/>
      <c r="J779" s="94"/>
      <c r="K779" s="94"/>
      <c r="L779" s="94"/>
      <c r="M779" s="94"/>
      <c r="N779" s="95"/>
      <c r="O779" s="95"/>
      <c r="P779" s="95"/>
      <c r="Q779" s="95"/>
      <c r="R779" s="95"/>
      <c r="S779" s="95"/>
      <c r="T779" s="95"/>
      <c r="U779" s="95"/>
      <c r="V779" s="96"/>
      <c r="W779" s="96"/>
      <c r="X779" s="97"/>
      <c r="Y779" s="97"/>
      <c r="Z779" s="97"/>
      <c r="AA779" s="4"/>
      <c r="AB779" s="5"/>
    </row>
    <row r="780" spans="1:28" x14ac:dyDescent="0.2">
      <c r="A780" s="4"/>
      <c r="B780" s="90"/>
      <c r="C780" s="90"/>
      <c r="D780" s="90"/>
      <c r="E780" s="90"/>
      <c r="F780" s="90"/>
      <c r="G780" s="90"/>
      <c r="H780" s="90"/>
      <c r="I780" s="90"/>
      <c r="J780" s="90"/>
      <c r="K780" s="90"/>
      <c r="L780" s="90"/>
      <c r="M780" s="90"/>
      <c r="N780" s="91"/>
      <c r="O780" s="91"/>
      <c r="P780" s="91"/>
      <c r="Q780" s="91"/>
      <c r="R780" s="91"/>
      <c r="S780" s="91"/>
      <c r="T780" s="91"/>
      <c r="U780" s="91"/>
      <c r="V780" s="92"/>
      <c r="W780" s="92"/>
      <c r="X780" s="93"/>
      <c r="Y780" s="93"/>
      <c r="Z780" s="93"/>
      <c r="AA780" s="4"/>
      <c r="AB780" s="5"/>
    </row>
    <row r="781" spans="1:28" x14ac:dyDescent="0.2">
      <c r="A781" s="4"/>
      <c r="B781" s="94"/>
      <c r="C781" s="94"/>
      <c r="D781" s="94"/>
      <c r="E781" s="94"/>
      <c r="F781" s="94"/>
      <c r="G781" s="94"/>
      <c r="H781" s="94"/>
      <c r="I781" s="94"/>
      <c r="J781" s="94"/>
      <c r="K781" s="94"/>
      <c r="L781" s="94"/>
      <c r="M781" s="94"/>
      <c r="N781" s="95"/>
      <c r="O781" s="95"/>
      <c r="P781" s="95"/>
      <c r="Q781" s="95"/>
      <c r="R781" s="95"/>
      <c r="S781" s="95"/>
      <c r="T781" s="95"/>
      <c r="U781" s="95"/>
      <c r="V781" s="96"/>
      <c r="W781" s="96"/>
      <c r="X781" s="97"/>
      <c r="Y781" s="97"/>
      <c r="Z781" s="97"/>
      <c r="AA781" s="4"/>
      <c r="AB781" s="5"/>
    </row>
    <row r="782" spans="1:28" x14ac:dyDescent="0.2">
      <c r="A782" s="4"/>
      <c r="B782" s="90"/>
      <c r="C782" s="90"/>
      <c r="D782" s="90"/>
      <c r="E782" s="90"/>
      <c r="F782" s="90"/>
      <c r="G782" s="90"/>
      <c r="H782" s="90"/>
      <c r="I782" s="90"/>
      <c r="J782" s="90"/>
      <c r="K782" s="90"/>
      <c r="L782" s="90"/>
      <c r="M782" s="90"/>
      <c r="N782" s="91"/>
      <c r="O782" s="91"/>
      <c r="P782" s="91"/>
      <c r="Q782" s="91"/>
      <c r="R782" s="91"/>
      <c r="S782" s="91"/>
      <c r="T782" s="91"/>
      <c r="U782" s="91"/>
      <c r="V782" s="92"/>
      <c r="W782" s="92"/>
      <c r="X782" s="93"/>
      <c r="Y782" s="93"/>
      <c r="Z782" s="93"/>
      <c r="AA782" s="4"/>
      <c r="AB782" s="5"/>
    </row>
    <row r="783" spans="1:28" x14ac:dyDescent="0.2">
      <c r="A783" s="4"/>
      <c r="B783" s="94"/>
      <c r="C783" s="94"/>
      <c r="D783" s="94"/>
      <c r="E783" s="94"/>
      <c r="F783" s="94"/>
      <c r="G783" s="94"/>
      <c r="H783" s="94"/>
      <c r="I783" s="94"/>
      <c r="J783" s="94"/>
      <c r="K783" s="94"/>
      <c r="L783" s="94"/>
      <c r="M783" s="94"/>
      <c r="N783" s="95"/>
      <c r="O783" s="95"/>
      <c r="P783" s="95"/>
      <c r="Q783" s="95"/>
      <c r="R783" s="95"/>
      <c r="S783" s="95"/>
      <c r="T783" s="95"/>
      <c r="U783" s="95"/>
      <c r="V783" s="96"/>
      <c r="W783" s="96"/>
      <c r="X783" s="97"/>
      <c r="Y783" s="97"/>
      <c r="Z783" s="97"/>
      <c r="AA783" s="4"/>
      <c r="AB783" s="5"/>
    </row>
    <row r="784" spans="1:28" x14ac:dyDescent="0.2">
      <c r="A784" s="4"/>
      <c r="B784" s="90"/>
      <c r="C784" s="90"/>
      <c r="D784" s="90"/>
      <c r="E784" s="90"/>
      <c r="F784" s="90"/>
      <c r="G784" s="90"/>
      <c r="H784" s="90"/>
      <c r="I784" s="90"/>
      <c r="J784" s="90"/>
      <c r="K784" s="90"/>
      <c r="L784" s="90"/>
      <c r="M784" s="90"/>
      <c r="N784" s="91"/>
      <c r="O784" s="91"/>
      <c r="P784" s="91"/>
      <c r="Q784" s="91"/>
      <c r="R784" s="91"/>
      <c r="S784" s="91"/>
      <c r="T784" s="91"/>
      <c r="U784" s="91"/>
      <c r="V784" s="92"/>
      <c r="W784" s="92"/>
      <c r="X784" s="93"/>
      <c r="Y784" s="93"/>
      <c r="Z784" s="93"/>
      <c r="AA784" s="4"/>
      <c r="AB784" s="5"/>
    </row>
    <row r="785" spans="1:28" x14ac:dyDescent="0.2">
      <c r="A785" s="4"/>
      <c r="B785" s="94"/>
      <c r="C785" s="94"/>
      <c r="D785" s="94"/>
      <c r="E785" s="94"/>
      <c r="F785" s="94"/>
      <c r="G785" s="94"/>
      <c r="H785" s="94"/>
      <c r="I785" s="94"/>
      <c r="J785" s="94"/>
      <c r="K785" s="94"/>
      <c r="L785" s="94"/>
      <c r="M785" s="94"/>
      <c r="N785" s="95"/>
      <c r="O785" s="95"/>
      <c r="P785" s="95"/>
      <c r="Q785" s="95"/>
      <c r="R785" s="95"/>
      <c r="S785" s="95"/>
      <c r="T785" s="95"/>
      <c r="U785" s="95"/>
      <c r="V785" s="96"/>
      <c r="W785" s="96"/>
      <c r="X785" s="97"/>
      <c r="Y785" s="97"/>
      <c r="Z785" s="97"/>
      <c r="AA785" s="4"/>
      <c r="AB785" s="5"/>
    </row>
    <row r="786" spans="1:28" x14ac:dyDescent="0.2">
      <c r="A786" s="4"/>
      <c r="B786" s="90"/>
      <c r="C786" s="90"/>
      <c r="D786" s="90"/>
      <c r="E786" s="90"/>
      <c r="F786" s="90"/>
      <c r="G786" s="90"/>
      <c r="H786" s="90"/>
      <c r="I786" s="90"/>
      <c r="J786" s="90"/>
      <c r="K786" s="90"/>
      <c r="L786" s="90"/>
      <c r="M786" s="90"/>
      <c r="N786" s="91"/>
      <c r="O786" s="91"/>
      <c r="P786" s="91"/>
      <c r="Q786" s="91"/>
      <c r="R786" s="91"/>
      <c r="S786" s="91"/>
      <c r="T786" s="91"/>
      <c r="U786" s="91"/>
      <c r="V786" s="92"/>
      <c r="W786" s="92"/>
      <c r="X786" s="93"/>
      <c r="Y786" s="93"/>
      <c r="Z786" s="93"/>
      <c r="AA786" s="4"/>
      <c r="AB786" s="5"/>
    </row>
    <row r="787" spans="1:28" x14ac:dyDescent="0.2">
      <c r="A787" s="4"/>
      <c r="B787" s="94"/>
      <c r="C787" s="94"/>
      <c r="D787" s="94"/>
      <c r="E787" s="94"/>
      <c r="F787" s="94"/>
      <c r="G787" s="94"/>
      <c r="H787" s="94"/>
      <c r="I787" s="94"/>
      <c r="J787" s="94"/>
      <c r="K787" s="94"/>
      <c r="L787" s="94"/>
      <c r="M787" s="94"/>
      <c r="N787" s="95"/>
      <c r="O787" s="95"/>
      <c r="P787" s="95"/>
      <c r="Q787" s="95"/>
      <c r="R787" s="95"/>
      <c r="S787" s="95"/>
      <c r="T787" s="95"/>
      <c r="U787" s="95"/>
      <c r="V787" s="96"/>
      <c r="W787" s="96"/>
      <c r="X787" s="97"/>
      <c r="Y787" s="97"/>
      <c r="Z787" s="97"/>
      <c r="AA787" s="4"/>
      <c r="AB787" s="5"/>
    </row>
    <row r="788" spans="1:28" x14ac:dyDescent="0.2">
      <c r="A788" s="4"/>
      <c r="B788" s="90"/>
      <c r="C788" s="90"/>
      <c r="D788" s="90"/>
      <c r="E788" s="90"/>
      <c r="F788" s="90"/>
      <c r="G788" s="90"/>
      <c r="H788" s="90"/>
      <c r="I788" s="90"/>
      <c r="J788" s="90"/>
      <c r="K788" s="90"/>
      <c r="L788" s="90"/>
      <c r="M788" s="90"/>
      <c r="N788" s="91"/>
      <c r="O788" s="91"/>
      <c r="P788" s="91"/>
      <c r="Q788" s="91"/>
      <c r="R788" s="91"/>
      <c r="S788" s="91"/>
      <c r="T788" s="91"/>
      <c r="U788" s="91"/>
      <c r="V788" s="92"/>
      <c r="W788" s="92"/>
      <c r="X788" s="93"/>
      <c r="Y788" s="93"/>
      <c r="Z788" s="93"/>
      <c r="AA788" s="4"/>
      <c r="AB788" s="5"/>
    </row>
    <row r="789" spans="1:28" x14ac:dyDescent="0.2">
      <c r="A789" s="4"/>
      <c r="B789" s="94"/>
      <c r="C789" s="94"/>
      <c r="D789" s="94"/>
      <c r="E789" s="94"/>
      <c r="F789" s="94"/>
      <c r="G789" s="94"/>
      <c r="H789" s="94"/>
      <c r="I789" s="94"/>
      <c r="J789" s="94"/>
      <c r="K789" s="94"/>
      <c r="L789" s="94"/>
      <c r="M789" s="94"/>
      <c r="N789" s="95"/>
      <c r="O789" s="95"/>
      <c r="P789" s="95"/>
      <c r="Q789" s="95"/>
      <c r="R789" s="95"/>
      <c r="S789" s="95"/>
      <c r="T789" s="95"/>
      <c r="U789" s="95"/>
      <c r="V789" s="96"/>
      <c r="W789" s="96"/>
      <c r="X789" s="97"/>
      <c r="Y789" s="97"/>
      <c r="Z789" s="97"/>
      <c r="AA789" s="4"/>
      <c r="AB789" s="5"/>
    </row>
    <row r="790" spans="1:28" x14ac:dyDescent="0.2">
      <c r="A790" s="4"/>
      <c r="B790" s="90"/>
      <c r="C790" s="90"/>
      <c r="D790" s="90"/>
      <c r="E790" s="90"/>
      <c r="F790" s="90"/>
      <c r="G790" s="90"/>
      <c r="H790" s="90"/>
      <c r="I790" s="90"/>
      <c r="J790" s="90"/>
      <c r="K790" s="90"/>
      <c r="L790" s="90"/>
      <c r="M790" s="90"/>
      <c r="N790" s="91"/>
      <c r="O790" s="91"/>
      <c r="P790" s="91"/>
      <c r="Q790" s="91"/>
      <c r="R790" s="91"/>
      <c r="S790" s="91"/>
      <c r="T790" s="91"/>
      <c r="U790" s="91"/>
      <c r="V790" s="92"/>
      <c r="W790" s="92"/>
      <c r="X790" s="93"/>
      <c r="Y790" s="93"/>
      <c r="Z790" s="93"/>
      <c r="AA790" s="4"/>
      <c r="AB790" s="5"/>
    </row>
    <row r="791" spans="1:28" x14ac:dyDescent="0.2">
      <c r="A791" s="4"/>
      <c r="B791" s="94"/>
      <c r="C791" s="94"/>
      <c r="D791" s="94"/>
      <c r="E791" s="94"/>
      <c r="F791" s="94"/>
      <c r="G791" s="94"/>
      <c r="H791" s="94"/>
      <c r="I791" s="94"/>
      <c r="J791" s="94"/>
      <c r="K791" s="94"/>
      <c r="L791" s="94"/>
      <c r="M791" s="94"/>
      <c r="N791" s="95"/>
      <c r="O791" s="95"/>
      <c r="P791" s="95"/>
      <c r="Q791" s="95"/>
      <c r="R791" s="95"/>
      <c r="S791" s="95"/>
      <c r="T791" s="95"/>
      <c r="U791" s="95"/>
      <c r="V791" s="96"/>
      <c r="W791" s="96"/>
      <c r="X791" s="97"/>
      <c r="Y791" s="97"/>
      <c r="Z791" s="97"/>
      <c r="AA791" s="4"/>
      <c r="AB791" s="5"/>
    </row>
    <row r="792" spans="1:28" x14ac:dyDescent="0.2">
      <c r="A792" s="4"/>
      <c r="B792" s="90"/>
      <c r="C792" s="90"/>
      <c r="D792" s="90"/>
      <c r="E792" s="90"/>
      <c r="F792" s="90"/>
      <c r="G792" s="90"/>
      <c r="H792" s="90"/>
      <c r="I792" s="90"/>
      <c r="J792" s="90"/>
      <c r="K792" s="90"/>
      <c r="L792" s="90"/>
      <c r="M792" s="90"/>
      <c r="N792" s="91"/>
      <c r="O792" s="91"/>
      <c r="P792" s="91"/>
      <c r="Q792" s="91"/>
      <c r="R792" s="91"/>
      <c r="S792" s="91"/>
      <c r="T792" s="91"/>
      <c r="U792" s="91"/>
      <c r="V792" s="92"/>
      <c r="W792" s="92"/>
      <c r="X792" s="93"/>
      <c r="Y792" s="93"/>
      <c r="Z792" s="93"/>
      <c r="AA792" s="4"/>
      <c r="AB792" s="5"/>
    </row>
    <row r="793" spans="1:28" x14ac:dyDescent="0.2">
      <c r="A793" s="4"/>
      <c r="B793" s="94"/>
      <c r="C793" s="94"/>
      <c r="D793" s="94"/>
      <c r="E793" s="94"/>
      <c r="F793" s="94"/>
      <c r="G793" s="94"/>
      <c r="H793" s="94"/>
      <c r="I793" s="94"/>
      <c r="J793" s="94"/>
      <c r="K793" s="94"/>
      <c r="L793" s="94"/>
      <c r="M793" s="94"/>
      <c r="N793" s="95"/>
      <c r="O793" s="95"/>
      <c r="P793" s="95"/>
      <c r="Q793" s="95"/>
      <c r="R793" s="95"/>
      <c r="S793" s="95"/>
      <c r="T793" s="95"/>
      <c r="U793" s="95"/>
      <c r="V793" s="96"/>
      <c r="W793" s="96"/>
      <c r="X793" s="97"/>
      <c r="Y793" s="97"/>
      <c r="Z793" s="97"/>
      <c r="AA793" s="4"/>
      <c r="AB793" s="5"/>
    </row>
    <row r="794" spans="1:28" x14ac:dyDescent="0.2">
      <c r="A794" s="4"/>
      <c r="B794" s="90"/>
      <c r="C794" s="90"/>
      <c r="D794" s="90"/>
      <c r="E794" s="90"/>
      <c r="F794" s="90"/>
      <c r="G794" s="90"/>
      <c r="H794" s="90"/>
      <c r="I794" s="90"/>
      <c r="J794" s="90"/>
      <c r="K794" s="90"/>
      <c r="L794" s="90"/>
      <c r="M794" s="90"/>
      <c r="N794" s="91"/>
      <c r="O794" s="91"/>
      <c r="P794" s="91"/>
      <c r="Q794" s="91"/>
      <c r="R794" s="91"/>
      <c r="S794" s="91"/>
      <c r="T794" s="91"/>
      <c r="U794" s="91"/>
      <c r="V794" s="92"/>
      <c r="W794" s="92"/>
      <c r="X794" s="93"/>
      <c r="Y794" s="93"/>
      <c r="Z794" s="93"/>
      <c r="AA794" s="4"/>
      <c r="AB794" s="5"/>
    </row>
    <row r="795" spans="1:28" x14ac:dyDescent="0.2">
      <c r="A795" s="4"/>
      <c r="B795" s="94"/>
      <c r="C795" s="94"/>
      <c r="D795" s="94"/>
      <c r="E795" s="94"/>
      <c r="F795" s="94"/>
      <c r="G795" s="94"/>
      <c r="H795" s="94"/>
      <c r="I795" s="94"/>
      <c r="J795" s="94"/>
      <c r="K795" s="94"/>
      <c r="L795" s="94"/>
      <c r="M795" s="94"/>
      <c r="N795" s="95"/>
      <c r="O795" s="95"/>
      <c r="P795" s="95"/>
      <c r="Q795" s="95"/>
      <c r="R795" s="95"/>
      <c r="S795" s="95"/>
      <c r="T795" s="95"/>
      <c r="U795" s="95"/>
      <c r="V795" s="96"/>
      <c r="W795" s="96"/>
      <c r="X795" s="97"/>
      <c r="Y795" s="97"/>
      <c r="Z795" s="97"/>
      <c r="AA795" s="4"/>
      <c r="AB795" s="5"/>
    </row>
    <row r="796" spans="1:28" x14ac:dyDescent="0.2">
      <c r="A796" s="4"/>
      <c r="B796" s="90"/>
      <c r="C796" s="90"/>
      <c r="D796" s="90"/>
      <c r="E796" s="90"/>
      <c r="F796" s="90"/>
      <c r="G796" s="90"/>
      <c r="H796" s="90"/>
      <c r="I796" s="90"/>
      <c r="J796" s="90"/>
      <c r="K796" s="90"/>
      <c r="L796" s="90"/>
      <c r="M796" s="90"/>
      <c r="N796" s="91"/>
      <c r="O796" s="91"/>
      <c r="P796" s="91"/>
      <c r="Q796" s="91"/>
      <c r="R796" s="91"/>
      <c r="S796" s="91"/>
      <c r="T796" s="91"/>
      <c r="U796" s="91"/>
      <c r="V796" s="92"/>
      <c r="W796" s="92"/>
      <c r="X796" s="93"/>
      <c r="Y796" s="93"/>
      <c r="Z796" s="93"/>
      <c r="AA796" s="4"/>
      <c r="AB796" s="5"/>
    </row>
    <row r="797" spans="1:28" x14ac:dyDescent="0.2">
      <c r="A797" s="4"/>
      <c r="B797" s="94"/>
      <c r="C797" s="94"/>
      <c r="D797" s="94"/>
      <c r="E797" s="94"/>
      <c r="F797" s="94"/>
      <c r="G797" s="94"/>
      <c r="H797" s="94"/>
      <c r="I797" s="94"/>
      <c r="J797" s="94"/>
      <c r="K797" s="94"/>
      <c r="L797" s="94"/>
      <c r="M797" s="94"/>
      <c r="N797" s="95"/>
      <c r="O797" s="95"/>
      <c r="P797" s="95"/>
      <c r="Q797" s="95"/>
      <c r="R797" s="95"/>
      <c r="S797" s="95"/>
      <c r="T797" s="95"/>
      <c r="U797" s="95"/>
      <c r="V797" s="96"/>
      <c r="W797" s="96"/>
      <c r="X797" s="97"/>
      <c r="Y797" s="97"/>
      <c r="Z797" s="97"/>
      <c r="AA797" s="4"/>
      <c r="AB797" s="5"/>
    </row>
    <row r="798" spans="1:28" x14ac:dyDescent="0.2">
      <c r="A798" s="4"/>
      <c r="B798" s="90"/>
      <c r="C798" s="90"/>
      <c r="D798" s="90"/>
      <c r="E798" s="90"/>
      <c r="F798" s="90"/>
      <c r="G798" s="90"/>
      <c r="H798" s="90"/>
      <c r="I798" s="90"/>
      <c r="J798" s="90"/>
      <c r="K798" s="90"/>
      <c r="L798" s="90"/>
      <c r="M798" s="90"/>
      <c r="N798" s="91"/>
      <c r="O798" s="91"/>
      <c r="P798" s="91"/>
      <c r="Q798" s="91"/>
      <c r="R798" s="91"/>
      <c r="S798" s="91"/>
      <c r="T798" s="91"/>
      <c r="U798" s="91"/>
      <c r="V798" s="92"/>
      <c r="W798" s="92"/>
      <c r="X798" s="93"/>
      <c r="Y798" s="93"/>
      <c r="Z798" s="93"/>
      <c r="AA798" s="4"/>
      <c r="AB798" s="5"/>
    </row>
    <row r="799" spans="1:28" x14ac:dyDescent="0.2">
      <c r="A799" s="4"/>
      <c r="B799" s="94"/>
      <c r="C799" s="94"/>
      <c r="D799" s="94"/>
      <c r="E799" s="94"/>
      <c r="F799" s="94"/>
      <c r="G799" s="94"/>
      <c r="H799" s="94"/>
      <c r="I799" s="94"/>
      <c r="J799" s="94"/>
      <c r="K799" s="94"/>
      <c r="L799" s="94"/>
      <c r="M799" s="94"/>
      <c r="N799" s="95"/>
      <c r="O799" s="95"/>
      <c r="P799" s="95"/>
      <c r="Q799" s="95"/>
      <c r="R799" s="95"/>
      <c r="S799" s="95"/>
      <c r="T799" s="95"/>
      <c r="U799" s="95"/>
      <c r="V799" s="96"/>
      <c r="W799" s="96"/>
      <c r="X799" s="97"/>
      <c r="Y799" s="97"/>
      <c r="Z799" s="97"/>
      <c r="AA799" s="4"/>
      <c r="AB799" s="5"/>
    </row>
    <row r="800" spans="1:28" x14ac:dyDescent="0.2">
      <c r="A800" s="4"/>
      <c r="B800" s="90"/>
      <c r="C800" s="90"/>
      <c r="D800" s="90"/>
      <c r="E800" s="90"/>
      <c r="F800" s="90"/>
      <c r="G800" s="90"/>
      <c r="H800" s="90"/>
      <c r="I800" s="90"/>
      <c r="J800" s="90"/>
      <c r="K800" s="90"/>
      <c r="L800" s="90"/>
      <c r="M800" s="90"/>
      <c r="N800" s="91"/>
      <c r="O800" s="91"/>
      <c r="P800" s="91"/>
      <c r="Q800" s="91"/>
      <c r="R800" s="91"/>
      <c r="S800" s="91"/>
      <c r="T800" s="91"/>
      <c r="U800" s="91"/>
      <c r="V800" s="92"/>
      <c r="W800" s="92"/>
      <c r="X800" s="93"/>
      <c r="Y800" s="93"/>
      <c r="Z800" s="93"/>
      <c r="AA800" s="4"/>
      <c r="AB800" s="5"/>
    </row>
    <row r="801" spans="1:28" x14ac:dyDescent="0.2">
      <c r="A801" s="4"/>
      <c r="B801" s="94"/>
      <c r="C801" s="94"/>
      <c r="D801" s="94"/>
      <c r="E801" s="94"/>
      <c r="F801" s="94"/>
      <c r="G801" s="94"/>
      <c r="H801" s="94"/>
      <c r="I801" s="94"/>
      <c r="J801" s="94"/>
      <c r="K801" s="94"/>
      <c r="L801" s="94"/>
      <c r="M801" s="94"/>
      <c r="N801" s="95"/>
      <c r="O801" s="95"/>
      <c r="P801" s="95"/>
      <c r="Q801" s="95"/>
      <c r="R801" s="95"/>
      <c r="S801" s="95"/>
      <c r="T801" s="95"/>
      <c r="U801" s="95"/>
      <c r="V801" s="96"/>
      <c r="W801" s="96"/>
      <c r="X801" s="97"/>
      <c r="Y801" s="97"/>
      <c r="Z801" s="97"/>
      <c r="AA801" s="4"/>
      <c r="AB801" s="5"/>
    </row>
    <row r="802" spans="1:28" x14ac:dyDescent="0.2">
      <c r="A802" s="4"/>
      <c r="B802" s="90"/>
      <c r="C802" s="90"/>
      <c r="D802" s="90"/>
      <c r="E802" s="90"/>
      <c r="F802" s="90"/>
      <c r="G802" s="90"/>
      <c r="H802" s="90"/>
      <c r="I802" s="90"/>
      <c r="J802" s="90"/>
      <c r="K802" s="90"/>
      <c r="L802" s="90"/>
      <c r="M802" s="90"/>
      <c r="N802" s="91"/>
      <c r="O802" s="91"/>
      <c r="P802" s="91"/>
      <c r="Q802" s="91"/>
      <c r="R802" s="91"/>
      <c r="S802" s="91"/>
      <c r="T802" s="91"/>
      <c r="U802" s="91"/>
      <c r="V802" s="92"/>
      <c r="W802" s="92"/>
      <c r="X802" s="93"/>
      <c r="Y802" s="93"/>
      <c r="Z802" s="93"/>
      <c r="AA802" s="4"/>
      <c r="AB802" s="5"/>
    </row>
    <row r="803" spans="1:28" x14ac:dyDescent="0.2">
      <c r="A803" s="4"/>
      <c r="B803" s="94"/>
      <c r="C803" s="94"/>
      <c r="D803" s="94"/>
      <c r="E803" s="94"/>
      <c r="F803" s="94"/>
      <c r="G803" s="94"/>
      <c r="H803" s="94"/>
      <c r="I803" s="94"/>
      <c r="J803" s="94"/>
      <c r="K803" s="94"/>
      <c r="L803" s="94"/>
      <c r="M803" s="94"/>
      <c r="N803" s="95"/>
      <c r="O803" s="95"/>
      <c r="P803" s="95"/>
      <c r="Q803" s="95"/>
      <c r="R803" s="95"/>
      <c r="S803" s="95"/>
      <c r="T803" s="95"/>
      <c r="U803" s="95"/>
      <c r="V803" s="96"/>
      <c r="W803" s="96"/>
      <c r="X803" s="97"/>
      <c r="Y803" s="97"/>
      <c r="Z803" s="97"/>
      <c r="AA803" s="4"/>
      <c r="AB803" s="5"/>
    </row>
    <row r="804" spans="1:28" x14ac:dyDescent="0.2">
      <c r="A804" s="4"/>
      <c r="B804" s="90"/>
      <c r="C804" s="90"/>
      <c r="D804" s="90"/>
      <c r="E804" s="90"/>
      <c r="F804" s="90"/>
      <c r="G804" s="90"/>
      <c r="H804" s="90"/>
      <c r="I804" s="90"/>
      <c r="J804" s="90"/>
      <c r="K804" s="90"/>
      <c r="L804" s="90"/>
      <c r="M804" s="90"/>
      <c r="N804" s="91"/>
      <c r="O804" s="91"/>
      <c r="P804" s="91"/>
      <c r="Q804" s="91"/>
      <c r="R804" s="91"/>
      <c r="S804" s="91"/>
      <c r="T804" s="91"/>
      <c r="U804" s="91"/>
      <c r="V804" s="92"/>
      <c r="W804" s="92"/>
      <c r="X804" s="93"/>
      <c r="Y804" s="93"/>
      <c r="Z804" s="93"/>
      <c r="AA804" s="4"/>
      <c r="AB804" s="5"/>
    </row>
    <row r="805" spans="1:28" x14ac:dyDescent="0.2">
      <c r="A805" s="4"/>
      <c r="B805" s="94"/>
      <c r="C805" s="94"/>
      <c r="D805" s="94"/>
      <c r="E805" s="94"/>
      <c r="F805" s="94"/>
      <c r="G805" s="94"/>
      <c r="H805" s="94"/>
      <c r="I805" s="94"/>
      <c r="J805" s="94"/>
      <c r="K805" s="94"/>
      <c r="L805" s="94"/>
      <c r="M805" s="94"/>
      <c r="N805" s="95"/>
      <c r="O805" s="95"/>
      <c r="P805" s="95"/>
      <c r="Q805" s="95"/>
      <c r="R805" s="95"/>
      <c r="S805" s="95"/>
      <c r="T805" s="95"/>
      <c r="U805" s="95"/>
      <c r="V805" s="96"/>
      <c r="W805" s="96"/>
      <c r="X805" s="97"/>
      <c r="Y805" s="97"/>
      <c r="Z805" s="97"/>
      <c r="AA805" s="4"/>
      <c r="AB805" s="5"/>
    </row>
    <row r="806" spans="1:28" x14ac:dyDescent="0.2">
      <c r="A806" s="4"/>
      <c r="B806" s="90"/>
      <c r="C806" s="90"/>
      <c r="D806" s="90"/>
      <c r="E806" s="90"/>
      <c r="F806" s="90"/>
      <c r="G806" s="90"/>
      <c r="H806" s="90"/>
      <c r="I806" s="90"/>
      <c r="J806" s="90"/>
      <c r="K806" s="90"/>
      <c r="L806" s="90"/>
      <c r="M806" s="90"/>
      <c r="N806" s="91"/>
      <c r="O806" s="91"/>
      <c r="P806" s="91"/>
      <c r="Q806" s="91"/>
      <c r="R806" s="91"/>
      <c r="S806" s="91"/>
      <c r="T806" s="91"/>
      <c r="U806" s="91"/>
      <c r="V806" s="92"/>
      <c r="W806" s="92"/>
      <c r="X806" s="93"/>
      <c r="Y806" s="93"/>
      <c r="Z806" s="93"/>
      <c r="AA806" s="4"/>
      <c r="AB806" s="5"/>
    </row>
    <row r="807" spans="1:28" x14ac:dyDescent="0.2">
      <c r="A807" s="4"/>
      <c r="B807" s="94"/>
      <c r="C807" s="94"/>
      <c r="D807" s="94"/>
      <c r="E807" s="94"/>
      <c r="F807" s="94"/>
      <c r="G807" s="94"/>
      <c r="H807" s="94"/>
      <c r="I807" s="94"/>
      <c r="J807" s="94"/>
      <c r="K807" s="94"/>
      <c r="L807" s="94"/>
      <c r="M807" s="94"/>
      <c r="N807" s="95"/>
      <c r="O807" s="95"/>
      <c r="P807" s="95"/>
      <c r="Q807" s="95"/>
      <c r="R807" s="95"/>
      <c r="S807" s="95"/>
      <c r="T807" s="95"/>
      <c r="U807" s="95"/>
      <c r="V807" s="96"/>
      <c r="W807" s="96"/>
      <c r="X807" s="97"/>
      <c r="Y807" s="97"/>
      <c r="Z807" s="97"/>
      <c r="AA807" s="4"/>
      <c r="AB807" s="5"/>
    </row>
    <row r="808" spans="1:28" x14ac:dyDescent="0.2">
      <c r="A808" s="4"/>
      <c r="B808" s="90"/>
      <c r="C808" s="90"/>
      <c r="D808" s="90"/>
      <c r="E808" s="90"/>
      <c r="F808" s="90"/>
      <c r="G808" s="90"/>
      <c r="H808" s="90"/>
      <c r="I808" s="90"/>
      <c r="J808" s="90"/>
      <c r="K808" s="90"/>
      <c r="L808" s="90"/>
      <c r="M808" s="90"/>
      <c r="N808" s="91"/>
      <c r="O808" s="91"/>
      <c r="P808" s="91"/>
      <c r="Q808" s="91"/>
      <c r="R808" s="91"/>
      <c r="S808" s="91"/>
      <c r="T808" s="91"/>
      <c r="U808" s="91"/>
      <c r="V808" s="92"/>
      <c r="W808" s="92"/>
      <c r="X808" s="93"/>
      <c r="Y808" s="93"/>
      <c r="Z808" s="93"/>
      <c r="AA808" s="4"/>
      <c r="AB808" s="5"/>
    </row>
    <row r="809" spans="1:28" x14ac:dyDescent="0.2">
      <c r="A809" s="4"/>
      <c r="B809" s="94"/>
      <c r="C809" s="94"/>
      <c r="D809" s="94"/>
      <c r="E809" s="94"/>
      <c r="F809" s="94"/>
      <c r="G809" s="94"/>
      <c r="H809" s="94"/>
      <c r="I809" s="94"/>
      <c r="J809" s="94"/>
      <c r="K809" s="94"/>
      <c r="L809" s="94"/>
      <c r="M809" s="94"/>
      <c r="N809" s="95"/>
      <c r="O809" s="95"/>
      <c r="P809" s="95"/>
      <c r="Q809" s="95"/>
      <c r="R809" s="95"/>
      <c r="S809" s="95"/>
      <c r="T809" s="95"/>
      <c r="U809" s="95"/>
      <c r="V809" s="96"/>
      <c r="W809" s="96"/>
      <c r="X809" s="97"/>
      <c r="Y809" s="97"/>
      <c r="Z809" s="97"/>
      <c r="AA809" s="4"/>
      <c r="AB809" s="5"/>
    </row>
    <row r="810" spans="1:28" x14ac:dyDescent="0.2">
      <c r="A810" s="4"/>
      <c r="B810" s="90"/>
      <c r="C810" s="90"/>
      <c r="D810" s="90"/>
      <c r="E810" s="90"/>
      <c r="F810" s="90"/>
      <c r="G810" s="90"/>
      <c r="H810" s="90"/>
      <c r="I810" s="90"/>
      <c r="J810" s="90"/>
      <c r="K810" s="90"/>
      <c r="L810" s="90"/>
      <c r="M810" s="90"/>
      <c r="N810" s="91"/>
      <c r="O810" s="91"/>
      <c r="P810" s="91"/>
      <c r="Q810" s="91"/>
      <c r="R810" s="91"/>
      <c r="S810" s="91"/>
      <c r="T810" s="91"/>
      <c r="U810" s="91"/>
      <c r="V810" s="92"/>
      <c r="W810" s="92"/>
      <c r="X810" s="93"/>
      <c r="Y810" s="93"/>
      <c r="Z810" s="93"/>
      <c r="AA810" s="4"/>
      <c r="AB810" s="5"/>
    </row>
    <row r="811" spans="1:28" x14ac:dyDescent="0.2">
      <c r="A811" s="4"/>
      <c r="B811" s="94"/>
      <c r="C811" s="94"/>
      <c r="D811" s="94"/>
      <c r="E811" s="94"/>
      <c r="F811" s="94"/>
      <c r="G811" s="94"/>
      <c r="H811" s="94"/>
      <c r="I811" s="94"/>
      <c r="J811" s="94"/>
      <c r="K811" s="94"/>
      <c r="L811" s="94"/>
      <c r="M811" s="94"/>
      <c r="N811" s="95"/>
      <c r="O811" s="95"/>
      <c r="P811" s="95"/>
      <c r="Q811" s="95"/>
      <c r="R811" s="95"/>
      <c r="S811" s="95"/>
      <c r="T811" s="95"/>
      <c r="U811" s="95"/>
      <c r="V811" s="96"/>
      <c r="W811" s="96"/>
      <c r="X811" s="97"/>
      <c r="Y811" s="97"/>
      <c r="Z811" s="97"/>
      <c r="AA811" s="4"/>
      <c r="AB811" s="5"/>
    </row>
    <row r="812" spans="1:28" x14ac:dyDescent="0.2">
      <c r="A812" s="4"/>
      <c r="B812" s="90"/>
      <c r="C812" s="90"/>
      <c r="D812" s="90"/>
      <c r="E812" s="90"/>
      <c r="F812" s="90"/>
      <c r="G812" s="90"/>
      <c r="H812" s="90"/>
      <c r="I812" s="90"/>
      <c r="J812" s="90"/>
      <c r="K812" s="90"/>
      <c r="L812" s="90"/>
      <c r="M812" s="90"/>
      <c r="N812" s="91"/>
      <c r="O812" s="91"/>
      <c r="P812" s="91"/>
      <c r="Q812" s="91"/>
      <c r="R812" s="91"/>
      <c r="S812" s="91"/>
      <c r="T812" s="91"/>
      <c r="U812" s="91"/>
      <c r="V812" s="92"/>
      <c r="W812" s="92"/>
      <c r="X812" s="93"/>
      <c r="Y812" s="93"/>
      <c r="Z812" s="93"/>
      <c r="AA812" s="4"/>
      <c r="AB812" s="5"/>
    </row>
    <row r="813" spans="1:28" x14ac:dyDescent="0.2">
      <c r="A813" s="4"/>
      <c r="B813" s="94"/>
      <c r="C813" s="94"/>
      <c r="D813" s="94"/>
      <c r="E813" s="94"/>
      <c r="F813" s="94"/>
      <c r="G813" s="94"/>
      <c r="H813" s="94"/>
      <c r="I813" s="94"/>
      <c r="J813" s="94"/>
      <c r="K813" s="94"/>
      <c r="L813" s="94"/>
      <c r="M813" s="94"/>
      <c r="N813" s="95"/>
      <c r="O813" s="95"/>
      <c r="P813" s="95"/>
      <c r="Q813" s="95"/>
      <c r="R813" s="95"/>
      <c r="S813" s="95"/>
      <c r="T813" s="95"/>
      <c r="U813" s="95"/>
      <c r="V813" s="96"/>
      <c r="W813" s="96"/>
      <c r="X813" s="97"/>
      <c r="Y813" s="97"/>
      <c r="Z813" s="97"/>
      <c r="AA813" s="4"/>
      <c r="AB813" s="5"/>
    </row>
    <row r="814" spans="1:28" x14ac:dyDescent="0.2">
      <c r="A814" s="4"/>
      <c r="B814" s="90"/>
      <c r="C814" s="90"/>
      <c r="D814" s="90"/>
      <c r="E814" s="90"/>
      <c r="F814" s="90"/>
      <c r="G814" s="90"/>
      <c r="H814" s="90"/>
      <c r="I814" s="90"/>
      <c r="J814" s="90"/>
      <c r="K814" s="90"/>
      <c r="L814" s="90"/>
      <c r="M814" s="90"/>
      <c r="N814" s="91"/>
      <c r="O814" s="91"/>
      <c r="P814" s="91"/>
      <c r="Q814" s="91"/>
      <c r="R814" s="91"/>
      <c r="S814" s="91"/>
      <c r="T814" s="91"/>
      <c r="U814" s="91"/>
      <c r="V814" s="92"/>
      <c r="W814" s="92"/>
      <c r="X814" s="93"/>
      <c r="Y814" s="93"/>
      <c r="Z814" s="93"/>
      <c r="AA814" s="4"/>
      <c r="AB814" s="5"/>
    </row>
    <row r="815" spans="1:28" x14ac:dyDescent="0.2">
      <c r="A815" s="4"/>
      <c r="B815" s="94"/>
      <c r="C815" s="94"/>
      <c r="D815" s="94"/>
      <c r="E815" s="94"/>
      <c r="F815" s="94"/>
      <c r="G815" s="94"/>
      <c r="H815" s="94"/>
      <c r="I815" s="94"/>
      <c r="J815" s="94"/>
      <c r="K815" s="94"/>
      <c r="L815" s="94"/>
      <c r="M815" s="94"/>
      <c r="N815" s="95"/>
      <c r="O815" s="95"/>
      <c r="P815" s="95"/>
      <c r="Q815" s="95"/>
      <c r="R815" s="95"/>
      <c r="S815" s="95"/>
      <c r="T815" s="95"/>
      <c r="U815" s="95"/>
      <c r="V815" s="96"/>
      <c r="W815" s="96"/>
      <c r="X815" s="97"/>
      <c r="Y815" s="97"/>
      <c r="Z815" s="97"/>
      <c r="AA815" s="4"/>
      <c r="AB815" s="5"/>
    </row>
    <row r="816" spans="1:28" x14ac:dyDescent="0.2">
      <c r="A816" s="4"/>
      <c r="B816" s="90"/>
      <c r="C816" s="90"/>
      <c r="D816" s="90"/>
      <c r="E816" s="90"/>
      <c r="F816" s="90"/>
      <c r="G816" s="90"/>
      <c r="H816" s="90"/>
      <c r="I816" s="90"/>
      <c r="J816" s="90"/>
      <c r="K816" s="90"/>
      <c r="L816" s="90"/>
      <c r="M816" s="90"/>
      <c r="N816" s="91"/>
      <c r="O816" s="91"/>
      <c r="P816" s="91"/>
      <c r="Q816" s="91"/>
      <c r="R816" s="91"/>
      <c r="S816" s="91"/>
      <c r="T816" s="91"/>
      <c r="U816" s="91"/>
      <c r="V816" s="92"/>
      <c r="W816" s="92"/>
      <c r="X816" s="93"/>
      <c r="Y816" s="93"/>
      <c r="Z816" s="93"/>
      <c r="AA816" s="4"/>
      <c r="AB816" s="5"/>
    </row>
    <row r="817" spans="1:28" x14ac:dyDescent="0.2">
      <c r="A817" s="4"/>
      <c r="B817" s="94"/>
      <c r="C817" s="94"/>
      <c r="D817" s="94"/>
      <c r="E817" s="94"/>
      <c r="F817" s="94"/>
      <c r="G817" s="94"/>
      <c r="H817" s="94"/>
      <c r="I817" s="94"/>
      <c r="J817" s="94"/>
      <c r="K817" s="94"/>
      <c r="L817" s="94"/>
      <c r="M817" s="94"/>
      <c r="N817" s="95"/>
      <c r="O817" s="95"/>
      <c r="P817" s="95"/>
      <c r="Q817" s="95"/>
      <c r="R817" s="95"/>
      <c r="S817" s="95"/>
      <c r="T817" s="95"/>
      <c r="U817" s="95"/>
      <c r="V817" s="96"/>
      <c r="W817" s="96"/>
      <c r="X817" s="97"/>
      <c r="Y817" s="97"/>
      <c r="Z817" s="97"/>
      <c r="AA817" s="4"/>
      <c r="AB817" s="5"/>
    </row>
    <row r="818" spans="1:28" x14ac:dyDescent="0.2">
      <c r="A818" s="4"/>
      <c r="B818" s="90"/>
      <c r="C818" s="90"/>
      <c r="D818" s="90"/>
      <c r="E818" s="90"/>
      <c r="F818" s="90"/>
      <c r="G818" s="90"/>
      <c r="H818" s="90"/>
      <c r="I818" s="90"/>
      <c r="J818" s="90"/>
      <c r="K818" s="90"/>
      <c r="L818" s="90"/>
      <c r="M818" s="90"/>
      <c r="N818" s="91"/>
      <c r="O818" s="91"/>
      <c r="P818" s="91"/>
      <c r="Q818" s="91"/>
      <c r="R818" s="91"/>
      <c r="S818" s="91"/>
      <c r="T818" s="91"/>
      <c r="U818" s="91"/>
      <c r="V818" s="92"/>
      <c r="W818" s="92"/>
      <c r="X818" s="93"/>
      <c r="Y818" s="93"/>
      <c r="Z818" s="93"/>
      <c r="AA818" s="4"/>
      <c r="AB818" s="5"/>
    </row>
    <row r="819" spans="1:28" x14ac:dyDescent="0.2">
      <c r="A819" s="4"/>
      <c r="B819" s="94"/>
      <c r="C819" s="94"/>
      <c r="D819" s="94"/>
      <c r="E819" s="94"/>
      <c r="F819" s="94"/>
      <c r="G819" s="94"/>
      <c r="H819" s="94"/>
      <c r="I819" s="94"/>
      <c r="J819" s="94"/>
      <c r="K819" s="94"/>
      <c r="L819" s="94"/>
      <c r="M819" s="94"/>
      <c r="N819" s="95"/>
      <c r="O819" s="95"/>
      <c r="P819" s="95"/>
      <c r="Q819" s="95"/>
      <c r="R819" s="95"/>
      <c r="S819" s="95"/>
      <c r="T819" s="95"/>
      <c r="U819" s="95"/>
      <c r="V819" s="96"/>
      <c r="W819" s="96"/>
      <c r="X819" s="97"/>
      <c r="Y819" s="97"/>
      <c r="Z819" s="97"/>
      <c r="AA819" s="4"/>
      <c r="AB819" s="5"/>
    </row>
    <row r="820" spans="1:28" x14ac:dyDescent="0.2">
      <c r="A820" s="4"/>
      <c r="B820" s="90"/>
      <c r="C820" s="90"/>
      <c r="D820" s="90"/>
      <c r="E820" s="90"/>
      <c r="F820" s="90"/>
      <c r="G820" s="90"/>
      <c r="H820" s="90"/>
      <c r="I820" s="90"/>
      <c r="J820" s="90"/>
      <c r="K820" s="90"/>
      <c r="L820" s="90"/>
      <c r="M820" s="90"/>
      <c r="N820" s="91"/>
      <c r="O820" s="91"/>
      <c r="P820" s="91"/>
      <c r="Q820" s="91"/>
      <c r="R820" s="91"/>
      <c r="S820" s="91"/>
      <c r="T820" s="91"/>
      <c r="U820" s="91"/>
      <c r="V820" s="92"/>
      <c r="W820" s="92"/>
      <c r="X820" s="93"/>
      <c r="Y820" s="93"/>
      <c r="Z820" s="93"/>
      <c r="AA820" s="4"/>
      <c r="AB820" s="5"/>
    </row>
    <row r="821" spans="1:28" x14ac:dyDescent="0.2">
      <c r="A821" s="4"/>
      <c r="B821" s="94"/>
      <c r="C821" s="94"/>
      <c r="D821" s="94"/>
      <c r="E821" s="94"/>
      <c r="F821" s="94"/>
      <c r="G821" s="94"/>
      <c r="H821" s="94"/>
      <c r="I821" s="94"/>
      <c r="J821" s="94"/>
      <c r="K821" s="94"/>
      <c r="L821" s="94"/>
      <c r="M821" s="94"/>
      <c r="N821" s="95"/>
      <c r="O821" s="95"/>
      <c r="P821" s="95"/>
      <c r="Q821" s="95"/>
      <c r="R821" s="95"/>
      <c r="S821" s="95"/>
      <c r="T821" s="95"/>
      <c r="U821" s="95"/>
      <c r="V821" s="96"/>
      <c r="W821" s="96"/>
      <c r="X821" s="97"/>
      <c r="Y821" s="97"/>
      <c r="Z821" s="97"/>
      <c r="AA821" s="4"/>
      <c r="AB821" s="5"/>
    </row>
    <row r="822" spans="1:28" x14ac:dyDescent="0.2">
      <c r="A822" s="4"/>
      <c r="B822" s="90"/>
      <c r="C822" s="90"/>
      <c r="D822" s="90"/>
      <c r="E822" s="90"/>
      <c r="F822" s="90"/>
      <c r="G822" s="90"/>
      <c r="H822" s="90"/>
      <c r="I822" s="90"/>
      <c r="J822" s="90"/>
      <c r="K822" s="90"/>
      <c r="L822" s="90"/>
      <c r="M822" s="90"/>
      <c r="N822" s="91"/>
      <c r="O822" s="91"/>
      <c r="P822" s="91"/>
      <c r="Q822" s="91"/>
      <c r="R822" s="91"/>
      <c r="S822" s="91"/>
      <c r="T822" s="91"/>
      <c r="U822" s="91"/>
      <c r="V822" s="92"/>
      <c r="W822" s="92"/>
      <c r="X822" s="93"/>
      <c r="Y822" s="93"/>
      <c r="Z822" s="93"/>
      <c r="AA822" s="4"/>
      <c r="AB822" s="5"/>
    </row>
    <row r="823" spans="1:28" x14ac:dyDescent="0.2">
      <c r="A823" s="4"/>
      <c r="B823" s="94"/>
      <c r="C823" s="94"/>
      <c r="D823" s="94"/>
      <c r="E823" s="94"/>
      <c r="F823" s="94"/>
      <c r="G823" s="94"/>
      <c r="H823" s="94"/>
      <c r="I823" s="94"/>
      <c r="J823" s="94"/>
      <c r="K823" s="94"/>
      <c r="L823" s="94"/>
      <c r="M823" s="94"/>
      <c r="N823" s="95"/>
      <c r="O823" s="95"/>
      <c r="P823" s="95"/>
      <c r="Q823" s="95"/>
      <c r="R823" s="95"/>
      <c r="S823" s="95"/>
      <c r="T823" s="95"/>
      <c r="U823" s="95"/>
      <c r="V823" s="96"/>
      <c r="W823" s="96"/>
      <c r="X823" s="97"/>
      <c r="Y823" s="97"/>
      <c r="Z823" s="97"/>
      <c r="AA823" s="4"/>
      <c r="AB823" s="5"/>
    </row>
    <row r="824" spans="1:28" x14ac:dyDescent="0.2">
      <c r="A824" s="4"/>
      <c r="B824" s="90"/>
      <c r="C824" s="90"/>
      <c r="D824" s="90"/>
      <c r="E824" s="90"/>
      <c r="F824" s="90"/>
      <c r="G824" s="90"/>
      <c r="H824" s="90"/>
      <c r="I824" s="90"/>
      <c r="J824" s="90"/>
      <c r="K824" s="90"/>
      <c r="L824" s="90"/>
      <c r="M824" s="90"/>
      <c r="N824" s="91"/>
      <c r="O824" s="91"/>
      <c r="P824" s="91"/>
      <c r="Q824" s="91"/>
      <c r="R824" s="91"/>
      <c r="S824" s="91"/>
      <c r="T824" s="91"/>
      <c r="U824" s="91"/>
      <c r="V824" s="92"/>
      <c r="W824" s="92"/>
      <c r="X824" s="93"/>
      <c r="Y824" s="93"/>
      <c r="Z824" s="93"/>
      <c r="AA824" s="4"/>
      <c r="AB824" s="5"/>
    </row>
    <row r="825" spans="1:28" x14ac:dyDescent="0.2">
      <c r="A825" s="4"/>
      <c r="B825" s="94"/>
      <c r="C825" s="94"/>
      <c r="D825" s="94"/>
      <c r="E825" s="94"/>
      <c r="F825" s="94"/>
      <c r="G825" s="94"/>
      <c r="H825" s="94"/>
      <c r="I825" s="94"/>
      <c r="J825" s="94"/>
      <c r="K825" s="94"/>
      <c r="L825" s="94"/>
      <c r="M825" s="94"/>
      <c r="N825" s="95"/>
      <c r="O825" s="95"/>
      <c r="P825" s="95"/>
      <c r="Q825" s="95"/>
      <c r="R825" s="95"/>
      <c r="S825" s="95"/>
      <c r="T825" s="95"/>
      <c r="U825" s="95"/>
      <c r="V825" s="96"/>
      <c r="W825" s="96"/>
      <c r="X825" s="97"/>
      <c r="Y825" s="97"/>
      <c r="Z825" s="97"/>
      <c r="AA825" s="4"/>
      <c r="AB825" s="5"/>
    </row>
    <row r="826" spans="1:28" x14ac:dyDescent="0.2">
      <c r="A826" s="4"/>
      <c r="B826" s="90"/>
      <c r="C826" s="90"/>
      <c r="D826" s="90"/>
      <c r="E826" s="90"/>
      <c r="F826" s="90"/>
      <c r="G826" s="90"/>
      <c r="H826" s="90"/>
      <c r="I826" s="90"/>
      <c r="J826" s="90"/>
      <c r="K826" s="90"/>
      <c r="L826" s="90"/>
      <c r="M826" s="90"/>
      <c r="N826" s="91"/>
      <c r="O826" s="91"/>
      <c r="P826" s="91"/>
      <c r="Q826" s="91"/>
      <c r="R826" s="91"/>
      <c r="S826" s="91"/>
      <c r="T826" s="91"/>
      <c r="U826" s="91"/>
      <c r="V826" s="92"/>
      <c r="W826" s="92"/>
      <c r="X826" s="93"/>
      <c r="Y826" s="93"/>
      <c r="Z826" s="93"/>
      <c r="AA826" s="4"/>
      <c r="AB826" s="5"/>
    </row>
    <row r="827" spans="1:28" x14ac:dyDescent="0.2">
      <c r="A827" s="4"/>
      <c r="B827" s="94"/>
      <c r="C827" s="94"/>
      <c r="D827" s="94"/>
      <c r="E827" s="94"/>
      <c r="F827" s="94"/>
      <c r="G827" s="94"/>
      <c r="H827" s="94"/>
      <c r="I827" s="94"/>
      <c r="J827" s="94"/>
      <c r="K827" s="94"/>
      <c r="L827" s="94"/>
      <c r="M827" s="94"/>
      <c r="N827" s="95"/>
      <c r="O827" s="95"/>
      <c r="P827" s="95"/>
      <c r="Q827" s="95"/>
      <c r="R827" s="95"/>
      <c r="S827" s="95"/>
      <c r="T827" s="95"/>
      <c r="U827" s="95"/>
      <c r="V827" s="96"/>
      <c r="W827" s="96"/>
      <c r="X827" s="97"/>
      <c r="Y827" s="97"/>
      <c r="Z827" s="97"/>
      <c r="AA827" s="4"/>
      <c r="AB827" s="5"/>
    </row>
    <row r="828" spans="1:28" x14ac:dyDescent="0.2">
      <c r="A828" s="4"/>
      <c r="B828" s="90"/>
      <c r="C828" s="90"/>
      <c r="D828" s="90"/>
      <c r="E828" s="90"/>
      <c r="F828" s="90"/>
      <c r="G828" s="90"/>
      <c r="H828" s="90"/>
      <c r="I828" s="90"/>
      <c r="J828" s="90"/>
      <c r="K828" s="90"/>
      <c r="L828" s="90"/>
      <c r="M828" s="90"/>
      <c r="N828" s="91"/>
      <c r="O828" s="91"/>
      <c r="P828" s="91"/>
      <c r="Q828" s="91"/>
      <c r="R828" s="91"/>
      <c r="S828" s="91"/>
      <c r="T828" s="91"/>
      <c r="U828" s="91"/>
      <c r="V828" s="92"/>
      <c r="W828" s="92"/>
      <c r="X828" s="93"/>
      <c r="Y828" s="93"/>
      <c r="Z828" s="93"/>
      <c r="AA828" s="4"/>
      <c r="AB828" s="5"/>
    </row>
    <row r="829" spans="1:28" x14ac:dyDescent="0.2">
      <c r="A829" s="4"/>
      <c r="B829" s="94"/>
      <c r="C829" s="94"/>
      <c r="D829" s="94"/>
      <c r="E829" s="94"/>
      <c r="F829" s="94"/>
      <c r="G829" s="94"/>
      <c r="H829" s="94"/>
      <c r="I829" s="94"/>
      <c r="J829" s="94"/>
      <c r="K829" s="94"/>
      <c r="L829" s="94"/>
      <c r="M829" s="94"/>
      <c r="N829" s="95"/>
      <c r="O829" s="95"/>
      <c r="P829" s="95"/>
      <c r="Q829" s="95"/>
      <c r="R829" s="95"/>
      <c r="S829" s="95"/>
      <c r="T829" s="95"/>
      <c r="U829" s="95"/>
      <c r="V829" s="96"/>
      <c r="W829" s="96"/>
      <c r="X829" s="97"/>
      <c r="Y829" s="97"/>
      <c r="Z829" s="97"/>
      <c r="AA829" s="4"/>
      <c r="AB829" s="5"/>
    </row>
    <row r="830" spans="1:28" x14ac:dyDescent="0.2">
      <c r="A830" s="4"/>
      <c r="B830" s="90"/>
      <c r="C830" s="90"/>
      <c r="D830" s="90"/>
      <c r="E830" s="90"/>
      <c r="F830" s="90"/>
      <c r="G830" s="90"/>
      <c r="H830" s="90"/>
      <c r="I830" s="90"/>
      <c r="J830" s="90"/>
      <c r="K830" s="90"/>
      <c r="L830" s="90"/>
      <c r="M830" s="90"/>
      <c r="N830" s="91"/>
      <c r="O830" s="91"/>
      <c r="P830" s="91"/>
      <c r="Q830" s="91"/>
      <c r="R830" s="91"/>
      <c r="S830" s="91"/>
      <c r="T830" s="91"/>
      <c r="U830" s="91"/>
      <c r="V830" s="92"/>
      <c r="W830" s="92"/>
      <c r="X830" s="93"/>
      <c r="Y830" s="93"/>
      <c r="Z830" s="93"/>
      <c r="AA830" s="4"/>
      <c r="AB830" s="5"/>
    </row>
    <row r="831" spans="1:28" x14ac:dyDescent="0.2">
      <c r="A831" s="4"/>
      <c r="B831" s="94"/>
      <c r="C831" s="94"/>
      <c r="D831" s="94"/>
      <c r="E831" s="94"/>
      <c r="F831" s="94"/>
      <c r="G831" s="94"/>
      <c r="H831" s="94"/>
      <c r="I831" s="94"/>
      <c r="J831" s="94"/>
      <c r="K831" s="94"/>
      <c r="L831" s="94"/>
      <c r="M831" s="94"/>
      <c r="N831" s="95"/>
      <c r="O831" s="95"/>
      <c r="P831" s="95"/>
      <c r="Q831" s="95"/>
      <c r="R831" s="95"/>
      <c r="S831" s="95"/>
      <c r="T831" s="95"/>
      <c r="U831" s="95"/>
      <c r="V831" s="96"/>
      <c r="W831" s="96"/>
      <c r="X831" s="97"/>
      <c r="Y831" s="97"/>
      <c r="Z831" s="97"/>
      <c r="AA831" s="4"/>
      <c r="AB831" s="5"/>
    </row>
    <row r="832" spans="1:28" x14ac:dyDescent="0.2">
      <c r="A832" s="4"/>
      <c r="B832" s="90"/>
      <c r="C832" s="90"/>
      <c r="D832" s="90"/>
      <c r="E832" s="90"/>
      <c r="F832" s="90"/>
      <c r="G832" s="90"/>
      <c r="H832" s="90"/>
      <c r="I832" s="90"/>
      <c r="J832" s="90"/>
      <c r="K832" s="90"/>
      <c r="L832" s="90"/>
      <c r="M832" s="90"/>
      <c r="N832" s="91"/>
      <c r="O832" s="91"/>
      <c r="P832" s="91"/>
      <c r="Q832" s="91"/>
      <c r="R832" s="91"/>
      <c r="S832" s="91"/>
      <c r="T832" s="91"/>
      <c r="U832" s="91"/>
      <c r="V832" s="92"/>
      <c r="W832" s="92"/>
      <c r="X832" s="93"/>
      <c r="Y832" s="93"/>
      <c r="Z832" s="93"/>
      <c r="AA832" s="4"/>
      <c r="AB832" s="5"/>
    </row>
    <row r="833" spans="1:28" x14ac:dyDescent="0.2">
      <c r="A833" s="4"/>
      <c r="B833" s="94"/>
      <c r="C833" s="94"/>
      <c r="D833" s="94"/>
      <c r="E833" s="94"/>
      <c r="F833" s="94"/>
      <c r="G833" s="94"/>
      <c r="H833" s="94"/>
      <c r="I833" s="94"/>
      <c r="J833" s="94"/>
      <c r="K833" s="94"/>
      <c r="L833" s="94"/>
      <c r="M833" s="94"/>
      <c r="N833" s="95"/>
      <c r="O833" s="95"/>
      <c r="P833" s="95"/>
      <c r="Q833" s="95"/>
      <c r="R833" s="95"/>
      <c r="S833" s="95"/>
      <c r="T833" s="95"/>
      <c r="U833" s="95"/>
      <c r="V833" s="96"/>
      <c r="W833" s="96"/>
      <c r="X833" s="97"/>
      <c r="Y833" s="97"/>
      <c r="Z833" s="97"/>
      <c r="AA833" s="4"/>
      <c r="AB833" s="5"/>
    </row>
    <row r="834" spans="1:28" x14ac:dyDescent="0.2">
      <c r="A834" s="4"/>
      <c r="B834" s="90"/>
      <c r="C834" s="90"/>
      <c r="D834" s="90"/>
      <c r="E834" s="90"/>
      <c r="F834" s="90"/>
      <c r="G834" s="90"/>
      <c r="H834" s="90"/>
      <c r="I834" s="90"/>
      <c r="J834" s="90"/>
      <c r="K834" s="90"/>
      <c r="L834" s="90"/>
      <c r="M834" s="90"/>
      <c r="N834" s="91"/>
      <c r="O834" s="91"/>
      <c r="P834" s="91"/>
      <c r="Q834" s="91"/>
      <c r="R834" s="91"/>
      <c r="S834" s="91"/>
      <c r="T834" s="91"/>
      <c r="U834" s="91"/>
      <c r="V834" s="92"/>
      <c r="W834" s="92"/>
      <c r="X834" s="93"/>
      <c r="Y834" s="93"/>
      <c r="Z834" s="93"/>
      <c r="AA834" s="4"/>
      <c r="AB834" s="5"/>
    </row>
    <row r="835" spans="1:28" x14ac:dyDescent="0.2">
      <c r="A835" s="4"/>
      <c r="B835" s="94"/>
      <c r="C835" s="94"/>
      <c r="D835" s="94"/>
      <c r="E835" s="94"/>
      <c r="F835" s="94"/>
      <c r="G835" s="94"/>
      <c r="H835" s="94"/>
      <c r="I835" s="94"/>
      <c r="J835" s="94"/>
      <c r="K835" s="94"/>
      <c r="L835" s="94"/>
      <c r="M835" s="94"/>
      <c r="N835" s="95"/>
      <c r="O835" s="95"/>
      <c r="P835" s="95"/>
      <c r="Q835" s="95"/>
      <c r="R835" s="95"/>
      <c r="S835" s="95"/>
      <c r="T835" s="95"/>
      <c r="U835" s="95"/>
      <c r="V835" s="96"/>
      <c r="W835" s="96"/>
      <c r="X835" s="97"/>
      <c r="Y835" s="97"/>
      <c r="Z835" s="97"/>
      <c r="AA835" s="4"/>
      <c r="AB835" s="5"/>
    </row>
    <row r="836" spans="1:28" x14ac:dyDescent="0.2">
      <c r="A836" s="4"/>
      <c r="B836" s="90"/>
      <c r="C836" s="90"/>
      <c r="D836" s="90"/>
      <c r="E836" s="90"/>
      <c r="F836" s="90"/>
      <c r="G836" s="90"/>
      <c r="H836" s="90"/>
      <c r="I836" s="90"/>
      <c r="J836" s="90"/>
      <c r="K836" s="90"/>
      <c r="L836" s="90"/>
      <c r="M836" s="90"/>
      <c r="N836" s="91"/>
      <c r="O836" s="91"/>
      <c r="P836" s="91"/>
      <c r="Q836" s="91"/>
      <c r="R836" s="91"/>
      <c r="S836" s="91"/>
      <c r="T836" s="91"/>
      <c r="U836" s="91"/>
      <c r="V836" s="92"/>
      <c r="W836" s="92"/>
      <c r="X836" s="93"/>
      <c r="Y836" s="93"/>
      <c r="Z836" s="93"/>
      <c r="AA836" s="4"/>
      <c r="AB836" s="5"/>
    </row>
    <row r="837" spans="1:28" x14ac:dyDescent="0.2">
      <c r="A837" s="4"/>
      <c r="B837" s="94"/>
      <c r="C837" s="94"/>
      <c r="D837" s="94"/>
      <c r="E837" s="94"/>
      <c r="F837" s="94"/>
      <c r="G837" s="94"/>
      <c r="H837" s="94"/>
      <c r="I837" s="94"/>
      <c r="J837" s="94"/>
      <c r="K837" s="94"/>
      <c r="L837" s="94"/>
      <c r="M837" s="94"/>
      <c r="N837" s="95"/>
      <c r="O837" s="95"/>
      <c r="P837" s="95"/>
      <c r="Q837" s="95"/>
      <c r="R837" s="95"/>
      <c r="S837" s="95"/>
      <c r="T837" s="95"/>
      <c r="U837" s="95"/>
      <c r="V837" s="96"/>
      <c r="W837" s="96"/>
      <c r="X837" s="97"/>
      <c r="Y837" s="97"/>
      <c r="Z837" s="97"/>
      <c r="AA837" s="4"/>
      <c r="AB837" s="5"/>
    </row>
    <row r="838" spans="1:28" x14ac:dyDescent="0.2">
      <c r="A838" s="4"/>
      <c r="B838" s="90"/>
      <c r="C838" s="90"/>
      <c r="D838" s="90"/>
      <c r="E838" s="90"/>
      <c r="F838" s="90"/>
      <c r="G838" s="90"/>
      <c r="H838" s="90"/>
      <c r="I838" s="90"/>
      <c r="J838" s="90"/>
      <c r="K838" s="90"/>
      <c r="L838" s="90"/>
      <c r="M838" s="90"/>
      <c r="N838" s="91"/>
      <c r="O838" s="91"/>
      <c r="P838" s="91"/>
      <c r="Q838" s="91"/>
      <c r="R838" s="91"/>
      <c r="S838" s="91"/>
      <c r="T838" s="91"/>
      <c r="U838" s="91"/>
      <c r="V838" s="92"/>
      <c r="W838" s="92"/>
      <c r="X838" s="93"/>
      <c r="Y838" s="93"/>
      <c r="Z838" s="93"/>
      <c r="AA838" s="4"/>
      <c r="AB838" s="5"/>
    </row>
    <row r="839" spans="1:28" x14ac:dyDescent="0.2">
      <c r="A839" s="4"/>
      <c r="B839" s="94"/>
      <c r="C839" s="94"/>
      <c r="D839" s="94"/>
      <c r="E839" s="94"/>
      <c r="F839" s="94"/>
      <c r="G839" s="94"/>
      <c r="H839" s="94"/>
      <c r="I839" s="94"/>
      <c r="J839" s="94"/>
      <c r="K839" s="94"/>
      <c r="L839" s="94"/>
      <c r="M839" s="94"/>
      <c r="N839" s="95"/>
      <c r="O839" s="95"/>
      <c r="P839" s="95"/>
      <c r="Q839" s="95"/>
      <c r="R839" s="95"/>
      <c r="S839" s="95"/>
      <c r="T839" s="95"/>
      <c r="U839" s="95"/>
      <c r="V839" s="96"/>
      <c r="W839" s="96"/>
      <c r="X839" s="97"/>
      <c r="Y839" s="97"/>
      <c r="Z839" s="97"/>
      <c r="AA839" s="4"/>
      <c r="AB839" s="5"/>
    </row>
    <row r="840" spans="1:28" x14ac:dyDescent="0.2">
      <c r="A840" s="4"/>
      <c r="B840" s="90"/>
      <c r="C840" s="90"/>
      <c r="D840" s="90"/>
      <c r="E840" s="90"/>
      <c r="F840" s="90"/>
      <c r="G840" s="90"/>
      <c r="H840" s="90"/>
      <c r="I840" s="90"/>
      <c r="J840" s="90"/>
      <c r="K840" s="90"/>
      <c r="L840" s="90"/>
      <c r="M840" s="90"/>
      <c r="N840" s="91"/>
      <c r="O840" s="91"/>
      <c r="P840" s="91"/>
      <c r="Q840" s="91"/>
      <c r="R840" s="91"/>
      <c r="S840" s="91"/>
      <c r="T840" s="91"/>
      <c r="U840" s="91"/>
      <c r="V840" s="92"/>
      <c r="W840" s="92"/>
      <c r="X840" s="93"/>
      <c r="Y840" s="93"/>
      <c r="Z840" s="93"/>
      <c r="AA840" s="4"/>
      <c r="AB840" s="5"/>
    </row>
    <row r="841" spans="1:28" x14ac:dyDescent="0.2">
      <c r="A841" s="4"/>
      <c r="B841" s="94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5"/>
      <c r="O841" s="95"/>
      <c r="P841" s="95"/>
      <c r="Q841" s="95"/>
      <c r="R841" s="95"/>
      <c r="S841" s="95"/>
      <c r="T841" s="95"/>
      <c r="U841" s="95"/>
      <c r="V841" s="96"/>
      <c r="W841" s="96"/>
      <c r="X841" s="97"/>
      <c r="Y841" s="97"/>
      <c r="Z841" s="97"/>
      <c r="AA841" s="4"/>
      <c r="AB841" s="5"/>
    </row>
    <row r="842" spans="1:28" x14ac:dyDescent="0.2">
      <c r="A842" s="4"/>
      <c r="B842" s="90"/>
      <c r="C842" s="90"/>
      <c r="D842" s="90"/>
      <c r="E842" s="90"/>
      <c r="F842" s="90"/>
      <c r="G842" s="90"/>
      <c r="H842" s="90"/>
      <c r="I842" s="90"/>
      <c r="J842" s="90"/>
      <c r="K842" s="90"/>
      <c r="L842" s="90"/>
      <c r="M842" s="90"/>
      <c r="N842" s="91"/>
      <c r="O842" s="91"/>
      <c r="P842" s="91"/>
      <c r="Q842" s="91"/>
      <c r="R842" s="91"/>
      <c r="S842" s="91"/>
      <c r="T842" s="91"/>
      <c r="U842" s="91"/>
      <c r="V842" s="92"/>
      <c r="W842" s="92"/>
      <c r="X842" s="93"/>
      <c r="Y842" s="93"/>
      <c r="Z842" s="93"/>
      <c r="AA842" s="4"/>
      <c r="AB842" s="5"/>
    </row>
    <row r="843" spans="1:28" x14ac:dyDescent="0.2">
      <c r="A843" s="4"/>
      <c r="B843" s="94"/>
      <c r="C843" s="94"/>
      <c r="D843" s="94"/>
      <c r="E843" s="94"/>
      <c r="F843" s="94"/>
      <c r="G843" s="94"/>
      <c r="H843" s="94"/>
      <c r="I843" s="94"/>
      <c r="J843" s="94"/>
      <c r="K843" s="94"/>
      <c r="L843" s="94"/>
      <c r="M843" s="94"/>
      <c r="N843" s="95"/>
      <c r="O843" s="95"/>
      <c r="P843" s="95"/>
      <c r="Q843" s="95"/>
      <c r="R843" s="95"/>
      <c r="S843" s="95"/>
      <c r="T843" s="95"/>
      <c r="U843" s="95"/>
      <c r="V843" s="96"/>
      <c r="W843" s="96"/>
      <c r="X843" s="97"/>
      <c r="Y843" s="97"/>
      <c r="Z843" s="97"/>
      <c r="AA843" s="4"/>
      <c r="AB843" s="5"/>
    </row>
    <row r="844" spans="1:28" x14ac:dyDescent="0.2">
      <c r="A844" s="4"/>
      <c r="B844" s="90"/>
      <c r="C844" s="90"/>
      <c r="D844" s="90"/>
      <c r="E844" s="90"/>
      <c r="F844" s="90"/>
      <c r="G844" s="90"/>
      <c r="H844" s="90"/>
      <c r="I844" s="90"/>
      <c r="J844" s="90"/>
      <c r="K844" s="90"/>
      <c r="L844" s="90"/>
      <c r="M844" s="90"/>
      <c r="N844" s="91"/>
      <c r="O844" s="91"/>
      <c r="P844" s="91"/>
      <c r="Q844" s="91"/>
      <c r="R844" s="91"/>
      <c r="S844" s="91"/>
      <c r="T844" s="91"/>
      <c r="U844" s="91"/>
      <c r="V844" s="92"/>
      <c r="W844" s="92"/>
      <c r="X844" s="93"/>
      <c r="Y844" s="93"/>
      <c r="Z844" s="93"/>
      <c r="AA844" s="4"/>
      <c r="AB844" s="5"/>
    </row>
    <row r="845" spans="1:28" x14ac:dyDescent="0.2">
      <c r="A845" s="4"/>
      <c r="B845" s="94"/>
      <c r="C845" s="94"/>
      <c r="D845" s="94"/>
      <c r="E845" s="94"/>
      <c r="F845" s="94"/>
      <c r="G845" s="94"/>
      <c r="H845" s="94"/>
      <c r="I845" s="94"/>
      <c r="J845" s="94"/>
      <c r="K845" s="94"/>
      <c r="L845" s="94"/>
      <c r="M845" s="94"/>
      <c r="N845" s="95"/>
      <c r="O845" s="95"/>
      <c r="P845" s="95"/>
      <c r="Q845" s="95"/>
      <c r="R845" s="95"/>
      <c r="S845" s="95"/>
      <c r="T845" s="95"/>
      <c r="U845" s="95"/>
      <c r="V845" s="96"/>
      <c r="W845" s="96"/>
      <c r="X845" s="97"/>
      <c r="Y845" s="97"/>
      <c r="Z845" s="97"/>
      <c r="AA845" s="4"/>
      <c r="AB845" s="5"/>
    </row>
    <row r="846" spans="1:28" x14ac:dyDescent="0.2">
      <c r="A846" s="4"/>
      <c r="B846" s="90"/>
      <c r="C846" s="90"/>
      <c r="D846" s="90"/>
      <c r="E846" s="90"/>
      <c r="F846" s="90"/>
      <c r="G846" s="90"/>
      <c r="H846" s="90"/>
      <c r="I846" s="90"/>
      <c r="J846" s="90"/>
      <c r="K846" s="90"/>
      <c r="L846" s="90"/>
      <c r="M846" s="90"/>
      <c r="N846" s="91"/>
      <c r="O846" s="91"/>
      <c r="P846" s="91"/>
      <c r="Q846" s="91"/>
      <c r="R846" s="91"/>
      <c r="S846" s="91"/>
      <c r="T846" s="91"/>
      <c r="U846" s="91"/>
      <c r="V846" s="92"/>
      <c r="W846" s="92"/>
      <c r="X846" s="93"/>
      <c r="Y846" s="93"/>
      <c r="Z846" s="93"/>
      <c r="AA846" s="4"/>
      <c r="AB846" s="5"/>
    </row>
    <row r="847" spans="1:28" x14ac:dyDescent="0.2">
      <c r="A847" s="4"/>
      <c r="B847" s="94"/>
      <c r="C847" s="94"/>
      <c r="D847" s="94"/>
      <c r="E847" s="94"/>
      <c r="F847" s="94"/>
      <c r="G847" s="94"/>
      <c r="H847" s="94"/>
      <c r="I847" s="94"/>
      <c r="J847" s="94"/>
      <c r="K847" s="94"/>
      <c r="L847" s="94"/>
      <c r="M847" s="94"/>
      <c r="N847" s="95"/>
      <c r="O847" s="95"/>
      <c r="P847" s="95"/>
      <c r="Q847" s="95"/>
      <c r="R847" s="95"/>
      <c r="S847" s="95"/>
      <c r="T847" s="95"/>
      <c r="U847" s="95"/>
      <c r="V847" s="96"/>
      <c r="W847" s="96"/>
      <c r="X847" s="97"/>
      <c r="Y847" s="97"/>
      <c r="Z847" s="97"/>
      <c r="AA847" s="4"/>
      <c r="AB847" s="5"/>
    </row>
    <row r="848" spans="1:28" x14ac:dyDescent="0.2">
      <c r="A848" s="4"/>
      <c r="B848" s="90"/>
      <c r="C848" s="90"/>
      <c r="D848" s="90"/>
      <c r="E848" s="90"/>
      <c r="F848" s="90"/>
      <c r="G848" s="90"/>
      <c r="H848" s="90"/>
      <c r="I848" s="90"/>
      <c r="J848" s="90"/>
      <c r="K848" s="90"/>
      <c r="L848" s="90"/>
      <c r="M848" s="90"/>
      <c r="N848" s="91"/>
      <c r="O848" s="91"/>
      <c r="P848" s="91"/>
      <c r="Q848" s="91"/>
      <c r="R848" s="91"/>
      <c r="S848" s="91"/>
      <c r="T848" s="91"/>
      <c r="U848" s="91"/>
      <c r="V848" s="92"/>
      <c r="W848" s="92"/>
      <c r="X848" s="93"/>
      <c r="Y848" s="93"/>
      <c r="Z848" s="93"/>
      <c r="AA848" s="4"/>
      <c r="AB848" s="5"/>
    </row>
    <row r="849" spans="1:28" x14ac:dyDescent="0.2">
      <c r="A849" s="4"/>
      <c r="B849" s="94"/>
      <c r="C849" s="94"/>
      <c r="D849" s="94"/>
      <c r="E849" s="94"/>
      <c r="F849" s="94"/>
      <c r="G849" s="94"/>
      <c r="H849" s="94"/>
      <c r="I849" s="94"/>
      <c r="J849" s="94"/>
      <c r="K849" s="94"/>
      <c r="L849" s="94"/>
      <c r="M849" s="94"/>
      <c r="N849" s="95"/>
      <c r="O849" s="95"/>
      <c r="P849" s="95"/>
      <c r="Q849" s="95"/>
      <c r="R849" s="95"/>
      <c r="S849" s="95"/>
      <c r="T849" s="95"/>
      <c r="U849" s="95"/>
      <c r="V849" s="96"/>
      <c r="W849" s="96"/>
      <c r="X849" s="97"/>
      <c r="Y849" s="97"/>
      <c r="Z849" s="97"/>
      <c r="AA849" s="4"/>
      <c r="AB849" s="5"/>
    </row>
    <row r="850" spans="1:28" x14ac:dyDescent="0.2">
      <c r="A850" s="4"/>
      <c r="B850" s="90"/>
      <c r="C850" s="90"/>
      <c r="D850" s="90"/>
      <c r="E850" s="90"/>
      <c r="F850" s="90"/>
      <c r="G850" s="90"/>
      <c r="H850" s="90"/>
      <c r="I850" s="90"/>
      <c r="J850" s="90"/>
      <c r="K850" s="90"/>
      <c r="L850" s="90"/>
      <c r="M850" s="90"/>
      <c r="N850" s="91"/>
      <c r="O850" s="91"/>
      <c r="P850" s="91"/>
      <c r="Q850" s="91"/>
      <c r="R850" s="91"/>
      <c r="S850" s="91"/>
      <c r="T850" s="91"/>
      <c r="U850" s="91"/>
      <c r="V850" s="92"/>
      <c r="W850" s="92"/>
      <c r="X850" s="93"/>
      <c r="Y850" s="93"/>
      <c r="Z850" s="93"/>
      <c r="AA850" s="4"/>
      <c r="AB850" s="5"/>
    </row>
    <row r="851" spans="1:28" x14ac:dyDescent="0.2">
      <c r="A851" s="4"/>
      <c r="B851" s="94"/>
      <c r="C851" s="94"/>
      <c r="D851" s="94"/>
      <c r="E851" s="94"/>
      <c r="F851" s="94"/>
      <c r="G851" s="94"/>
      <c r="H851" s="94"/>
      <c r="I851" s="94"/>
      <c r="J851" s="94"/>
      <c r="K851" s="94"/>
      <c r="L851" s="94"/>
      <c r="M851" s="94"/>
      <c r="N851" s="95"/>
      <c r="O851" s="95"/>
      <c r="P851" s="95"/>
      <c r="Q851" s="95"/>
      <c r="R851" s="95"/>
      <c r="S851" s="95"/>
      <c r="T851" s="95"/>
      <c r="U851" s="95"/>
      <c r="V851" s="96"/>
      <c r="W851" s="96"/>
      <c r="X851" s="97"/>
      <c r="Y851" s="97"/>
      <c r="Z851" s="97"/>
      <c r="AA851" s="4"/>
      <c r="AB851" s="5"/>
    </row>
    <row r="852" spans="1:28" x14ac:dyDescent="0.2">
      <c r="A852" s="4"/>
      <c r="B852" s="90"/>
      <c r="C852" s="90"/>
      <c r="D852" s="90"/>
      <c r="E852" s="90"/>
      <c r="F852" s="90"/>
      <c r="G852" s="90"/>
      <c r="H852" s="90"/>
      <c r="I852" s="90"/>
      <c r="J852" s="90"/>
      <c r="K852" s="90"/>
      <c r="L852" s="90"/>
      <c r="M852" s="90"/>
      <c r="N852" s="91"/>
      <c r="O852" s="91"/>
      <c r="P852" s="91"/>
      <c r="Q852" s="91"/>
      <c r="R852" s="91"/>
      <c r="S852" s="91"/>
      <c r="T852" s="91"/>
      <c r="U852" s="91"/>
      <c r="V852" s="92"/>
      <c r="W852" s="92"/>
      <c r="X852" s="93"/>
      <c r="Y852" s="93"/>
      <c r="Z852" s="93"/>
      <c r="AA852" s="4"/>
      <c r="AB852" s="5"/>
    </row>
    <row r="853" spans="1:28" x14ac:dyDescent="0.2">
      <c r="A853" s="4"/>
      <c r="B853" s="94"/>
      <c r="C853" s="94"/>
      <c r="D853" s="94"/>
      <c r="E853" s="94"/>
      <c r="F853" s="94"/>
      <c r="G853" s="94"/>
      <c r="H853" s="94"/>
      <c r="I853" s="94"/>
      <c r="J853" s="94"/>
      <c r="K853" s="94"/>
      <c r="L853" s="94"/>
      <c r="M853" s="94"/>
      <c r="N853" s="95"/>
      <c r="O853" s="95"/>
      <c r="P853" s="95"/>
      <c r="Q853" s="95"/>
      <c r="R853" s="95"/>
      <c r="S853" s="95"/>
      <c r="T853" s="95"/>
      <c r="U853" s="95"/>
      <c r="V853" s="96"/>
      <c r="W853" s="96"/>
      <c r="X853" s="97"/>
      <c r="Y853" s="97"/>
      <c r="Z853" s="97"/>
      <c r="AA853" s="4"/>
      <c r="AB853" s="5"/>
    </row>
    <row r="854" spans="1:28" x14ac:dyDescent="0.2">
      <c r="A854" s="4"/>
      <c r="B854" s="90"/>
      <c r="C854" s="90"/>
      <c r="D854" s="90"/>
      <c r="E854" s="90"/>
      <c r="F854" s="90"/>
      <c r="G854" s="90"/>
      <c r="H854" s="90"/>
      <c r="I854" s="90"/>
      <c r="J854" s="90"/>
      <c r="K854" s="90"/>
      <c r="L854" s="90"/>
      <c r="M854" s="90"/>
      <c r="N854" s="91"/>
      <c r="O854" s="91"/>
      <c r="P854" s="91"/>
      <c r="Q854" s="91"/>
      <c r="R854" s="91"/>
      <c r="S854" s="91"/>
      <c r="T854" s="91"/>
      <c r="U854" s="91"/>
      <c r="V854" s="92"/>
      <c r="W854" s="92"/>
      <c r="X854" s="93"/>
      <c r="Y854" s="93"/>
      <c r="Z854" s="93"/>
      <c r="AA854" s="4"/>
      <c r="AB854" s="5"/>
    </row>
    <row r="855" spans="1:28" x14ac:dyDescent="0.2">
      <c r="A855" s="4"/>
      <c r="B855" s="94"/>
      <c r="C855" s="94"/>
      <c r="D855" s="94"/>
      <c r="E855" s="94"/>
      <c r="F855" s="94"/>
      <c r="G855" s="94"/>
      <c r="H855" s="94"/>
      <c r="I855" s="94"/>
      <c r="J855" s="94"/>
      <c r="K855" s="94"/>
      <c r="L855" s="94"/>
      <c r="M855" s="94"/>
      <c r="N855" s="95"/>
      <c r="O855" s="95"/>
      <c r="P855" s="95"/>
      <c r="Q855" s="95"/>
      <c r="R855" s="95"/>
      <c r="S855" s="95"/>
      <c r="T855" s="95"/>
      <c r="U855" s="95"/>
      <c r="V855" s="96"/>
      <c r="W855" s="96"/>
      <c r="X855" s="97"/>
      <c r="Y855" s="97"/>
      <c r="Z855" s="97"/>
      <c r="AA855" s="4"/>
      <c r="AB855" s="5"/>
    </row>
    <row r="856" spans="1:28" x14ac:dyDescent="0.2">
      <c r="A856" s="4"/>
      <c r="B856" s="90"/>
      <c r="C856" s="90"/>
      <c r="D856" s="90"/>
      <c r="E856" s="90"/>
      <c r="F856" s="90"/>
      <c r="G856" s="90"/>
      <c r="H856" s="90"/>
      <c r="I856" s="90"/>
      <c r="J856" s="90"/>
      <c r="K856" s="90"/>
      <c r="L856" s="90"/>
      <c r="M856" s="90"/>
      <c r="N856" s="91"/>
      <c r="O856" s="91"/>
      <c r="P856" s="91"/>
      <c r="Q856" s="91"/>
      <c r="R856" s="91"/>
      <c r="S856" s="91"/>
      <c r="T856" s="91"/>
      <c r="U856" s="91"/>
      <c r="V856" s="92"/>
      <c r="W856" s="92"/>
      <c r="X856" s="93"/>
      <c r="Y856" s="93"/>
      <c r="Z856" s="93"/>
      <c r="AA856" s="4"/>
      <c r="AB856" s="5"/>
    </row>
    <row r="857" spans="1:28" x14ac:dyDescent="0.2">
      <c r="A857" s="4"/>
      <c r="B857" s="94"/>
      <c r="C857" s="94"/>
      <c r="D857" s="94"/>
      <c r="E857" s="94"/>
      <c r="F857" s="94"/>
      <c r="G857" s="94"/>
      <c r="H857" s="94"/>
      <c r="I857" s="94"/>
      <c r="J857" s="94"/>
      <c r="K857" s="94"/>
      <c r="L857" s="94"/>
      <c r="M857" s="94"/>
      <c r="N857" s="95"/>
      <c r="O857" s="95"/>
      <c r="P857" s="95"/>
      <c r="Q857" s="95"/>
      <c r="R857" s="95"/>
      <c r="S857" s="95"/>
      <c r="T857" s="95"/>
      <c r="U857" s="95"/>
      <c r="V857" s="96"/>
      <c r="W857" s="96"/>
      <c r="X857" s="97"/>
      <c r="Y857" s="97"/>
      <c r="Z857" s="97"/>
      <c r="AA857" s="4"/>
      <c r="AB857" s="5"/>
    </row>
    <row r="858" spans="1:28" x14ac:dyDescent="0.2">
      <c r="A858" s="4"/>
      <c r="B858" s="90"/>
      <c r="C858" s="90"/>
      <c r="D858" s="90"/>
      <c r="E858" s="90"/>
      <c r="F858" s="90"/>
      <c r="G858" s="90"/>
      <c r="H858" s="90"/>
      <c r="I858" s="90"/>
      <c r="J858" s="90"/>
      <c r="K858" s="90"/>
      <c r="L858" s="90"/>
      <c r="M858" s="90"/>
      <c r="N858" s="91"/>
      <c r="O858" s="91"/>
      <c r="P858" s="91"/>
      <c r="Q858" s="91"/>
      <c r="R858" s="91"/>
      <c r="S858" s="91"/>
      <c r="T858" s="91"/>
      <c r="U858" s="91"/>
      <c r="V858" s="92"/>
      <c r="W858" s="92"/>
      <c r="X858" s="93"/>
      <c r="Y858" s="93"/>
      <c r="Z858" s="93"/>
      <c r="AA858" s="4"/>
      <c r="AB858" s="5"/>
    </row>
    <row r="859" spans="1:28" x14ac:dyDescent="0.2">
      <c r="A859" s="4"/>
      <c r="B859" s="94"/>
      <c r="C859" s="94"/>
      <c r="D859" s="94"/>
      <c r="E859" s="94"/>
      <c r="F859" s="94"/>
      <c r="G859" s="94"/>
      <c r="H859" s="94"/>
      <c r="I859" s="94"/>
      <c r="J859" s="94"/>
      <c r="K859" s="94"/>
      <c r="L859" s="94"/>
      <c r="M859" s="94"/>
      <c r="N859" s="95"/>
      <c r="O859" s="95"/>
      <c r="P859" s="95"/>
      <c r="Q859" s="95"/>
      <c r="R859" s="95"/>
      <c r="S859" s="95"/>
      <c r="T859" s="95"/>
      <c r="U859" s="95"/>
      <c r="V859" s="96"/>
      <c r="W859" s="96"/>
      <c r="X859" s="97"/>
      <c r="Y859" s="97"/>
      <c r="Z859" s="97"/>
      <c r="AA859" s="4"/>
      <c r="AB859" s="5"/>
    </row>
    <row r="860" spans="1:28" x14ac:dyDescent="0.2">
      <c r="A860" s="4"/>
      <c r="B860" s="90"/>
      <c r="C860" s="90"/>
      <c r="D860" s="90"/>
      <c r="E860" s="90"/>
      <c r="F860" s="90"/>
      <c r="G860" s="90"/>
      <c r="H860" s="90"/>
      <c r="I860" s="90"/>
      <c r="J860" s="90"/>
      <c r="K860" s="90"/>
      <c r="L860" s="90"/>
      <c r="M860" s="90"/>
      <c r="N860" s="91"/>
      <c r="O860" s="91"/>
      <c r="P860" s="91"/>
      <c r="Q860" s="91"/>
      <c r="R860" s="91"/>
      <c r="S860" s="91"/>
      <c r="T860" s="91"/>
      <c r="U860" s="91"/>
      <c r="V860" s="92"/>
      <c r="W860" s="92"/>
      <c r="X860" s="93"/>
      <c r="Y860" s="93"/>
      <c r="Z860" s="93"/>
      <c r="AA860" s="4"/>
      <c r="AB860" s="5"/>
    </row>
    <row r="861" spans="1:28" x14ac:dyDescent="0.2">
      <c r="A861" s="4"/>
      <c r="B861" s="94"/>
      <c r="C861" s="94"/>
      <c r="D861" s="94"/>
      <c r="E861" s="94"/>
      <c r="F861" s="94"/>
      <c r="G861" s="94"/>
      <c r="H861" s="94"/>
      <c r="I861" s="94"/>
      <c r="J861" s="94"/>
      <c r="K861" s="94"/>
      <c r="L861" s="94"/>
      <c r="M861" s="94"/>
      <c r="N861" s="95"/>
      <c r="O861" s="95"/>
      <c r="P861" s="95"/>
      <c r="Q861" s="95"/>
      <c r="R861" s="95"/>
      <c r="S861" s="95"/>
      <c r="T861" s="95"/>
      <c r="U861" s="95"/>
      <c r="V861" s="96"/>
      <c r="W861" s="96"/>
      <c r="X861" s="97"/>
      <c r="Y861" s="97"/>
      <c r="Z861" s="97"/>
      <c r="AA861" s="4"/>
      <c r="AB861" s="5"/>
    </row>
    <row r="862" spans="1:28" x14ac:dyDescent="0.2">
      <c r="A862" s="4"/>
      <c r="B862" s="90"/>
      <c r="C862" s="90"/>
      <c r="D862" s="90"/>
      <c r="E862" s="90"/>
      <c r="F862" s="90"/>
      <c r="G862" s="90"/>
      <c r="H862" s="90"/>
      <c r="I862" s="90"/>
      <c r="J862" s="90"/>
      <c r="K862" s="90"/>
      <c r="L862" s="90"/>
      <c r="M862" s="90"/>
      <c r="N862" s="91"/>
      <c r="O862" s="91"/>
      <c r="P862" s="91"/>
      <c r="Q862" s="91"/>
      <c r="R862" s="91"/>
      <c r="S862" s="91"/>
      <c r="T862" s="91"/>
      <c r="U862" s="91"/>
      <c r="V862" s="92"/>
      <c r="W862" s="92"/>
      <c r="X862" s="93"/>
      <c r="Y862" s="93"/>
      <c r="Z862" s="93"/>
      <c r="AA862" s="4"/>
      <c r="AB862" s="5"/>
    </row>
    <row r="863" spans="1:28" x14ac:dyDescent="0.2">
      <c r="A863" s="4"/>
      <c r="B863" s="94"/>
      <c r="C863" s="94"/>
      <c r="D863" s="94"/>
      <c r="E863" s="94"/>
      <c r="F863" s="94"/>
      <c r="G863" s="94"/>
      <c r="H863" s="94"/>
      <c r="I863" s="94"/>
      <c r="J863" s="94"/>
      <c r="K863" s="94"/>
      <c r="L863" s="94"/>
      <c r="M863" s="94"/>
      <c r="N863" s="95"/>
      <c r="O863" s="95"/>
      <c r="P863" s="95"/>
      <c r="Q863" s="95"/>
      <c r="R863" s="95"/>
      <c r="S863" s="95"/>
      <c r="T863" s="95"/>
      <c r="U863" s="95"/>
      <c r="V863" s="96"/>
      <c r="W863" s="96"/>
      <c r="X863" s="97"/>
      <c r="Y863" s="97"/>
      <c r="Z863" s="97"/>
      <c r="AA863" s="4"/>
      <c r="AB863" s="5"/>
    </row>
    <row r="864" spans="1:28" x14ac:dyDescent="0.2">
      <c r="A864" s="4"/>
      <c r="B864" s="90"/>
      <c r="C864" s="90"/>
      <c r="D864" s="90"/>
      <c r="E864" s="90"/>
      <c r="F864" s="90"/>
      <c r="G864" s="90"/>
      <c r="H864" s="90"/>
      <c r="I864" s="90"/>
      <c r="J864" s="90"/>
      <c r="K864" s="90"/>
      <c r="L864" s="90"/>
      <c r="M864" s="90"/>
      <c r="N864" s="91"/>
      <c r="O864" s="91"/>
      <c r="P864" s="91"/>
      <c r="Q864" s="91"/>
      <c r="R864" s="91"/>
      <c r="S864" s="91"/>
      <c r="T864" s="91"/>
      <c r="U864" s="91"/>
      <c r="V864" s="92"/>
      <c r="W864" s="92"/>
      <c r="X864" s="93"/>
      <c r="Y864" s="93"/>
      <c r="Z864" s="93"/>
      <c r="AA864" s="4"/>
      <c r="AB864" s="5"/>
    </row>
    <row r="865" spans="1:28" x14ac:dyDescent="0.2">
      <c r="A865" s="4"/>
      <c r="B865" s="94"/>
      <c r="C865" s="94"/>
      <c r="D865" s="94"/>
      <c r="E865" s="94"/>
      <c r="F865" s="94"/>
      <c r="G865" s="94"/>
      <c r="H865" s="94"/>
      <c r="I865" s="94"/>
      <c r="J865" s="94"/>
      <c r="K865" s="94"/>
      <c r="L865" s="94"/>
      <c r="M865" s="94"/>
      <c r="N865" s="95"/>
      <c r="O865" s="95"/>
      <c r="P865" s="95"/>
      <c r="Q865" s="95"/>
      <c r="R865" s="95"/>
      <c r="S865" s="95"/>
      <c r="T865" s="95"/>
      <c r="U865" s="95"/>
      <c r="V865" s="96"/>
      <c r="W865" s="96"/>
      <c r="X865" s="97"/>
      <c r="Y865" s="97"/>
      <c r="Z865" s="97"/>
      <c r="AA865" s="4"/>
      <c r="AB865" s="5"/>
    </row>
    <row r="866" spans="1:28" x14ac:dyDescent="0.2">
      <c r="A866" s="4"/>
      <c r="B866" s="90"/>
      <c r="C866" s="90"/>
      <c r="D866" s="90"/>
      <c r="E866" s="90"/>
      <c r="F866" s="90"/>
      <c r="G866" s="90"/>
      <c r="H866" s="90"/>
      <c r="I866" s="90"/>
      <c r="J866" s="90"/>
      <c r="K866" s="90"/>
      <c r="L866" s="90"/>
      <c r="M866" s="90"/>
      <c r="N866" s="91"/>
      <c r="O866" s="91"/>
      <c r="P866" s="91"/>
      <c r="Q866" s="91"/>
      <c r="R866" s="91"/>
      <c r="S866" s="91"/>
      <c r="T866" s="91"/>
      <c r="U866" s="91"/>
      <c r="V866" s="92"/>
      <c r="W866" s="92"/>
      <c r="X866" s="93"/>
      <c r="Y866" s="93"/>
      <c r="Z866" s="93"/>
      <c r="AA866" s="4"/>
      <c r="AB866" s="5"/>
    </row>
    <row r="867" spans="1:28" x14ac:dyDescent="0.2">
      <c r="A867" s="4"/>
      <c r="B867" s="94"/>
      <c r="C867" s="94"/>
      <c r="D867" s="94"/>
      <c r="E867" s="94"/>
      <c r="F867" s="94"/>
      <c r="G867" s="94"/>
      <c r="H867" s="94"/>
      <c r="I867" s="94"/>
      <c r="J867" s="94"/>
      <c r="K867" s="94"/>
      <c r="L867" s="94"/>
      <c r="M867" s="94"/>
      <c r="N867" s="95"/>
      <c r="O867" s="95"/>
      <c r="P867" s="95"/>
      <c r="Q867" s="95"/>
      <c r="R867" s="95"/>
      <c r="S867" s="95"/>
      <c r="T867" s="95"/>
      <c r="U867" s="95"/>
      <c r="V867" s="96"/>
      <c r="W867" s="96"/>
      <c r="X867" s="97"/>
      <c r="Y867" s="97"/>
      <c r="Z867" s="97"/>
      <c r="AA867" s="4"/>
      <c r="AB867" s="5"/>
    </row>
    <row r="868" spans="1:28" x14ac:dyDescent="0.2">
      <c r="A868" s="4"/>
      <c r="B868" s="90"/>
      <c r="C868" s="90"/>
      <c r="D868" s="90"/>
      <c r="E868" s="90"/>
      <c r="F868" s="90"/>
      <c r="G868" s="90"/>
      <c r="H868" s="90"/>
      <c r="I868" s="90"/>
      <c r="J868" s="90"/>
      <c r="K868" s="90"/>
      <c r="L868" s="90"/>
      <c r="M868" s="90"/>
      <c r="N868" s="91"/>
      <c r="O868" s="91"/>
      <c r="P868" s="91"/>
      <c r="Q868" s="91"/>
      <c r="R868" s="91"/>
      <c r="S868" s="91"/>
      <c r="T868" s="91"/>
      <c r="U868" s="91"/>
      <c r="V868" s="92"/>
      <c r="W868" s="92"/>
      <c r="X868" s="93"/>
      <c r="Y868" s="93"/>
      <c r="Z868" s="93"/>
      <c r="AA868" s="4"/>
      <c r="AB868" s="5"/>
    </row>
    <row r="869" spans="1:28" x14ac:dyDescent="0.2">
      <c r="A869" s="4"/>
      <c r="B869" s="94"/>
      <c r="C869" s="94"/>
      <c r="D869" s="94"/>
      <c r="E869" s="94"/>
      <c r="F869" s="94"/>
      <c r="G869" s="94"/>
      <c r="H869" s="94"/>
      <c r="I869" s="94"/>
      <c r="J869" s="94"/>
      <c r="K869" s="94"/>
      <c r="L869" s="94"/>
      <c r="M869" s="94"/>
      <c r="N869" s="95"/>
      <c r="O869" s="95"/>
      <c r="P869" s="95"/>
      <c r="Q869" s="95"/>
      <c r="R869" s="95"/>
      <c r="S869" s="95"/>
      <c r="T869" s="95"/>
      <c r="U869" s="95"/>
      <c r="V869" s="96"/>
      <c r="W869" s="96"/>
      <c r="X869" s="97"/>
      <c r="Y869" s="97"/>
      <c r="Z869" s="97"/>
      <c r="AA869" s="4"/>
      <c r="AB869" s="5"/>
    </row>
    <row r="870" spans="1:28" x14ac:dyDescent="0.2">
      <c r="A870" s="4"/>
      <c r="B870" s="90"/>
      <c r="C870" s="90"/>
      <c r="D870" s="90"/>
      <c r="E870" s="90"/>
      <c r="F870" s="90"/>
      <c r="G870" s="90"/>
      <c r="H870" s="90"/>
      <c r="I870" s="90"/>
      <c r="J870" s="90"/>
      <c r="K870" s="90"/>
      <c r="L870" s="90"/>
      <c r="M870" s="90"/>
      <c r="N870" s="91"/>
      <c r="O870" s="91"/>
      <c r="P870" s="91"/>
      <c r="Q870" s="91"/>
      <c r="R870" s="91"/>
      <c r="S870" s="91"/>
      <c r="T870" s="91"/>
      <c r="U870" s="91"/>
      <c r="V870" s="92"/>
      <c r="W870" s="92"/>
      <c r="X870" s="93"/>
      <c r="Y870" s="93"/>
      <c r="Z870" s="93"/>
      <c r="AA870" s="4"/>
      <c r="AB870" s="5"/>
    </row>
    <row r="871" spans="1:28" x14ac:dyDescent="0.2">
      <c r="A871" s="4"/>
      <c r="B871" s="94"/>
      <c r="C871" s="94"/>
      <c r="D871" s="94"/>
      <c r="E871" s="94"/>
      <c r="F871" s="94"/>
      <c r="G871" s="94"/>
      <c r="H871" s="94"/>
      <c r="I871" s="94"/>
      <c r="J871" s="94"/>
      <c r="K871" s="94"/>
      <c r="L871" s="94"/>
      <c r="M871" s="94"/>
      <c r="N871" s="95"/>
      <c r="O871" s="95"/>
      <c r="P871" s="95"/>
      <c r="Q871" s="95"/>
      <c r="R871" s="95"/>
      <c r="S871" s="95"/>
      <c r="T871" s="95"/>
      <c r="U871" s="95"/>
      <c r="V871" s="96"/>
      <c r="W871" s="96"/>
      <c r="X871" s="97"/>
      <c r="Y871" s="97"/>
      <c r="Z871" s="97"/>
      <c r="AA871" s="4"/>
      <c r="AB871" s="5"/>
    </row>
    <row r="872" spans="1:28" x14ac:dyDescent="0.2">
      <c r="A872" s="4"/>
      <c r="B872" s="90"/>
      <c r="C872" s="90"/>
      <c r="D872" s="90"/>
      <c r="E872" s="90"/>
      <c r="F872" s="90"/>
      <c r="G872" s="90"/>
      <c r="H872" s="90"/>
      <c r="I872" s="90"/>
      <c r="J872" s="90"/>
      <c r="K872" s="90"/>
      <c r="L872" s="90"/>
      <c r="M872" s="90"/>
      <c r="N872" s="91"/>
      <c r="O872" s="91"/>
      <c r="P872" s="91"/>
      <c r="Q872" s="91"/>
      <c r="R872" s="91"/>
      <c r="S872" s="91"/>
      <c r="T872" s="91"/>
      <c r="U872" s="91"/>
      <c r="V872" s="92"/>
      <c r="W872" s="92"/>
      <c r="X872" s="93"/>
      <c r="Y872" s="93"/>
      <c r="Z872" s="93"/>
      <c r="AA872" s="4"/>
      <c r="AB872" s="5"/>
    </row>
    <row r="873" spans="1:28" x14ac:dyDescent="0.2">
      <c r="A873" s="4"/>
      <c r="B873" s="94"/>
      <c r="C873" s="94"/>
      <c r="D873" s="94"/>
      <c r="E873" s="94"/>
      <c r="F873" s="94"/>
      <c r="G873" s="94"/>
      <c r="H873" s="94"/>
      <c r="I873" s="94"/>
      <c r="J873" s="94"/>
      <c r="K873" s="94"/>
      <c r="L873" s="94"/>
      <c r="M873" s="94"/>
      <c r="N873" s="95"/>
      <c r="O873" s="95"/>
      <c r="P873" s="95"/>
      <c r="Q873" s="95"/>
      <c r="R873" s="95"/>
      <c r="S873" s="95"/>
      <c r="T873" s="95"/>
      <c r="U873" s="95"/>
      <c r="V873" s="96"/>
      <c r="W873" s="96"/>
      <c r="X873" s="97"/>
      <c r="Y873" s="97"/>
      <c r="Z873" s="97"/>
      <c r="AA873" s="4"/>
      <c r="AB873" s="5"/>
    </row>
    <row r="874" spans="1:28" x14ac:dyDescent="0.2">
      <c r="A874" s="4"/>
      <c r="B874" s="90"/>
      <c r="C874" s="90"/>
      <c r="D874" s="90"/>
      <c r="E874" s="90"/>
      <c r="F874" s="90"/>
      <c r="G874" s="90"/>
      <c r="H874" s="90"/>
      <c r="I874" s="90"/>
      <c r="J874" s="90"/>
      <c r="K874" s="90"/>
      <c r="L874" s="90"/>
      <c r="M874" s="90"/>
      <c r="N874" s="91"/>
      <c r="O874" s="91"/>
      <c r="P874" s="91"/>
      <c r="Q874" s="91"/>
      <c r="R874" s="91"/>
      <c r="S874" s="91"/>
      <c r="T874" s="91"/>
      <c r="U874" s="91"/>
      <c r="V874" s="92"/>
      <c r="W874" s="92"/>
      <c r="X874" s="93"/>
      <c r="Y874" s="93"/>
      <c r="Z874" s="93"/>
      <c r="AA874" s="4"/>
      <c r="AB874" s="5"/>
    </row>
    <row r="875" spans="1:28" x14ac:dyDescent="0.2">
      <c r="A875" s="4"/>
      <c r="B875" s="94"/>
      <c r="C875" s="94"/>
      <c r="D875" s="94"/>
      <c r="E875" s="94"/>
      <c r="F875" s="94"/>
      <c r="G875" s="94"/>
      <c r="H875" s="94"/>
      <c r="I875" s="94"/>
      <c r="J875" s="94"/>
      <c r="K875" s="94"/>
      <c r="L875" s="94"/>
      <c r="M875" s="94"/>
      <c r="N875" s="95"/>
      <c r="O875" s="95"/>
      <c r="P875" s="95"/>
      <c r="Q875" s="95"/>
      <c r="R875" s="95"/>
      <c r="S875" s="95"/>
      <c r="T875" s="95"/>
      <c r="U875" s="95"/>
      <c r="V875" s="96"/>
      <c r="W875" s="96"/>
      <c r="X875" s="97"/>
      <c r="Y875" s="97"/>
      <c r="Z875" s="97"/>
      <c r="AA875" s="4"/>
      <c r="AB875" s="5"/>
    </row>
    <row r="876" spans="1:28" x14ac:dyDescent="0.2">
      <c r="A876" s="4"/>
      <c r="B876" s="90"/>
      <c r="C876" s="90"/>
      <c r="D876" s="90"/>
      <c r="E876" s="90"/>
      <c r="F876" s="90"/>
      <c r="G876" s="90"/>
      <c r="H876" s="90"/>
      <c r="I876" s="90"/>
      <c r="J876" s="90"/>
      <c r="K876" s="90"/>
      <c r="L876" s="90"/>
      <c r="M876" s="90"/>
      <c r="N876" s="91"/>
      <c r="O876" s="91"/>
      <c r="P876" s="91"/>
      <c r="Q876" s="91"/>
      <c r="R876" s="91"/>
      <c r="S876" s="91"/>
      <c r="T876" s="91"/>
      <c r="U876" s="91"/>
      <c r="V876" s="92"/>
      <c r="W876" s="92"/>
      <c r="X876" s="93"/>
      <c r="Y876" s="93"/>
      <c r="Z876" s="93"/>
      <c r="AA876" s="4"/>
      <c r="AB876" s="5"/>
    </row>
    <row r="877" spans="1:28" x14ac:dyDescent="0.2">
      <c r="A877" s="4"/>
      <c r="B877" s="94"/>
      <c r="C877" s="94"/>
      <c r="D877" s="94"/>
      <c r="E877" s="94"/>
      <c r="F877" s="94"/>
      <c r="G877" s="94"/>
      <c r="H877" s="94"/>
      <c r="I877" s="94"/>
      <c r="J877" s="94"/>
      <c r="K877" s="94"/>
      <c r="L877" s="94"/>
      <c r="M877" s="94"/>
      <c r="N877" s="95"/>
      <c r="O877" s="95"/>
      <c r="P877" s="95"/>
      <c r="Q877" s="95"/>
      <c r="R877" s="95"/>
      <c r="S877" s="95"/>
      <c r="T877" s="95"/>
      <c r="U877" s="95"/>
      <c r="V877" s="96"/>
      <c r="W877" s="96"/>
      <c r="X877" s="97"/>
      <c r="Y877" s="97"/>
      <c r="Z877" s="97"/>
      <c r="AA877" s="4"/>
      <c r="AB877" s="5"/>
    </row>
    <row r="878" spans="1:28" x14ac:dyDescent="0.2">
      <c r="A878" s="4"/>
      <c r="B878" s="90"/>
      <c r="C878" s="90"/>
      <c r="D878" s="90"/>
      <c r="E878" s="90"/>
      <c r="F878" s="90"/>
      <c r="G878" s="90"/>
      <c r="H878" s="90"/>
      <c r="I878" s="90"/>
      <c r="J878" s="90"/>
      <c r="K878" s="90"/>
      <c r="L878" s="90"/>
      <c r="M878" s="90"/>
      <c r="N878" s="91"/>
      <c r="O878" s="91"/>
      <c r="P878" s="91"/>
      <c r="Q878" s="91"/>
      <c r="R878" s="91"/>
      <c r="S878" s="91"/>
      <c r="T878" s="91"/>
      <c r="U878" s="91"/>
      <c r="V878" s="92"/>
      <c r="W878" s="92"/>
      <c r="X878" s="93"/>
      <c r="Y878" s="93"/>
      <c r="Z878" s="93"/>
      <c r="AA878" s="4"/>
      <c r="AB878" s="5"/>
    </row>
    <row r="879" spans="1:28" x14ac:dyDescent="0.2">
      <c r="A879" s="4"/>
      <c r="B879" s="94"/>
      <c r="C879" s="94"/>
      <c r="D879" s="94"/>
      <c r="E879" s="94"/>
      <c r="F879" s="94"/>
      <c r="G879" s="94"/>
      <c r="H879" s="94"/>
      <c r="I879" s="94"/>
      <c r="J879" s="94"/>
      <c r="K879" s="94"/>
      <c r="L879" s="94"/>
      <c r="M879" s="94"/>
      <c r="N879" s="95"/>
      <c r="O879" s="95"/>
      <c r="P879" s="95"/>
      <c r="Q879" s="95"/>
      <c r="R879" s="95"/>
      <c r="S879" s="95"/>
      <c r="T879" s="95"/>
      <c r="U879" s="95"/>
      <c r="V879" s="96"/>
      <c r="W879" s="96"/>
      <c r="X879" s="97"/>
      <c r="Y879" s="97"/>
      <c r="Z879" s="97"/>
      <c r="AA879" s="4"/>
      <c r="AB879" s="5"/>
    </row>
    <row r="880" spans="1:28" x14ac:dyDescent="0.2">
      <c r="A880" s="4"/>
      <c r="B880" s="90"/>
      <c r="C880" s="90"/>
      <c r="D880" s="90"/>
      <c r="E880" s="90"/>
      <c r="F880" s="90"/>
      <c r="G880" s="90"/>
      <c r="H880" s="90"/>
      <c r="I880" s="90"/>
      <c r="J880" s="90"/>
      <c r="K880" s="90"/>
      <c r="L880" s="90"/>
      <c r="M880" s="90"/>
      <c r="N880" s="91"/>
      <c r="O880" s="91"/>
      <c r="P880" s="91"/>
      <c r="Q880" s="91"/>
      <c r="R880" s="91"/>
      <c r="S880" s="91"/>
      <c r="T880" s="91"/>
      <c r="U880" s="91"/>
      <c r="V880" s="92"/>
      <c r="W880" s="92"/>
      <c r="X880" s="93"/>
      <c r="Y880" s="93"/>
      <c r="Z880" s="93"/>
      <c r="AA880" s="4"/>
      <c r="AB880" s="5"/>
    </row>
    <row r="881" spans="1:28" x14ac:dyDescent="0.2">
      <c r="A881" s="4"/>
      <c r="B881" s="94"/>
      <c r="C881" s="94"/>
      <c r="D881" s="94"/>
      <c r="E881" s="94"/>
      <c r="F881" s="94"/>
      <c r="G881" s="94"/>
      <c r="H881" s="94"/>
      <c r="I881" s="94"/>
      <c r="J881" s="94"/>
      <c r="K881" s="94"/>
      <c r="L881" s="94"/>
      <c r="M881" s="94"/>
      <c r="N881" s="95"/>
      <c r="O881" s="95"/>
      <c r="P881" s="95"/>
      <c r="Q881" s="95"/>
      <c r="R881" s="95"/>
      <c r="S881" s="95"/>
      <c r="T881" s="95"/>
      <c r="U881" s="95"/>
      <c r="V881" s="96"/>
      <c r="W881" s="96"/>
      <c r="X881" s="97"/>
      <c r="Y881" s="97"/>
      <c r="Z881" s="97"/>
      <c r="AA881" s="4"/>
      <c r="AB881" s="5"/>
    </row>
    <row r="882" spans="1:28" x14ac:dyDescent="0.2">
      <c r="A882" s="4"/>
      <c r="B882" s="90"/>
      <c r="C882" s="90"/>
      <c r="D882" s="90"/>
      <c r="E882" s="90"/>
      <c r="F882" s="90"/>
      <c r="G882" s="90"/>
      <c r="H882" s="90"/>
      <c r="I882" s="90"/>
      <c r="J882" s="90"/>
      <c r="K882" s="90"/>
      <c r="L882" s="90"/>
      <c r="M882" s="90"/>
      <c r="N882" s="91"/>
      <c r="O882" s="91"/>
      <c r="P882" s="91"/>
      <c r="Q882" s="91"/>
      <c r="R882" s="91"/>
      <c r="S882" s="91"/>
      <c r="T882" s="91"/>
      <c r="U882" s="91"/>
      <c r="V882" s="92"/>
      <c r="W882" s="92"/>
      <c r="X882" s="93"/>
      <c r="Y882" s="93"/>
      <c r="Z882" s="93"/>
      <c r="AA882" s="4"/>
      <c r="AB882" s="5"/>
    </row>
    <row r="883" spans="1:28" x14ac:dyDescent="0.2">
      <c r="A883" s="4"/>
      <c r="B883" s="94"/>
      <c r="C883" s="94"/>
      <c r="D883" s="94"/>
      <c r="E883" s="94"/>
      <c r="F883" s="94"/>
      <c r="G883" s="94"/>
      <c r="H883" s="94"/>
      <c r="I883" s="94"/>
      <c r="J883" s="94"/>
      <c r="K883" s="94"/>
      <c r="L883" s="94"/>
      <c r="M883" s="94"/>
      <c r="N883" s="95"/>
      <c r="O883" s="95"/>
      <c r="P883" s="95"/>
      <c r="Q883" s="95"/>
      <c r="R883" s="95"/>
      <c r="S883" s="95"/>
      <c r="T883" s="95"/>
      <c r="U883" s="95"/>
      <c r="V883" s="96"/>
      <c r="W883" s="96"/>
      <c r="X883" s="97"/>
      <c r="Y883" s="97"/>
      <c r="Z883" s="97"/>
      <c r="AA883" s="4"/>
      <c r="AB883" s="5"/>
    </row>
    <row r="884" spans="1:28" x14ac:dyDescent="0.2">
      <c r="A884" s="4"/>
      <c r="B884" s="90"/>
      <c r="C884" s="90"/>
      <c r="D884" s="90"/>
      <c r="E884" s="90"/>
      <c r="F884" s="90"/>
      <c r="G884" s="90"/>
      <c r="H884" s="90"/>
      <c r="I884" s="90"/>
      <c r="J884" s="90"/>
      <c r="K884" s="90"/>
      <c r="L884" s="90"/>
      <c r="M884" s="90"/>
      <c r="N884" s="91"/>
      <c r="O884" s="91"/>
      <c r="P884" s="91"/>
      <c r="Q884" s="91"/>
      <c r="R884" s="91"/>
      <c r="S884" s="91"/>
      <c r="T884" s="91"/>
      <c r="U884" s="91"/>
      <c r="V884" s="92"/>
      <c r="W884" s="92"/>
      <c r="X884" s="93"/>
      <c r="Y884" s="93"/>
      <c r="Z884" s="93"/>
      <c r="AA884" s="4"/>
      <c r="AB884" s="5"/>
    </row>
    <row r="885" spans="1:28" x14ac:dyDescent="0.2">
      <c r="A885" s="4"/>
      <c r="B885" s="94"/>
      <c r="C885" s="94"/>
      <c r="D885" s="94"/>
      <c r="E885" s="94"/>
      <c r="F885" s="94"/>
      <c r="G885" s="94"/>
      <c r="H885" s="94"/>
      <c r="I885" s="94"/>
      <c r="J885" s="94"/>
      <c r="K885" s="94"/>
      <c r="L885" s="94"/>
      <c r="M885" s="94"/>
      <c r="N885" s="95"/>
      <c r="O885" s="95"/>
      <c r="P885" s="95"/>
      <c r="Q885" s="95"/>
      <c r="R885" s="95"/>
      <c r="S885" s="95"/>
      <c r="T885" s="95"/>
      <c r="U885" s="95"/>
      <c r="V885" s="96"/>
      <c r="W885" s="96"/>
      <c r="X885" s="97"/>
      <c r="Y885" s="97"/>
      <c r="Z885" s="97"/>
      <c r="AA885" s="4"/>
      <c r="AB885" s="5"/>
    </row>
    <row r="886" spans="1:28" x14ac:dyDescent="0.2">
      <c r="A886" s="4"/>
      <c r="B886" s="90"/>
      <c r="C886" s="90"/>
      <c r="D886" s="90"/>
      <c r="E886" s="90"/>
      <c r="F886" s="90"/>
      <c r="G886" s="90"/>
      <c r="H886" s="90"/>
      <c r="I886" s="90"/>
      <c r="J886" s="90"/>
      <c r="K886" s="90"/>
      <c r="L886" s="90"/>
      <c r="M886" s="90"/>
      <c r="N886" s="91"/>
      <c r="O886" s="91"/>
      <c r="P886" s="91"/>
      <c r="Q886" s="91"/>
      <c r="R886" s="91"/>
      <c r="S886" s="91"/>
      <c r="T886" s="91"/>
      <c r="U886" s="91"/>
      <c r="V886" s="92"/>
      <c r="W886" s="92"/>
      <c r="X886" s="93"/>
      <c r="Y886" s="93"/>
      <c r="Z886" s="93"/>
      <c r="AA886" s="4"/>
      <c r="AB886" s="5"/>
    </row>
    <row r="887" spans="1:28" x14ac:dyDescent="0.2">
      <c r="A887" s="4"/>
      <c r="B887" s="94"/>
      <c r="C887" s="94"/>
      <c r="D887" s="94"/>
      <c r="E887" s="94"/>
      <c r="F887" s="94"/>
      <c r="G887" s="94"/>
      <c r="H887" s="94"/>
      <c r="I887" s="94"/>
      <c r="J887" s="94"/>
      <c r="K887" s="94"/>
      <c r="L887" s="94"/>
      <c r="M887" s="94"/>
      <c r="N887" s="95"/>
      <c r="O887" s="95"/>
      <c r="P887" s="95"/>
      <c r="Q887" s="95"/>
      <c r="R887" s="95"/>
      <c r="S887" s="95"/>
      <c r="T887" s="95"/>
      <c r="U887" s="95"/>
      <c r="V887" s="96"/>
      <c r="W887" s="96"/>
      <c r="X887" s="97"/>
      <c r="Y887" s="97"/>
      <c r="Z887" s="97"/>
      <c r="AA887" s="4"/>
      <c r="AB887" s="5"/>
    </row>
    <row r="888" spans="1:28" x14ac:dyDescent="0.2">
      <c r="A888" s="4"/>
      <c r="B888" s="90"/>
      <c r="C888" s="90"/>
      <c r="D888" s="90"/>
      <c r="E888" s="90"/>
      <c r="F888" s="90"/>
      <c r="G888" s="90"/>
      <c r="H888" s="90"/>
      <c r="I888" s="90"/>
      <c r="J888" s="90"/>
      <c r="K888" s="90"/>
      <c r="L888" s="90"/>
      <c r="M888" s="90"/>
      <c r="N888" s="91"/>
      <c r="O888" s="91"/>
      <c r="P888" s="91"/>
      <c r="Q888" s="91"/>
      <c r="R888" s="91"/>
      <c r="S888" s="91"/>
      <c r="T888" s="91"/>
      <c r="U888" s="91"/>
      <c r="V888" s="92"/>
      <c r="W888" s="92"/>
      <c r="X888" s="93"/>
      <c r="Y888" s="93"/>
      <c r="Z888" s="93"/>
      <c r="AA888" s="4"/>
      <c r="AB888" s="5"/>
    </row>
    <row r="889" spans="1:28" x14ac:dyDescent="0.2">
      <c r="A889" s="4"/>
      <c r="B889" s="94"/>
      <c r="C889" s="94"/>
      <c r="D889" s="94"/>
      <c r="E889" s="94"/>
      <c r="F889" s="94"/>
      <c r="G889" s="94"/>
      <c r="H889" s="94"/>
      <c r="I889" s="94"/>
      <c r="J889" s="94"/>
      <c r="K889" s="94"/>
      <c r="L889" s="94"/>
      <c r="M889" s="94"/>
      <c r="N889" s="95"/>
      <c r="O889" s="95"/>
      <c r="P889" s="95"/>
      <c r="Q889" s="95"/>
      <c r="R889" s="95"/>
      <c r="S889" s="95"/>
      <c r="T889" s="95"/>
      <c r="U889" s="95"/>
      <c r="V889" s="96"/>
      <c r="W889" s="96"/>
      <c r="X889" s="97"/>
      <c r="Y889" s="97"/>
      <c r="Z889" s="97"/>
      <c r="AA889" s="4"/>
      <c r="AB889" s="5"/>
    </row>
    <row r="890" spans="1:28" x14ac:dyDescent="0.2">
      <c r="A890" s="4"/>
      <c r="B890" s="90"/>
      <c r="C890" s="90"/>
      <c r="D890" s="90"/>
      <c r="E890" s="90"/>
      <c r="F890" s="90"/>
      <c r="G890" s="90"/>
      <c r="H890" s="90"/>
      <c r="I890" s="90"/>
      <c r="J890" s="90"/>
      <c r="K890" s="90"/>
      <c r="L890" s="90"/>
      <c r="M890" s="90"/>
      <c r="N890" s="91"/>
      <c r="O890" s="91"/>
      <c r="P890" s="91"/>
      <c r="Q890" s="91"/>
      <c r="R890" s="91"/>
      <c r="S890" s="91"/>
      <c r="T890" s="91"/>
      <c r="U890" s="91"/>
      <c r="V890" s="92"/>
      <c r="W890" s="92"/>
      <c r="X890" s="93"/>
      <c r="Y890" s="93"/>
      <c r="Z890" s="93"/>
      <c r="AA890" s="4"/>
      <c r="AB890" s="5"/>
    </row>
    <row r="891" spans="1:28" x14ac:dyDescent="0.2">
      <c r="A891" s="4"/>
      <c r="B891" s="94"/>
      <c r="C891" s="94"/>
      <c r="D891" s="94"/>
      <c r="E891" s="94"/>
      <c r="F891" s="94"/>
      <c r="G891" s="94"/>
      <c r="H891" s="94"/>
      <c r="I891" s="94"/>
      <c r="J891" s="94"/>
      <c r="K891" s="94"/>
      <c r="L891" s="94"/>
      <c r="M891" s="94"/>
      <c r="N891" s="95"/>
      <c r="O891" s="95"/>
      <c r="P891" s="95"/>
      <c r="Q891" s="95"/>
      <c r="R891" s="95"/>
      <c r="S891" s="95"/>
      <c r="T891" s="95"/>
      <c r="U891" s="95"/>
      <c r="V891" s="96"/>
      <c r="W891" s="96"/>
      <c r="X891" s="97"/>
      <c r="Y891" s="97"/>
      <c r="Z891" s="97"/>
      <c r="AA891" s="4"/>
      <c r="AB891" s="5"/>
    </row>
    <row r="892" spans="1:28" x14ac:dyDescent="0.2">
      <c r="A892" s="4"/>
      <c r="B892" s="90"/>
      <c r="C892" s="90"/>
      <c r="D892" s="90"/>
      <c r="E892" s="90"/>
      <c r="F892" s="90"/>
      <c r="G892" s="90"/>
      <c r="H892" s="90"/>
      <c r="I892" s="90"/>
      <c r="J892" s="90"/>
      <c r="K892" s="90"/>
      <c r="L892" s="90"/>
      <c r="M892" s="90"/>
      <c r="N892" s="91"/>
      <c r="O892" s="91"/>
      <c r="P892" s="91"/>
      <c r="Q892" s="91"/>
      <c r="R892" s="91"/>
      <c r="S892" s="91"/>
      <c r="T892" s="91"/>
      <c r="U892" s="91"/>
      <c r="V892" s="92"/>
      <c r="W892" s="92"/>
      <c r="X892" s="93"/>
      <c r="Y892" s="93"/>
      <c r="Z892" s="93"/>
      <c r="AA892" s="4"/>
      <c r="AB892" s="5"/>
    </row>
    <row r="893" spans="1:28" x14ac:dyDescent="0.2">
      <c r="A893" s="4"/>
      <c r="B893" s="94"/>
      <c r="C893" s="94"/>
      <c r="D893" s="94"/>
      <c r="E893" s="94"/>
      <c r="F893" s="94"/>
      <c r="G893" s="94"/>
      <c r="H893" s="94"/>
      <c r="I893" s="94"/>
      <c r="J893" s="94"/>
      <c r="K893" s="94"/>
      <c r="L893" s="94"/>
      <c r="M893" s="94"/>
      <c r="N893" s="95"/>
      <c r="O893" s="95"/>
      <c r="P893" s="95"/>
      <c r="Q893" s="95"/>
      <c r="R893" s="95"/>
      <c r="S893" s="95"/>
      <c r="T893" s="95"/>
      <c r="U893" s="95"/>
      <c r="V893" s="96"/>
      <c r="W893" s="96"/>
      <c r="X893" s="97"/>
      <c r="Y893" s="97"/>
      <c r="Z893" s="97"/>
      <c r="AA893" s="4"/>
      <c r="AB893" s="5"/>
    </row>
    <row r="894" spans="1:28" x14ac:dyDescent="0.2">
      <c r="A894" s="4"/>
      <c r="B894" s="90"/>
      <c r="C894" s="90"/>
      <c r="D894" s="90"/>
      <c r="E894" s="90"/>
      <c r="F894" s="90"/>
      <c r="G894" s="90"/>
      <c r="H894" s="90"/>
      <c r="I894" s="90"/>
      <c r="J894" s="90"/>
      <c r="K894" s="90"/>
      <c r="L894" s="90"/>
      <c r="M894" s="90"/>
      <c r="N894" s="91"/>
      <c r="O894" s="91"/>
      <c r="P894" s="91"/>
      <c r="Q894" s="91"/>
      <c r="R894" s="91"/>
      <c r="S894" s="91"/>
      <c r="T894" s="91"/>
      <c r="U894" s="91"/>
      <c r="V894" s="92"/>
      <c r="W894" s="92"/>
      <c r="X894" s="93"/>
      <c r="Y894" s="93"/>
      <c r="Z894" s="93"/>
      <c r="AA894" s="4"/>
      <c r="AB894" s="5"/>
    </row>
    <row r="895" spans="1:28" x14ac:dyDescent="0.2">
      <c r="A895" s="4"/>
      <c r="B895" s="94"/>
      <c r="C895" s="94"/>
      <c r="D895" s="94"/>
      <c r="E895" s="94"/>
      <c r="F895" s="94"/>
      <c r="G895" s="94"/>
      <c r="H895" s="94"/>
      <c r="I895" s="94"/>
      <c r="J895" s="94"/>
      <c r="K895" s="94"/>
      <c r="L895" s="94"/>
      <c r="M895" s="94"/>
      <c r="N895" s="95"/>
      <c r="O895" s="95"/>
      <c r="P895" s="95"/>
      <c r="Q895" s="95"/>
      <c r="R895" s="95"/>
      <c r="S895" s="95"/>
      <c r="T895" s="95"/>
      <c r="U895" s="95"/>
      <c r="V895" s="96"/>
      <c r="W895" s="96"/>
      <c r="X895" s="97"/>
      <c r="Y895" s="97"/>
      <c r="Z895" s="97"/>
      <c r="AA895" s="4"/>
      <c r="AB895" s="5"/>
    </row>
    <row r="896" spans="1:28" x14ac:dyDescent="0.2">
      <c r="A896" s="4"/>
      <c r="B896" s="90"/>
      <c r="C896" s="90"/>
      <c r="D896" s="90"/>
      <c r="E896" s="90"/>
      <c r="F896" s="90"/>
      <c r="G896" s="90"/>
      <c r="H896" s="90"/>
      <c r="I896" s="90"/>
      <c r="J896" s="90"/>
      <c r="K896" s="90"/>
      <c r="L896" s="90"/>
      <c r="M896" s="90"/>
      <c r="N896" s="91"/>
      <c r="O896" s="91"/>
      <c r="P896" s="91"/>
      <c r="Q896" s="91"/>
      <c r="R896" s="91"/>
      <c r="S896" s="91"/>
      <c r="T896" s="91"/>
      <c r="U896" s="91"/>
      <c r="V896" s="92"/>
      <c r="W896" s="92"/>
      <c r="X896" s="93"/>
      <c r="Y896" s="93"/>
      <c r="Z896" s="93"/>
      <c r="AA896" s="4"/>
      <c r="AB896" s="5"/>
    </row>
    <row r="897" spans="1:28" x14ac:dyDescent="0.2">
      <c r="A897" s="4"/>
      <c r="B897" s="94"/>
      <c r="C897" s="94"/>
      <c r="D897" s="94"/>
      <c r="E897" s="94"/>
      <c r="F897" s="94"/>
      <c r="G897" s="94"/>
      <c r="H897" s="94"/>
      <c r="I897" s="94"/>
      <c r="J897" s="94"/>
      <c r="K897" s="94"/>
      <c r="L897" s="94"/>
      <c r="M897" s="94"/>
      <c r="N897" s="95"/>
      <c r="O897" s="95"/>
      <c r="P897" s="95"/>
      <c r="Q897" s="95"/>
      <c r="R897" s="95"/>
      <c r="S897" s="95"/>
      <c r="T897" s="95"/>
      <c r="U897" s="95"/>
      <c r="V897" s="96"/>
      <c r="W897" s="96"/>
      <c r="X897" s="97"/>
      <c r="Y897" s="97"/>
      <c r="Z897" s="97"/>
      <c r="AA897" s="4"/>
      <c r="AB897" s="5"/>
    </row>
    <row r="898" spans="1:28" x14ac:dyDescent="0.2">
      <c r="A898" s="4"/>
      <c r="B898" s="90"/>
      <c r="C898" s="90"/>
      <c r="D898" s="90"/>
      <c r="E898" s="90"/>
      <c r="F898" s="90"/>
      <c r="G898" s="90"/>
      <c r="H898" s="90"/>
      <c r="I898" s="90"/>
      <c r="J898" s="90"/>
      <c r="K898" s="90"/>
      <c r="L898" s="90"/>
      <c r="M898" s="90"/>
      <c r="N898" s="91"/>
      <c r="O898" s="91"/>
      <c r="P898" s="91"/>
      <c r="Q898" s="91"/>
      <c r="R898" s="91"/>
      <c r="S898" s="91"/>
      <c r="T898" s="91"/>
      <c r="U898" s="91"/>
      <c r="V898" s="92"/>
      <c r="W898" s="92"/>
      <c r="X898" s="93"/>
      <c r="Y898" s="93"/>
      <c r="Z898" s="93"/>
      <c r="AA898" s="4"/>
      <c r="AB898" s="5"/>
    </row>
    <row r="899" spans="1:28" x14ac:dyDescent="0.2">
      <c r="A899" s="4"/>
      <c r="B899" s="94"/>
      <c r="C899" s="94"/>
      <c r="D899" s="94"/>
      <c r="E899" s="94"/>
      <c r="F899" s="94"/>
      <c r="G899" s="94"/>
      <c r="H899" s="94"/>
      <c r="I899" s="94"/>
      <c r="J899" s="94"/>
      <c r="K899" s="94"/>
      <c r="L899" s="94"/>
      <c r="M899" s="94"/>
      <c r="N899" s="95"/>
      <c r="O899" s="95"/>
      <c r="P899" s="95"/>
      <c r="Q899" s="95"/>
      <c r="R899" s="95"/>
      <c r="S899" s="95"/>
      <c r="T899" s="95"/>
      <c r="U899" s="95"/>
      <c r="V899" s="96"/>
      <c r="W899" s="96"/>
      <c r="X899" s="97"/>
      <c r="Y899" s="97"/>
      <c r="Z899" s="97"/>
      <c r="AA899" s="4"/>
      <c r="AB899" s="5"/>
    </row>
    <row r="900" spans="1:28" x14ac:dyDescent="0.2">
      <c r="A900" s="4"/>
      <c r="B900" s="90"/>
      <c r="C900" s="90"/>
      <c r="D900" s="90"/>
      <c r="E900" s="90"/>
      <c r="F900" s="90"/>
      <c r="G900" s="90"/>
      <c r="H900" s="90"/>
      <c r="I900" s="90"/>
      <c r="J900" s="90"/>
      <c r="K900" s="90"/>
      <c r="L900" s="90"/>
      <c r="M900" s="90"/>
      <c r="N900" s="91"/>
      <c r="O900" s="91"/>
      <c r="P900" s="91"/>
      <c r="Q900" s="91"/>
      <c r="R900" s="91"/>
      <c r="S900" s="91"/>
      <c r="T900" s="91"/>
      <c r="U900" s="91"/>
      <c r="V900" s="92"/>
      <c r="W900" s="92"/>
      <c r="X900" s="93"/>
      <c r="Y900" s="93"/>
      <c r="Z900" s="93"/>
      <c r="AA900" s="4"/>
      <c r="AB900" s="5"/>
    </row>
    <row r="901" spans="1:28" x14ac:dyDescent="0.2">
      <c r="A901" s="4"/>
      <c r="B901" s="94"/>
      <c r="C901" s="94"/>
      <c r="D901" s="94"/>
      <c r="E901" s="94"/>
      <c r="F901" s="94"/>
      <c r="G901" s="94"/>
      <c r="H901" s="94"/>
      <c r="I901" s="94"/>
      <c r="J901" s="94"/>
      <c r="K901" s="94"/>
      <c r="L901" s="94"/>
      <c r="M901" s="94"/>
      <c r="N901" s="95"/>
      <c r="O901" s="95"/>
      <c r="P901" s="95"/>
      <c r="Q901" s="95"/>
      <c r="R901" s="95"/>
      <c r="S901" s="95"/>
      <c r="T901" s="95"/>
      <c r="U901" s="95"/>
      <c r="V901" s="96"/>
      <c r="W901" s="96"/>
      <c r="X901" s="97"/>
      <c r="Y901" s="97"/>
      <c r="Z901" s="97"/>
      <c r="AA901" s="4"/>
      <c r="AB901" s="5"/>
    </row>
    <row r="902" spans="1:28" x14ac:dyDescent="0.2">
      <c r="A902" s="4"/>
      <c r="B902" s="90"/>
      <c r="C902" s="90"/>
      <c r="D902" s="90"/>
      <c r="E902" s="90"/>
      <c r="F902" s="90"/>
      <c r="G902" s="90"/>
      <c r="H902" s="90"/>
      <c r="I902" s="90"/>
      <c r="J902" s="90"/>
      <c r="K902" s="90"/>
      <c r="L902" s="90"/>
      <c r="M902" s="90"/>
      <c r="N902" s="91"/>
      <c r="O902" s="91"/>
      <c r="P902" s="91"/>
      <c r="Q902" s="91"/>
      <c r="R902" s="91"/>
      <c r="S902" s="91"/>
      <c r="T902" s="91"/>
      <c r="U902" s="91"/>
      <c r="V902" s="92"/>
      <c r="W902" s="92"/>
      <c r="X902" s="93"/>
      <c r="Y902" s="93"/>
      <c r="Z902" s="93"/>
      <c r="AA902" s="4"/>
      <c r="AB902" s="5"/>
    </row>
    <row r="903" spans="1:28" x14ac:dyDescent="0.2">
      <c r="A903" s="4"/>
      <c r="B903" s="94"/>
      <c r="C903" s="94"/>
      <c r="D903" s="94"/>
      <c r="E903" s="94"/>
      <c r="F903" s="94"/>
      <c r="G903" s="94"/>
      <c r="H903" s="94"/>
      <c r="I903" s="94"/>
      <c r="J903" s="94"/>
      <c r="K903" s="94"/>
      <c r="L903" s="94"/>
      <c r="M903" s="94"/>
      <c r="N903" s="95"/>
      <c r="O903" s="95"/>
      <c r="P903" s="95"/>
      <c r="Q903" s="95"/>
      <c r="R903" s="95"/>
      <c r="S903" s="95"/>
      <c r="T903" s="95"/>
      <c r="U903" s="95"/>
      <c r="V903" s="96"/>
      <c r="W903" s="96"/>
      <c r="X903" s="97"/>
      <c r="Y903" s="97"/>
      <c r="Z903" s="97"/>
      <c r="AA903" s="4"/>
      <c r="AB903" s="5"/>
    </row>
    <row r="904" spans="1:28" x14ac:dyDescent="0.2">
      <c r="A904" s="4"/>
      <c r="B904" s="90"/>
      <c r="C904" s="90"/>
      <c r="D904" s="90"/>
      <c r="E904" s="90"/>
      <c r="F904" s="90"/>
      <c r="G904" s="90"/>
      <c r="H904" s="90"/>
      <c r="I904" s="90"/>
      <c r="J904" s="90"/>
      <c r="K904" s="90"/>
      <c r="L904" s="90"/>
      <c r="M904" s="90"/>
      <c r="N904" s="91"/>
      <c r="O904" s="91"/>
      <c r="P904" s="91"/>
      <c r="Q904" s="91"/>
      <c r="R904" s="91"/>
      <c r="S904" s="91"/>
      <c r="T904" s="91"/>
      <c r="U904" s="91"/>
      <c r="V904" s="92"/>
      <c r="W904" s="92"/>
      <c r="X904" s="93"/>
      <c r="Y904" s="93"/>
      <c r="Z904" s="93"/>
      <c r="AA904" s="4"/>
      <c r="AB904" s="5"/>
    </row>
    <row r="905" spans="1:28" x14ac:dyDescent="0.2">
      <c r="A905" s="4"/>
      <c r="B905" s="94"/>
      <c r="C905" s="94"/>
      <c r="D905" s="94"/>
      <c r="E905" s="94"/>
      <c r="F905" s="94"/>
      <c r="G905" s="94"/>
      <c r="H905" s="94"/>
      <c r="I905" s="94"/>
      <c r="J905" s="94"/>
      <c r="K905" s="94"/>
      <c r="L905" s="94"/>
      <c r="M905" s="94"/>
      <c r="N905" s="95"/>
      <c r="O905" s="95"/>
      <c r="P905" s="95"/>
      <c r="Q905" s="95"/>
      <c r="R905" s="95"/>
      <c r="S905" s="95"/>
      <c r="T905" s="95"/>
      <c r="U905" s="95"/>
      <c r="V905" s="96"/>
      <c r="W905" s="96"/>
      <c r="X905" s="97"/>
      <c r="Y905" s="97"/>
      <c r="Z905" s="97"/>
      <c r="AA905" s="4"/>
      <c r="AB905" s="5"/>
    </row>
    <row r="906" spans="1:28" x14ac:dyDescent="0.2">
      <c r="A906" s="4"/>
      <c r="B906" s="90"/>
      <c r="C906" s="90"/>
      <c r="D906" s="90"/>
      <c r="E906" s="90"/>
      <c r="F906" s="90"/>
      <c r="G906" s="90"/>
      <c r="H906" s="90"/>
      <c r="I906" s="90"/>
      <c r="J906" s="90"/>
      <c r="K906" s="90"/>
      <c r="L906" s="90"/>
      <c r="M906" s="90"/>
      <c r="N906" s="91"/>
      <c r="O906" s="91"/>
      <c r="P906" s="91"/>
      <c r="Q906" s="91"/>
      <c r="R906" s="91"/>
      <c r="S906" s="91"/>
      <c r="T906" s="91"/>
      <c r="U906" s="91"/>
      <c r="V906" s="92"/>
      <c r="W906" s="92"/>
      <c r="X906" s="93"/>
      <c r="Y906" s="93"/>
      <c r="Z906" s="93"/>
      <c r="AA906" s="4"/>
      <c r="AB906" s="5"/>
    </row>
    <row r="907" spans="1:28" x14ac:dyDescent="0.2">
      <c r="A907" s="4"/>
      <c r="B907" s="94"/>
      <c r="C907" s="94"/>
      <c r="D907" s="94"/>
      <c r="E907" s="94"/>
      <c r="F907" s="94"/>
      <c r="G907" s="94"/>
      <c r="H907" s="94"/>
      <c r="I907" s="94"/>
      <c r="J907" s="94"/>
      <c r="K907" s="94"/>
      <c r="L907" s="94"/>
      <c r="M907" s="94"/>
      <c r="N907" s="95"/>
      <c r="O907" s="95"/>
      <c r="P907" s="95"/>
      <c r="Q907" s="95"/>
      <c r="R907" s="95"/>
      <c r="S907" s="95"/>
      <c r="T907" s="95"/>
      <c r="U907" s="95"/>
      <c r="V907" s="96"/>
      <c r="W907" s="96"/>
      <c r="X907" s="97"/>
      <c r="Y907" s="97"/>
      <c r="Z907" s="97"/>
      <c r="AA907" s="4"/>
      <c r="AB907" s="5"/>
    </row>
    <row r="908" spans="1:28" x14ac:dyDescent="0.2">
      <c r="A908" s="4"/>
      <c r="B908" s="90"/>
      <c r="C908" s="90"/>
      <c r="D908" s="90"/>
      <c r="E908" s="90"/>
      <c r="F908" s="90"/>
      <c r="G908" s="90"/>
      <c r="H908" s="90"/>
      <c r="I908" s="90"/>
      <c r="J908" s="90"/>
      <c r="K908" s="90"/>
      <c r="L908" s="90"/>
      <c r="M908" s="90"/>
      <c r="N908" s="91"/>
      <c r="O908" s="91"/>
      <c r="P908" s="91"/>
      <c r="Q908" s="91"/>
      <c r="R908" s="91"/>
      <c r="S908" s="91"/>
      <c r="T908" s="91"/>
      <c r="U908" s="91"/>
      <c r="V908" s="92"/>
      <c r="W908" s="92"/>
      <c r="X908" s="93"/>
      <c r="Y908" s="93"/>
      <c r="Z908" s="93"/>
      <c r="AA908" s="4"/>
      <c r="AB908" s="5"/>
    </row>
    <row r="909" spans="1:28" x14ac:dyDescent="0.2">
      <c r="A909" s="4"/>
      <c r="B909" s="94"/>
      <c r="C909" s="94"/>
      <c r="D909" s="94"/>
      <c r="E909" s="94"/>
      <c r="F909" s="94"/>
      <c r="G909" s="94"/>
      <c r="H909" s="94"/>
      <c r="I909" s="94"/>
      <c r="J909" s="94"/>
      <c r="K909" s="94"/>
      <c r="L909" s="94"/>
      <c r="M909" s="94"/>
      <c r="N909" s="95"/>
      <c r="O909" s="95"/>
      <c r="P909" s="95"/>
      <c r="Q909" s="95"/>
      <c r="R909" s="95"/>
      <c r="S909" s="95"/>
      <c r="T909" s="95"/>
      <c r="U909" s="95"/>
      <c r="V909" s="96"/>
      <c r="W909" s="96"/>
      <c r="X909" s="97"/>
      <c r="Y909" s="97"/>
      <c r="Z909" s="97"/>
      <c r="AA909" s="4"/>
      <c r="AB909" s="5"/>
    </row>
    <row r="910" spans="1:28" x14ac:dyDescent="0.2">
      <c r="A910" s="4"/>
      <c r="B910" s="90"/>
      <c r="C910" s="90"/>
      <c r="D910" s="90"/>
      <c r="E910" s="90"/>
      <c r="F910" s="90"/>
      <c r="G910" s="90"/>
      <c r="H910" s="90"/>
      <c r="I910" s="90"/>
      <c r="J910" s="90"/>
      <c r="K910" s="90"/>
      <c r="L910" s="90"/>
      <c r="M910" s="90"/>
      <c r="N910" s="91"/>
      <c r="O910" s="91"/>
      <c r="P910" s="91"/>
      <c r="Q910" s="91"/>
      <c r="R910" s="91"/>
      <c r="S910" s="91"/>
      <c r="T910" s="91"/>
      <c r="U910" s="91"/>
      <c r="V910" s="92"/>
      <c r="W910" s="92"/>
      <c r="X910" s="93"/>
      <c r="Y910" s="93"/>
      <c r="Z910" s="93"/>
      <c r="AA910" s="4"/>
      <c r="AB910" s="5"/>
    </row>
    <row r="911" spans="1:28" x14ac:dyDescent="0.2">
      <c r="A911" s="4"/>
      <c r="B911" s="94"/>
      <c r="C911" s="94"/>
      <c r="D911" s="94"/>
      <c r="E911" s="94"/>
      <c r="F911" s="94"/>
      <c r="G911" s="94"/>
      <c r="H911" s="94"/>
      <c r="I911" s="94"/>
      <c r="J911" s="94"/>
      <c r="K911" s="94"/>
      <c r="L911" s="94"/>
      <c r="M911" s="94"/>
      <c r="N911" s="95"/>
      <c r="O911" s="95"/>
      <c r="P911" s="95"/>
      <c r="Q911" s="95"/>
      <c r="R911" s="95"/>
      <c r="S911" s="95"/>
      <c r="T911" s="95"/>
      <c r="U911" s="95"/>
      <c r="V911" s="96"/>
      <c r="W911" s="96"/>
      <c r="X911" s="97"/>
      <c r="Y911" s="97"/>
      <c r="Z911" s="97"/>
      <c r="AA911" s="4"/>
      <c r="AB911" s="5"/>
    </row>
    <row r="912" spans="1:28" x14ac:dyDescent="0.2">
      <c r="A912" s="4"/>
      <c r="B912" s="90"/>
      <c r="C912" s="90"/>
      <c r="D912" s="90"/>
      <c r="E912" s="90"/>
      <c r="F912" s="90"/>
      <c r="G912" s="90"/>
      <c r="H912" s="90"/>
      <c r="I912" s="90"/>
      <c r="J912" s="90"/>
      <c r="K912" s="90"/>
      <c r="L912" s="90"/>
      <c r="M912" s="90"/>
      <c r="N912" s="91"/>
      <c r="O912" s="91"/>
      <c r="P912" s="91"/>
      <c r="Q912" s="91"/>
      <c r="R912" s="91"/>
      <c r="S912" s="91"/>
      <c r="T912" s="91"/>
      <c r="U912" s="91"/>
      <c r="V912" s="92"/>
      <c r="W912" s="92"/>
      <c r="X912" s="93"/>
      <c r="Y912" s="93"/>
      <c r="Z912" s="93"/>
      <c r="AA912" s="4"/>
      <c r="AB912" s="5"/>
    </row>
    <row r="913" spans="1:28" x14ac:dyDescent="0.2">
      <c r="A913" s="4"/>
      <c r="B913" s="94"/>
      <c r="C913" s="94"/>
      <c r="D913" s="94"/>
      <c r="E913" s="94"/>
      <c r="F913" s="94"/>
      <c r="G913" s="94"/>
      <c r="H913" s="94"/>
      <c r="I913" s="94"/>
      <c r="J913" s="94"/>
      <c r="K913" s="94"/>
      <c r="L913" s="94"/>
      <c r="M913" s="94"/>
      <c r="N913" s="95"/>
      <c r="O913" s="95"/>
      <c r="P913" s="95"/>
      <c r="Q913" s="95"/>
      <c r="R913" s="95"/>
      <c r="S913" s="95"/>
      <c r="T913" s="95"/>
      <c r="U913" s="95"/>
      <c r="V913" s="96"/>
      <c r="W913" s="96"/>
      <c r="X913" s="97"/>
      <c r="Y913" s="97"/>
      <c r="Z913" s="97"/>
      <c r="AA913" s="4"/>
      <c r="AB913" s="5"/>
    </row>
    <row r="914" spans="1:28" x14ac:dyDescent="0.2">
      <c r="A914" s="4"/>
      <c r="B914" s="90"/>
      <c r="C914" s="90"/>
      <c r="D914" s="90"/>
      <c r="E914" s="90"/>
      <c r="F914" s="90"/>
      <c r="G914" s="90"/>
      <c r="H914" s="90"/>
      <c r="I914" s="90"/>
      <c r="J914" s="90"/>
      <c r="K914" s="90"/>
      <c r="L914" s="90"/>
      <c r="M914" s="90"/>
      <c r="N914" s="91"/>
      <c r="O914" s="91"/>
      <c r="P914" s="91"/>
      <c r="Q914" s="91"/>
      <c r="R914" s="91"/>
      <c r="S914" s="91"/>
      <c r="T914" s="91"/>
      <c r="U914" s="91"/>
      <c r="V914" s="92"/>
      <c r="W914" s="92"/>
      <c r="X914" s="93"/>
      <c r="Y914" s="93"/>
      <c r="Z914" s="93"/>
      <c r="AA914" s="4"/>
      <c r="AB914" s="5"/>
    </row>
    <row r="915" spans="1:28" x14ac:dyDescent="0.2">
      <c r="A915" s="4"/>
      <c r="B915" s="94"/>
      <c r="C915" s="94"/>
      <c r="D915" s="94"/>
      <c r="E915" s="94"/>
      <c r="F915" s="94"/>
      <c r="G915" s="94"/>
      <c r="H915" s="94"/>
      <c r="I915" s="94"/>
      <c r="J915" s="94"/>
      <c r="K915" s="94"/>
      <c r="L915" s="94"/>
      <c r="M915" s="94"/>
      <c r="N915" s="95"/>
      <c r="O915" s="95"/>
      <c r="P915" s="95"/>
      <c r="Q915" s="95"/>
      <c r="R915" s="95"/>
      <c r="S915" s="95"/>
      <c r="T915" s="95"/>
      <c r="U915" s="95"/>
      <c r="V915" s="96"/>
      <c r="W915" s="96"/>
      <c r="X915" s="97"/>
      <c r="Y915" s="97"/>
      <c r="Z915" s="97"/>
      <c r="AA915" s="4"/>
      <c r="AB915" s="5"/>
    </row>
    <row r="916" spans="1:28" x14ac:dyDescent="0.2">
      <c r="A916" s="4"/>
      <c r="B916" s="90"/>
      <c r="C916" s="90"/>
      <c r="D916" s="90"/>
      <c r="E916" s="90"/>
      <c r="F916" s="90"/>
      <c r="G916" s="90"/>
      <c r="H916" s="90"/>
      <c r="I916" s="90"/>
      <c r="J916" s="90"/>
      <c r="K916" s="90"/>
      <c r="L916" s="90"/>
      <c r="M916" s="90"/>
      <c r="N916" s="91"/>
      <c r="O916" s="91"/>
      <c r="P916" s="91"/>
      <c r="Q916" s="91"/>
      <c r="R916" s="91"/>
      <c r="S916" s="91"/>
      <c r="T916" s="91"/>
      <c r="U916" s="91"/>
      <c r="V916" s="92"/>
      <c r="W916" s="92"/>
      <c r="X916" s="93"/>
      <c r="Y916" s="93"/>
      <c r="Z916" s="93"/>
      <c r="AA916" s="4"/>
      <c r="AB916" s="5"/>
    </row>
    <row r="917" spans="1:28" x14ac:dyDescent="0.2">
      <c r="A917" s="4"/>
      <c r="B917" s="94"/>
      <c r="C917" s="94"/>
      <c r="D917" s="94"/>
      <c r="E917" s="94"/>
      <c r="F917" s="94"/>
      <c r="G917" s="94"/>
      <c r="H917" s="94"/>
      <c r="I917" s="94"/>
      <c r="J917" s="94"/>
      <c r="K917" s="94"/>
      <c r="L917" s="94"/>
      <c r="M917" s="94"/>
      <c r="N917" s="95"/>
      <c r="O917" s="95"/>
      <c r="P917" s="95"/>
      <c r="Q917" s="95"/>
      <c r="R917" s="95"/>
      <c r="S917" s="95"/>
      <c r="T917" s="95"/>
      <c r="U917" s="95"/>
      <c r="V917" s="96"/>
      <c r="W917" s="96"/>
      <c r="X917" s="97"/>
      <c r="Y917" s="97"/>
      <c r="Z917" s="97"/>
      <c r="AA917" s="4"/>
      <c r="AB917" s="5"/>
    </row>
    <row r="918" spans="1:28" x14ac:dyDescent="0.2">
      <c r="A918" s="4"/>
      <c r="B918" s="90"/>
      <c r="C918" s="90"/>
      <c r="D918" s="90"/>
      <c r="E918" s="90"/>
      <c r="F918" s="90"/>
      <c r="G918" s="90"/>
      <c r="H918" s="90"/>
      <c r="I918" s="90"/>
      <c r="J918" s="90"/>
      <c r="K918" s="90"/>
      <c r="L918" s="90"/>
      <c r="M918" s="90"/>
      <c r="N918" s="91"/>
      <c r="O918" s="91"/>
      <c r="P918" s="91"/>
      <c r="Q918" s="91"/>
      <c r="R918" s="91"/>
      <c r="S918" s="91"/>
      <c r="T918" s="91"/>
      <c r="U918" s="91"/>
      <c r="V918" s="92"/>
      <c r="W918" s="92"/>
      <c r="X918" s="93"/>
      <c r="Y918" s="93"/>
      <c r="Z918" s="93"/>
      <c r="AA918" s="4"/>
      <c r="AB918" s="5"/>
    </row>
    <row r="919" spans="1:28" x14ac:dyDescent="0.2">
      <c r="A919" s="4"/>
      <c r="B919" s="94"/>
      <c r="C919" s="94"/>
      <c r="D919" s="94"/>
      <c r="E919" s="94"/>
      <c r="F919" s="94"/>
      <c r="G919" s="94"/>
      <c r="H919" s="94"/>
      <c r="I919" s="94"/>
      <c r="J919" s="94"/>
      <c r="K919" s="94"/>
      <c r="L919" s="94"/>
      <c r="M919" s="94"/>
      <c r="N919" s="95"/>
      <c r="O919" s="95"/>
      <c r="P919" s="95"/>
      <c r="Q919" s="95"/>
      <c r="R919" s="95"/>
      <c r="S919" s="95"/>
      <c r="T919" s="95"/>
      <c r="U919" s="95"/>
      <c r="V919" s="96"/>
      <c r="W919" s="96"/>
      <c r="X919" s="97"/>
      <c r="Y919" s="97"/>
      <c r="Z919" s="97"/>
      <c r="AA919" s="4"/>
      <c r="AB919" s="5"/>
    </row>
    <row r="920" spans="1:28" x14ac:dyDescent="0.2">
      <c r="A920" s="4"/>
      <c r="B920" s="90"/>
      <c r="C920" s="90"/>
      <c r="D920" s="90"/>
      <c r="E920" s="90"/>
      <c r="F920" s="90"/>
      <c r="G920" s="90"/>
      <c r="H920" s="90"/>
      <c r="I920" s="90"/>
      <c r="J920" s="90"/>
      <c r="K920" s="90"/>
      <c r="L920" s="90"/>
      <c r="M920" s="90"/>
      <c r="N920" s="91"/>
      <c r="O920" s="91"/>
      <c r="P920" s="91"/>
      <c r="Q920" s="91"/>
      <c r="R920" s="91"/>
      <c r="S920" s="91"/>
      <c r="T920" s="91"/>
      <c r="U920" s="91"/>
      <c r="V920" s="92"/>
      <c r="W920" s="92"/>
      <c r="X920" s="93"/>
      <c r="Y920" s="93"/>
      <c r="Z920" s="93"/>
      <c r="AA920" s="4"/>
      <c r="AB920" s="5"/>
    </row>
    <row r="921" spans="1:28" x14ac:dyDescent="0.2">
      <c r="A921" s="4"/>
      <c r="B921" s="94"/>
      <c r="C921" s="94"/>
      <c r="D921" s="94"/>
      <c r="E921" s="94"/>
      <c r="F921" s="94"/>
      <c r="G921" s="94"/>
      <c r="H921" s="94"/>
      <c r="I921" s="94"/>
      <c r="J921" s="94"/>
      <c r="K921" s="94"/>
      <c r="L921" s="94"/>
      <c r="M921" s="94"/>
      <c r="N921" s="95"/>
      <c r="O921" s="95"/>
      <c r="P921" s="95"/>
      <c r="Q921" s="95"/>
      <c r="R921" s="95"/>
      <c r="S921" s="95"/>
      <c r="T921" s="95"/>
      <c r="U921" s="95"/>
      <c r="V921" s="96"/>
      <c r="W921" s="96"/>
      <c r="X921" s="97"/>
      <c r="Y921" s="97"/>
      <c r="Z921" s="97"/>
      <c r="AA921" s="4"/>
      <c r="AB921" s="5"/>
    </row>
    <row r="922" spans="1:28" x14ac:dyDescent="0.2">
      <c r="A922" s="4"/>
      <c r="B922" s="90"/>
      <c r="C922" s="90"/>
      <c r="D922" s="90"/>
      <c r="E922" s="90"/>
      <c r="F922" s="90"/>
      <c r="G922" s="90"/>
      <c r="H922" s="90"/>
      <c r="I922" s="90"/>
      <c r="J922" s="90"/>
      <c r="K922" s="90"/>
      <c r="L922" s="90"/>
      <c r="M922" s="90"/>
      <c r="N922" s="91"/>
      <c r="O922" s="91"/>
      <c r="P922" s="91"/>
      <c r="Q922" s="91"/>
      <c r="R922" s="91"/>
      <c r="S922" s="91"/>
      <c r="T922" s="91"/>
      <c r="U922" s="91"/>
      <c r="V922" s="92"/>
      <c r="W922" s="92"/>
      <c r="X922" s="93"/>
      <c r="Y922" s="93"/>
      <c r="Z922" s="93"/>
      <c r="AA922" s="4"/>
      <c r="AB922" s="5"/>
    </row>
    <row r="923" spans="1:28" x14ac:dyDescent="0.2">
      <c r="A923" s="4"/>
      <c r="B923" s="94"/>
      <c r="C923" s="94"/>
      <c r="D923" s="94"/>
      <c r="E923" s="94"/>
      <c r="F923" s="94"/>
      <c r="G923" s="94"/>
      <c r="H923" s="94"/>
      <c r="I923" s="94"/>
      <c r="J923" s="94"/>
      <c r="K923" s="94"/>
      <c r="L923" s="94"/>
      <c r="M923" s="94"/>
      <c r="N923" s="95"/>
      <c r="O923" s="95"/>
      <c r="P923" s="95"/>
      <c r="Q923" s="95"/>
      <c r="R923" s="95"/>
      <c r="S923" s="95"/>
      <c r="T923" s="95"/>
      <c r="U923" s="95"/>
      <c r="V923" s="96"/>
      <c r="W923" s="96"/>
      <c r="X923" s="97"/>
      <c r="Y923" s="97"/>
      <c r="Z923" s="97"/>
      <c r="AA923" s="4"/>
      <c r="AB923" s="5"/>
    </row>
    <row r="924" spans="1:28" x14ac:dyDescent="0.2">
      <c r="A924" s="4"/>
      <c r="B924" s="90"/>
      <c r="C924" s="90"/>
      <c r="D924" s="90"/>
      <c r="E924" s="90"/>
      <c r="F924" s="90"/>
      <c r="G924" s="90"/>
      <c r="H924" s="90"/>
      <c r="I924" s="90"/>
      <c r="J924" s="90"/>
      <c r="K924" s="90"/>
      <c r="L924" s="90"/>
      <c r="M924" s="90"/>
      <c r="N924" s="91"/>
      <c r="O924" s="91"/>
      <c r="P924" s="91"/>
      <c r="Q924" s="91"/>
      <c r="R924" s="91"/>
      <c r="S924" s="91"/>
      <c r="T924" s="91"/>
      <c r="U924" s="91"/>
      <c r="V924" s="92"/>
      <c r="W924" s="92"/>
      <c r="X924" s="93"/>
      <c r="Y924" s="93"/>
      <c r="Z924" s="93"/>
      <c r="AA924" s="4"/>
      <c r="AB924" s="5"/>
    </row>
    <row r="925" spans="1:28" x14ac:dyDescent="0.2">
      <c r="A925" s="4"/>
      <c r="B925" s="94"/>
      <c r="C925" s="94"/>
      <c r="D925" s="94"/>
      <c r="E925" s="94"/>
      <c r="F925" s="94"/>
      <c r="G925" s="94"/>
      <c r="H925" s="94"/>
      <c r="I925" s="94"/>
      <c r="J925" s="94"/>
      <c r="K925" s="94"/>
      <c r="L925" s="94"/>
      <c r="M925" s="94"/>
      <c r="N925" s="95"/>
      <c r="O925" s="95"/>
      <c r="P925" s="95"/>
      <c r="Q925" s="95"/>
      <c r="R925" s="95"/>
      <c r="S925" s="95"/>
      <c r="T925" s="95"/>
      <c r="U925" s="95"/>
      <c r="V925" s="96"/>
      <c r="W925" s="96"/>
      <c r="X925" s="97"/>
      <c r="Y925" s="97"/>
      <c r="Z925" s="97"/>
      <c r="AA925" s="4"/>
      <c r="AB925" s="5"/>
    </row>
    <row r="926" spans="1:28" x14ac:dyDescent="0.2">
      <c r="A926" s="4"/>
      <c r="B926" s="90"/>
      <c r="C926" s="90"/>
      <c r="D926" s="90"/>
      <c r="E926" s="90"/>
      <c r="F926" s="90"/>
      <c r="G926" s="90"/>
      <c r="H926" s="90"/>
      <c r="I926" s="90"/>
      <c r="J926" s="90"/>
      <c r="K926" s="90"/>
      <c r="L926" s="90"/>
      <c r="M926" s="90"/>
      <c r="N926" s="91"/>
      <c r="O926" s="91"/>
      <c r="P926" s="91"/>
      <c r="Q926" s="91"/>
      <c r="R926" s="91"/>
      <c r="S926" s="91"/>
      <c r="T926" s="91"/>
      <c r="U926" s="91"/>
      <c r="V926" s="92"/>
      <c r="W926" s="92"/>
      <c r="X926" s="93"/>
      <c r="Y926" s="93"/>
      <c r="Z926" s="93"/>
      <c r="AA926" s="4"/>
      <c r="AB926" s="5"/>
    </row>
    <row r="927" spans="1:28" x14ac:dyDescent="0.2">
      <c r="A927" s="4"/>
      <c r="B927" s="94"/>
      <c r="C927" s="94"/>
      <c r="D927" s="94"/>
      <c r="E927" s="94"/>
      <c r="F927" s="94"/>
      <c r="G927" s="94"/>
      <c r="H927" s="94"/>
      <c r="I927" s="94"/>
      <c r="J927" s="94"/>
      <c r="K927" s="94"/>
      <c r="L927" s="94"/>
      <c r="M927" s="94"/>
      <c r="N927" s="95"/>
      <c r="O927" s="95"/>
      <c r="P927" s="95"/>
      <c r="Q927" s="95"/>
      <c r="R927" s="95"/>
      <c r="S927" s="95"/>
      <c r="T927" s="95"/>
      <c r="U927" s="95"/>
      <c r="V927" s="96"/>
      <c r="W927" s="96"/>
      <c r="X927" s="97"/>
      <c r="Y927" s="97"/>
      <c r="Z927" s="97"/>
      <c r="AA927" s="4"/>
      <c r="AB927" s="5"/>
    </row>
    <row r="928" spans="1:28" x14ac:dyDescent="0.2">
      <c r="A928" s="4"/>
      <c r="B928" s="90"/>
      <c r="C928" s="90"/>
      <c r="D928" s="90"/>
      <c r="E928" s="90"/>
      <c r="F928" s="90"/>
      <c r="G928" s="90"/>
      <c r="H928" s="90"/>
      <c r="I928" s="90"/>
      <c r="J928" s="90"/>
      <c r="K928" s="90"/>
      <c r="L928" s="90"/>
      <c r="M928" s="90"/>
      <c r="N928" s="91"/>
      <c r="O928" s="91"/>
      <c r="P928" s="91"/>
      <c r="Q928" s="91"/>
      <c r="R928" s="91"/>
      <c r="S928" s="91"/>
      <c r="T928" s="91"/>
      <c r="U928" s="91"/>
      <c r="V928" s="92"/>
      <c r="W928" s="92"/>
      <c r="X928" s="93"/>
      <c r="Y928" s="93"/>
      <c r="Z928" s="93"/>
      <c r="AA928" s="4"/>
      <c r="AB928" s="5"/>
    </row>
    <row r="929" spans="1:28" x14ac:dyDescent="0.2">
      <c r="A929" s="4"/>
      <c r="B929" s="94"/>
      <c r="C929" s="94"/>
      <c r="D929" s="94"/>
      <c r="E929" s="94"/>
      <c r="F929" s="94"/>
      <c r="G929" s="94"/>
      <c r="H929" s="94"/>
      <c r="I929" s="94"/>
      <c r="J929" s="94"/>
      <c r="K929" s="94"/>
      <c r="L929" s="94"/>
      <c r="M929" s="94"/>
      <c r="N929" s="95"/>
      <c r="O929" s="95"/>
      <c r="P929" s="95"/>
      <c r="Q929" s="95"/>
      <c r="R929" s="95"/>
      <c r="S929" s="95"/>
      <c r="T929" s="95"/>
      <c r="U929" s="95"/>
      <c r="V929" s="96"/>
      <c r="W929" s="96"/>
      <c r="X929" s="97"/>
      <c r="Y929" s="97"/>
      <c r="Z929" s="97"/>
      <c r="AA929" s="4"/>
      <c r="AB929" s="5"/>
    </row>
    <row r="930" spans="1:28" x14ac:dyDescent="0.2">
      <c r="A930" s="4"/>
      <c r="B930" s="90"/>
      <c r="C930" s="90"/>
      <c r="D930" s="90"/>
      <c r="E930" s="90"/>
      <c r="F930" s="90"/>
      <c r="G930" s="90"/>
      <c r="H930" s="90"/>
      <c r="I930" s="90"/>
      <c r="J930" s="90"/>
      <c r="K930" s="90"/>
      <c r="L930" s="90"/>
      <c r="M930" s="90"/>
      <c r="N930" s="91"/>
      <c r="O930" s="91"/>
      <c r="P930" s="91"/>
      <c r="Q930" s="91"/>
      <c r="R930" s="91"/>
      <c r="S930" s="91"/>
      <c r="T930" s="91"/>
      <c r="U930" s="91"/>
      <c r="V930" s="92"/>
      <c r="W930" s="92"/>
      <c r="X930" s="93"/>
      <c r="Y930" s="93"/>
      <c r="Z930" s="93"/>
      <c r="AA930" s="4"/>
      <c r="AB930" s="5"/>
    </row>
    <row r="931" spans="1:28" x14ac:dyDescent="0.2">
      <c r="A931" s="4"/>
      <c r="B931" s="94"/>
      <c r="C931" s="94"/>
      <c r="D931" s="94"/>
      <c r="E931" s="94"/>
      <c r="F931" s="94"/>
      <c r="G931" s="94"/>
      <c r="H931" s="94"/>
      <c r="I931" s="94"/>
      <c r="J931" s="94"/>
      <c r="K931" s="94"/>
      <c r="L931" s="94"/>
      <c r="M931" s="94"/>
      <c r="N931" s="95"/>
      <c r="O931" s="95"/>
      <c r="P931" s="95"/>
      <c r="Q931" s="95"/>
      <c r="R931" s="95"/>
      <c r="S931" s="95"/>
      <c r="T931" s="95"/>
      <c r="U931" s="95"/>
      <c r="V931" s="96"/>
      <c r="W931" s="96"/>
      <c r="X931" s="97"/>
      <c r="Y931" s="97"/>
      <c r="Z931" s="97"/>
      <c r="AA931" s="4"/>
      <c r="AB931" s="5"/>
    </row>
    <row r="932" spans="1:28" x14ac:dyDescent="0.2">
      <c r="A932" s="4"/>
      <c r="B932" s="90"/>
      <c r="C932" s="90"/>
      <c r="D932" s="90"/>
      <c r="E932" s="90"/>
      <c r="F932" s="90"/>
      <c r="G932" s="90"/>
      <c r="H932" s="90"/>
      <c r="I932" s="90"/>
      <c r="J932" s="90"/>
      <c r="K932" s="90"/>
      <c r="L932" s="90"/>
      <c r="M932" s="90"/>
      <c r="N932" s="91"/>
      <c r="O932" s="91"/>
      <c r="P932" s="91"/>
      <c r="Q932" s="91"/>
      <c r="R932" s="91"/>
      <c r="S932" s="91"/>
      <c r="T932" s="91"/>
      <c r="U932" s="91"/>
      <c r="V932" s="92"/>
      <c r="W932" s="92"/>
      <c r="X932" s="93"/>
      <c r="Y932" s="93"/>
      <c r="Z932" s="93"/>
      <c r="AA932" s="4"/>
      <c r="AB932" s="5"/>
    </row>
    <row r="933" spans="1:28" x14ac:dyDescent="0.2">
      <c r="A933" s="4"/>
      <c r="B933" s="94"/>
      <c r="C933" s="94"/>
      <c r="D933" s="94"/>
      <c r="E933" s="94"/>
      <c r="F933" s="94"/>
      <c r="G933" s="94"/>
      <c r="H933" s="94"/>
      <c r="I933" s="94"/>
      <c r="J933" s="94"/>
      <c r="K933" s="94"/>
      <c r="L933" s="94"/>
      <c r="M933" s="94"/>
      <c r="N933" s="95"/>
      <c r="O933" s="95"/>
      <c r="P933" s="95"/>
      <c r="Q933" s="95"/>
      <c r="R933" s="95"/>
      <c r="S933" s="95"/>
      <c r="T933" s="95"/>
      <c r="U933" s="95"/>
      <c r="V933" s="96"/>
      <c r="W933" s="96"/>
      <c r="X933" s="97"/>
      <c r="Y933" s="97"/>
      <c r="Z933" s="97"/>
      <c r="AA933" s="4"/>
      <c r="AB933" s="5"/>
    </row>
    <row r="934" spans="1:28" x14ac:dyDescent="0.2">
      <c r="A934" s="4"/>
      <c r="B934" s="90"/>
      <c r="C934" s="90"/>
      <c r="D934" s="90"/>
      <c r="E934" s="90"/>
      <c r="F934" s="90"/>
      <c r="G934" s="90"/>
      <c r="H934" s="90"/>
      <c r="I934" s="90"/>
      <c r="J934" s="90"/>
      <c r="K934" s="90"/>
      <c r="L934" s="90"/>
      <c r="M934" s="90"/>
      <c r="N934" s="91"/>
      <c r="O934" s="91"/>
      <c r="P934" s="91"/>
      <c r="Q934" s="91"/>
      <c r="R934" s="91"/>
      <c r="S934" s="91"/>
      <c r="T934" s="91"/>
      <c r="U934" s="91"/>
      <c r="V934" s="92"/>
      <c r="W934" s="92"/>
      <c r="X934" s="93"/>
      <c r="Y934" s="93"/>
      <c r="Z934" s="93"/>
      <c r="AA934" s="4"/>
      <c r="AB934" s="5"/>
    </row>
    <row r="935" spans="1:28" x14ac:dyDescent="0.2">
      <c r="A935" s="4"/>
      <c r="B935" s="94"/>
      <c r="C935" s="94"/>
      <c r="D935" s="94"/>
      <c r="E935" s="94"/>
      <c r="F935" s="94"/>
      <c r="G935" s="94"/>
      <c r="H935" s="94"/>
      <c r="I935" s="94"/>
      <c r="J935" s="94"/>
      <c r="K935" s="94"/>
      <c r="L935" s="94"/>
      <c r="M935" s="94"/>
      <c r="N935" s="95"/>
      <c r="O935" s="95"/>
      <c r="P935" s="95"/>
      <c r="Q935" s="95"/>
      <c r="R935" s="95"/>
      <c r="S935" s="95"/>
      <c r="T935" s="95"/>
      <c r="U935" s="95"/>
      <c r="V935" s="96"/>
      <c r="W935" s="96"/>
      <c r="X935" s="97"/>
      <c r="Y935" s="97"/>
      <c r="Z935" s="97"/>
      <c r="AA935" s="4"/>
      <c r="AB935" s="5"/>
    </row>
    <row r="936" spans="1:28" x14ac:dyDescent="0.2">
      <c r="A936" s="4"/>
      <c r="B936" s="90"/>
      <c r="C936" s="90"/>
      <c r="D936" s="90"/>
      <c r="E936" s="90"/>
      <c r="F936" s="90"/>
      <c r="G936" s="90"/>
      <c r="H936" s="90"/>
      <c r="I936" s="90"/>
      <c r="J936" s="90"/>
      <c r="K936" s="90"/>
      <c r="L936" s="90"/>
      <c r="M936" s="90"/>
      <c r="N936" s="91"/>
      <c r="O936" s="91"/>
      <c r="P936" s="91"/>
      <c r="Q936" s="91"/>
      <c r="R936" s="91"/>
      <c r="S936" s="91"/>
      <c r="T936" s="91"/>
      <c r="U936" s="91"/>
      <c r="V936" s="92"/>
      <c r="W936" s="92"/>
      <c r="X936" s="93"/>
      <c r="Y936" s="93"/>
      <c r="Z936" s="93"/>
      <c r="AA936" s="4"/>
      <c r="AB936" s="5"/>
    </row>
    <row r="937" spans="1:28" x14ac:dyDescent="0.2">
      <c r="A937" s="4"/>
      <c r="B937" s="94"/>
      <c r="C937" s="94"/>
      <c r="D937" s="94"/>
      <c r="E937" s="94"/>
      <c r="F937" s="94"/>
      <c r="G937" s="94"/>
      <c r="H937" s="94"/>
      <c r="I937" s="94"/>
      <c r="J937" s="94"/>
      <c r="K937" s="94"/>
      <c r="L937" s="94"/>
      <c r="M937" s="94"/>
      <c r="N937" s="95"/>
      <c r="O937" s="95"/>
      <c r="P937" s="95"/>
      <c r="Q937" s="95"/>
      <c r="R937" s="95"/>
      <c r="S937" s="95"/>
      <c r="T937" s="95"/>
      <c r="U937" s="95"/>
      <c r="V937" s="96"/>
      <c r="W937" s="96"/>
      <c r="X937" s="97"/>
      <c r="Y937" s="97"/>
      <c r="Z937" s="97"/>
      <c r="AA937" s="4"/>
      <c r="AB937" s="5"/>
    </row>
    <row r="938" spans="1:28" x14ac:dyDescent="0.2">
      <c r="A938" s="4"/>
      <c r="B938" s="90"/>
      <c r="C938" s="90"/>
      <c r="D938" s="90"/>
      <c r="E938" s="90"/>
      <c r="F938" s="90"/>
      <c r="G938" s="90"/>
      <c r="H938" s="90"/>
      <c r="I938" s="90"/>
      <c r="J938" s="90"/>
      <c r="K938" s="90"/>
      <c r="L938" s="90"/>
      <c r="M938" s="90"/>
      <c r="N938" s="91"/>
      <c r="O938" s="91"/>
      <c r="P938" s="91"/>
      <c r="Q938" s="91"/>
      <c r="R938" s="91"/>
      <c r="S938" s="91"/>
      <c r="T938" s="91"/>
      <c r="U938" s="91"/>
      <c r="V938" s="92"/>
      <c r="W938" s="92"/>
      <c r="X938" s="93"/>
      <c r="Y938" s="93"/>
      <c r="Z938" s="93"/>
      <c r="AA938" s="4"/>
      <c r="AB938" s="5"/>
    </row>
    <row r="939" spans="1:28" x14ac:dyDescent="0.2">
      <c r="A939" s="4"/>
      <c r="B939" s="94"/>
      <c r="C939" s="94"/>
      <c r="D939" s="94"/>
      <c r="E939" s="94"/>
      <c r="F939" s="94"/>
      <c r="G939" s="94"/>
      <c r="H939" s="94"/>
      <c r="I939" s="94"/>
      <c r="J939" s="94"/>
      <c r="K939" s="94"/>
      <c r="L939" s="94"/>
      <c r="M939" s="94"/>
      <c r="N939" s="95"/>
      <c r="O939" s="95"/>
      <c r="P939" s="95"/>
      <c r="Q939" s="95"/>
      <c r="R939" s="95"/>
      <c r="S939" s="95"/>
      <c r="T939" s="95"/>
      <c r="U939" s="95"/>
      <c r="V939" s="96"/>
      <c r="W939" s="96"/>
      <c r="X939" s="97"/>
      <c r="Y939" s="97"/>
      <c r="Z939" s="97"/>
      <c r="AA939" s="4"/>
      <c r="AB939" s="5"/>
    </row>
    <row r="940" spans="1:28" x14ac:dyDescent="0.2">
      <c r="A940" s="4"/>
      <c r="B940" s="90"/>
      <c r="C940" s="90"/>
      <c r="D940" s="90"/>
      <c r="E940" s="90"/>
      <c r="F940" s="90"/>
      <c r="G940" s="90"/>
      <c r="H940" s="90"/>
      <c r="I940" s="90"/>
      <c r="J940" s="90"/>
      <c r="K940" s="90"/>
      <c r="L940" s="90"/>
      <c r="M940" s="90"/>
      <c r="N940" s="91"/>
      <c r="O940" s="91"/>
      <c r="P940" s="91"/>
      <c r="Q940" s="91"/>
      <c r="R940" s="91"/>
      <c r="S940" s="91"/>
      <c r="T940" s="91"/>
      <c r="U940" s="91"/>
      <c r="V940" s="92"/>
      <c r="W940" s="92"/>
      <c r="X940" s="93"/>
      <c r="Y940" s="93"/>
      <c r="Z940" s="93"/>
      <c r="AA940" s="4"/>
      <c r="AB940" s="5"/>
    </row>
    <row r="941" spans="1:28" x14ac:dyDescent="0.2">
      <c r="A941" s="4"/>
      <c r="B941" s="94"/>
      <c r="C941" s="94"/>
      <c r="D941" s="94"/>
      <c r="E941" s="94"/>
      <c r="F941" s="94"/>
      <c r="G941" s="94"/>
      <c r="H941" s="94"/>
      <c r="I941" s="94"/>
      <c r="J941" s="94"/>
      <c r="K941" s="94"/>
      <c r="L941" s="94"/>
      <c r="M941" s="94"/>
      <c r="N941" s="95"/>
      <c r="O941" s="95"/>
      <c r="P941" s="95"/>
      <c r="Q941" s="95"/>
      <c r="R941" s="95"/>
      <c r="S941" s="95"/>
      <c r="T941" s="95"/>
      <c r="U941" s="95"/>
      <c r="V941" s="96"/>
      <c r="W941" s="96"/>
      <c r="X941" s="97"/>
      <c r="Y941" s="97"/>
      <c r="Z941" s="97"/>
      <c r="AA941" s="4"/>
      <c r="AB941" s="5"/>
    </row>
    <row r="942" spans="1:28" x14ac:dyDescent="0.2">
      <c r="A942" s="4"/>
      <c r="B942" s="90"/>
      <c r="C942" s="90"/>
      <c r="D942" s="90"/>
      <c r="E942" s="90"/>
      <c r="F942" s="90"/>
      <c r="G942" s="90"/>
      <c r="H942" s="90"/>
      <c r="I942" s="90"/>
      <c r="J942" s="90"/>
      <c r="K942" s="90"/>
      <c r="L942" s="90"/>
      <c r="M942" s="90"/>
      <c r="N942" s="91"/>
      <c r="O942" s="91"/>
      <c r="P942" s="91"/>
      <c r="Q942" s="91"/>
      <c r="R942" s="91"/>
      <c r="S942" s="91"/>
      <c r="T942" s="91"/>
      <c r="U942" s="91"/>
      <c r="V942" s="92"/>
      <c r="W942" s="92"/>
      <c r="X942" s="93"/>
      <c r="Y942" s="93"/>
      <c r="Z942" s="93"/>
      <c r="AA942" s="4"/>
      <c r="AB942" s="5"/>
    </row>
    <row r="943" spans="1:28" x14ac:dyDescent="0.2">
      <c r="A943" s="4"/>
      <c r="B943" s="94"/>
      <c r="C943" s="94"/>
      <c r="D943" s="94"/>
      <c r="E943" s="94"/>
      <c r="F943" s="94"/>
      <c r="G943" s="94"/>
      <c r="H943" s="94"/>
      <c r="I943" s="94"/>
      <c r="J943" s="94"/>
      <c r="K943" s="94"/>
      <c r="L943" s="94"/>
      <c r="M943" s="94"/>
      <c r="N943" s="95"/>
      <c r="O943" s="95"/>
      <c r="P943" s="95"/>
      <c r="Q943" s="95"/>
      <c r="R943" s="95"/>
      <c r="S943" s="95"/>
      <c r="T943" s="95"/>
      <c r="U943" s="95"/>
      <c r="V943" s="96"/>
      <c r="W943" s="96"/>
      <c r="X943" s="97"/>
      <c r="Y943" s="97"/>
      <c r="Z943" s="97"/>
      <c r="AA943" s="4"/>
      <c r="AB943" s="5"/>
    </row>
    <row r="944" spans="1:28" x14ac:dyDescent="0.2">
      <c r="A944" s="4"/>
      <c r="B944" s="90"/>
      <c r="C944" s="90"/>
      <c r="D944" s="90"/>
      <c r="E944" s="90"/>
      <c r="F944" s="90"/>
      <c r="G944" s="90"/>
      <c r="H944" s="90"/>
      <c r="I944" s="90"/>
      <c r="J944" s="90"/>
      <c r="K944" s="90"/>
      <c r="L944" s="90"/>
      <c r="M944" s="90"/>
      <c r="N944" s="91"/>
      <c r="O944" s="91"/>
      <c r="P944" s="91"/>
      <c r="Q944" s="91"/>
      <c r="R944" s="91"/>
      <c r="S944" s="91"/>
      <c r="T944" s="91"/>
      <c r="U944" s="91"/>
      <c r="V944" s="92"/>
      <c r="W944" s="92"/>
      <c r="X944" s="93"/>
      <c r="Y944" s="93"/>
      <c r="Z944" s="93"/>
      <c r="AA944" s="4"/>
      <c r="AB944" s="5"/>
    </row>
    <row r="945" spans="1:28" x14ac:dyDescent="0.2">
      <c r="A945" s="4"/>
      <c r="B945" s="94"/>
      <c r="C945" s="94"/>
      <c r="D945" s="94"/>
      <c r="E945" s="94"/>
      <c r="F945" s="94"/>
      <c r="G945" s="94"/>
      <c r="H945" s="94"/>
      <c r="I945" s="94"/>
      <c r="J945" s="94"/>
      <c r="K945" s="94"/>
      <c r="L945" s="94"/>
      <c r="M945" s="94"/>
      <c r="N945" s="95"/>
      <c r="O945" s="95"/>
      <c r="P945" s="95"/>
      <c r="Q945" s="95"/>
      <c r="R945" s="95"/>
      <c r="S945" s="95"/>
      <c r="T945" s="95"/>
      <c r="U945" s="95"/>
      <c r="V945" s="96"/>
      <c r="W945" s="96"/>
      <c r="X945" s="97"/>
      <c r="Y945" s="97"/>
      <c r="Z945" s="97"/>
      <c r="AA945" s="4"/>
      <c r="AB945" s="5"/>
    </row>
    <row r="946" spans="1:28" x14ac:dyDescent="0.2">
      <c r="A946" s="4"/>
      <c r="B946" s="90"/>
      <c r="C946" s="90"/>
      <c r="D946" s="90"/>
      <c r="E946" s="90"/>
      <c r="F946" s="90"/>
      <c r="G946" s="90"/>
      <c r="H946" s="90"/>
      <c r="I946" s="90"/>
      <c r="J946" s="90"/>
      <c r="K946" s="90"/>
      <c r="L946" s="90"/>
      <c r="M946" s="90"/>
      <c r="N946" s="91"/>
      <c r="O946" s="91"/>
      <c r="P946" s="91"/>
      <c r="Q946" s="91"/>
      <c r="R946" s="91"/>
      <c r="S946" s="91"/>
      <c r="T946" s="91"/>
      <c r="U946" s="91"/>
      <c r="V946" s="92"/>
      <c r="W946" s="92"/>
      <c r="X946" s="93"/>
      <c r="Y946" s="93"/>
      <c r="Z946" s="93"/>
      <c r="AA946" s="4"/>
      <c r="AB946" s="5"/>
    </row>
    <row r="947" spans="1:28" x14ac:dyDescent="0.2">
      <c r="A947" s="4"/>
      <c r="B947" s="94"/>
      <c r="C947" s="94"/>
      <c r="D947" s="94"/>
      <c r="E947" s="94"/>
      <c r="F947" s="94"/>
      <c r="G947" s="94"/>
      <c r="H947" s="94"/>
      <c r="I947" s="94"/>
      <c r="J947" s="94"/>
      <c r="K947" s="94"/>
      <c r="L947" s="94"/>
      <c r="M947" s="94"/>
      <c r="N947" s="95"/>
      <c r="O947" s="95"/>
      <c r="P947" s="95"/>
      <c r="Q947" s="95"/>
      <c r="R947" s="95"/>
      <c r="S947" s="95"/>
      <c r="T947" s="95"/>
      <c r="U947" s="95"/>
      <c r="V947" s="96"/>
      <c r="W947" s="96"/>
      <c r="X947" s="97"/>
      <c r="Y947" s="97"/>
      <c r="Z947" s="97"/>
      <c r="AA947" s="4"/>
      <c r="AB947" s="5"/>
    </row>
    <row r="948" spans="1:28" x14ac:dyDescent="0.2">
      <c r="A948" s="4"/>
      <c r="B948" s="90"/>
      <c r="C948" s="90"/>
      <c r="D948" s="90"/>
      <c r="E948" s="90"/>
      <c r="F948" s="90"/>
      <c r="G948" s="90"/>
      <c r="H948" s="90"/>
      <c r="I948" s="90"/>
      <c r="J948" s="90"/>
      <c r="K948" s="90"/>
      <c r="L948" s="90"/>
      <c r="M948" s="90"/>
      <c r="N948" s="91"/>
      <c r="O948" s="91"/>
      <c r="P948" s="91"/>
      <c r="Q948" s="91"/>
      <c r="R948" s="91"/>
      <c r="S948" s="91"/>
      <c r="T948" s="91"/>
      <c r="U948" s="91"/>
      <c r="V948" s="92"/>
      <c r="W948" s="92"/>
      <c r="X948" s="93"/>
      <c r="Y948" s="93"/>
      <c r="Z948" s="93"/>
      <c r="AA948" s="4"/>
      <c r="AB948" s="5"/>
    </row>
    <row r="949" spans="1:28" x14ac:dyDescent="0.2">
      <c r="A949" s="4"/>
      <c r="B949" s="94"/>
      <c r="C949" s="94"/>
      <c r="D949" s="94"/>
      <c r="E949" s="94"/>
      <c r="F949" s="94"/>
      <c r="G949" s="94"/>
      <c r="H949" s="94"/>
      <c r="I949" s="94"/>
      <c r="J949" s="94"/>
      <c r="K949" s="94"/>
      <c r="L949" s="94"/>
      <c r="M949" s="94"/>
      <c r="N949" s="95"/>
      <c r="O949" s="95"/>
      <c r="P949" s="95"/>
      <c r="Q949" s="95"/>
      <c r="R949" s="95"/>
      <c r="S949" s="95"/>
      <c r="T949" s="95"/>
      <c r="U949" s="95"/>
      <c r="V949" s="96"/>
      <c r="W949" s="96"/>
      <c r="X949" s="97"/>
      <c r="Y949" s="97"/>
      <c r="Z949" s="97"/>
      <c r="AA949" s="4"/>
      <c r="AB949" s="5"/>
    </row>
    <row r="950" spans="1:28" x14ac:dyDescent="0.2">
      <c r="A950" s="4"/>
      <c r="B950" s="90"/>
      <c r="C950" s="90"/>
      <c r="D950" s="90"/>
      <c r="E950" s="90"/>
      <c r="F950" s="90"/>
      <c r="G950" s="90"/>
      <c r="H950" s="90"/>
      <c r="I950" s="90"/>
      <c r="J950" s="90"/>
      <c r="K950" s="90"/>
      <c r="L950" s="90"/>
      <c r="M950" s="90"/>
      <c r="N950" s="91"/>
      <c r="O950" s="91"/>
      <c r="P950" s="91"/>
      <c r="Q950" s="91"/>
      <c r="R950" s="91"/>
      <c r="S950" s="91"/>
      <c r="T950" s="91"/>
      <c r="U950" s="91"/>
      <c r="V950" s="92"/>
      <c r="W950" s="92"/>
      <c r="X950" s="93"/>
      <c r="Y950" s="93"/>
      <c r="Z950" s="93"/>
      <c r="AA950" s="4"/>
      <c r="AB950" s="5"/>
    </row>
    <row r="951" spans="1:28" x14ac:dyDescent="0.2">
      <c r="A951" s="4"/>
      <c r="B951" s="94"/>
      <c r="C951" s="94"/>
      <c r="D951" s="94"/>
      <c r="E951" s="94"/>
      <c r="F951" s="94"/>
      <c r="G951" s="94"/>
      <c r="H951" s="94"/>
      <c r="I951" s="94"/>
      <c r="J951" s="94"/>
      <c r="K951" s="94"/>
      <c r="L951" s="94"/>
      <c r="M951" s="94"/>
      <c r="N951" s="95"/>
      <c r="O951" s="95"/>
      <c r="P951" s="95"/>
      <c r="Q951" s="95"/>
      <c r="R951" s="95"/>
      <c r="S951" s="95"/>
      <c r="T951" s="95"/>
      <c r="U951" s="95"/>
      <c r="V951" s="96"/>
      <c r="W951" s="96"/>
      <c r="X951" s="97"/>
      <c r="Y951" s="97"/>
      <c r="Z951" s="97"/>
      <c r="AA951" s="4"/>
      <c r="AB951" s="5"/>
    </row>
    <row r="952" spans="1:28" x14ac:dyDescent="0.2">
      <c r="A952" s="4"/>
      <c r="B952" s="90"/>
      <c r="C952" s="90"/>
      <c r="D952" s="90"/>
      <c r="E952" s="90"/>
      <c r="F952" s="90"/>
      <c r="G952" s="90"/>
      <c r="H952" s="90"/>
      <c r="I952" s="90"/>
      <c r="J952" s="90"/>
      <c r="K952" s="90"/>
      <c r="L952" s="90"/>
      <c r="M952" s="90"/>
      <c r="N952" s="91"/>
      <c r="O952" s="91"/>
      <c r="P952" s="91"/>
      <c r="Q952" s="91"/>
      <c r="R952" s="91"/>
      <c r="S952" s="91"/>
      <c r="T952" s="91"/>
      <c r="U952" s="91"/>
      <c r="V952" s="92"/>
      <c r="W952" s="92"/>
      <c r="X952" s="93"/>
      <c r="Y952" s="93"/>
      <c r="Z952" s="93"/>
      <c r="AA952" s="4"/>
      <c r="AB952" s="5"/>
    </row>
    <row r="953" spans="1:28" x14ac:dyDescent="0.2">
      <c r="A953" s="4"/>
      <c r="B953" s="94"/>
      <c r="C953" s="94"/>
      <c r="D953" s="94"/>
      <c r="E953" s="94"/>
      <c r="F953" s="94"/>
      <c r="G953" s="94"/>
      <c r="H953" s="94"/>
      <c r="I953" s="94"/>
      <c r="J953" s="94"/>
      <c r="K953" s="94"/>
      <c r="L953" s="94"/>
      <c r="M953" s="94"/>
      <c r="N953" s="95"/>
      <c r="O953" s="95"/>
      <c r="P953" s="95"/>
      <c r="Q953" s="95"/>
      <c r="R953" s="95"/>
      <c r="S953" s="95"/>
      <c r="T953" s="95"/>
      <c r="U953" s="95"/>
      <c r="V953" s="96"/>
      <c r="W953" s="96"/>
      <c r="X953" s="97"/>
      <c r="Y953" s="97"/>
      <c r="Z953" s="97"/>
      <c r="AA953" s="4"/>
      <c r="AB953" s="5"/>
    </row>
    <row r="954" spans="1:28" x14ac:dyDescent="0.2">
      <c r="A954" s="4"/>
      <c r="B954" s="90"/>
      <c r="C954" s="90"/>
      <c r="D954" s="90"/>
      <c r="E954" s="90"/>
      <c r="F954" s="90"/>
      <c r="G954" s="90"/>
      <c r="H954" s="90"/>
      <c r="I954" s="90"/>
      <c r="J954" s="90"/>
      <c r="K954" s="90"/>
      <c r="L954" s="90"/>
      <c r="M954" s="90"/>
      <c r="N954" s="91"/>
      <c r="O954" s="91"/>
      <c r="P954" s="91"/>
      <c r="Q954" s="91"/>
      <c r="R954" s="91"/>
      <c r="S954" s="91"/>
      <c r="T954" s="91"/>
      <c r="U954" s="91"/>
      <c r="V954" s="92"/>
      <c r="W954" s="92"/>
      <c r="X954" s="93"/>
      <c r="Y954" s="93"/>
      <c r="Z954" s="93"/>
      <c r="AA954" s="4"/>
      <c r="AB954" s="5"/>
    </row>
    <row r="955" spans="1:28" x14ac:dyDescent="0.2">
      <c r="A955" s="4"/>
      <c r="B955" s="94"/>
      <c r="C955" s="94"/>
      <c r="D955" s="94"/>
      <c r="E955" s="94"/>
      <c r="F955" s="94"/>
      <c r="G955" s="94"/>
      <c r="H955" s="94"/>
      <c r="I955" s="94"/>
      <c r="J955" s="94"/>
      <c r="K955" s="94"/>
      <c r="L955" s="94"/>
      <c r="M955" s="94"/>
      <c r="N955" s="95"/>
      <c r="O955" s="95"/>
      <c r="P955" s="95"/>
      <c r="Q955" s="95"/>
      <c r="R955" s="95"/>
      <c r="S955" s="95"/>
      <c r="T955" s="95"/>
      <c r="U955" s="95"/>
      <c r="V955" s="96"/>
      <c r="W955" s="96"/>
      <c r="X955" s="97"/>
      <c r="Y955" s="97"/>
      <c r="Z955" s="97"/>
      <c r="AA955" s="4"/>
      <c r="AB955" s="5"/>
    </row>
    <row r="956" spans="1:28" x14ac:dyDescent="0.2">
      <c r="A956" s="4"/>
      <c r="B956" s="90"/>
      <c r="C956" s="90"/>
      <c r="D956" s="90"/>
      <c r="E956" s="90"/>
      <c r="F956" s="90"/>
      <c r="G956" s="90"/>
      <c r="H956" s="90"/>
      <c r="I956" s="90"/>
      <c r="J956" s="90"/>
      <c r="K956" s="90"/>
      <c r="L956" s="90"/>
      <c r="M956" s="90"/>
      <c r="N956" s="91"/>
      <c r="O956" s="91"/>
      <c r="P956" s="91"/>
      <c r="Q956" s="91"/>
      <c r="R956" s="91"/>
      <c r="S956" s="91"/>
      <c r="T956" s="91"/>
      <c r="U956" s="91"/>
      <c r="V956" s="92"/>
      <c r="W956" s="92"/>
      <c r="X956" s="93"/>
      <c r="Y956" s="93"/>
      <c r="Z956" s="93"/>
      <c r="AA956" s="4"/>
      <c r="AB956" s="5"/>
    </row>
    <row r="957" spans="1:28" x14ac:dyDescent="0.2">
      <c r="A957" s="4"/>
      <c r="B957" s="94"/>
      <c r="C957" s="94"/>
      <c r="D957" s="94"/>
      <c r="E957" s="94"/>
      <c r="F957" s="94"/>
      <c r="G957" s="94"/>
      <c r="H957" s="94"/>
      <c r="I957" s="94"/>
      <c r="J957" s="94"/>
      <c r="K957" s="94"/>
      <c r="L957" s="94"/>
      <c r="M957" s="94"/>
      <c r="N957" s="95"/>
      <c r="O957" s="95"/>
      <c r="P957" s="95"/>
      <c r="Q957" s="95"/>
      <c r="R957" s="95"/>
      <c r="S957" s="95"/>
      <c r="T957" s="95"/>
      <c r="U957" s="95"/>
      <c r="V957" s="96"/>
      <c r="W957" s="96"/>
      <c r="X957" s="97"/>
      <c r="Y957" s="97"/>
      <c r="Z957" s="97"/>
      <c r="AA957" s="4"/>
      <c r="AB957" s="5"/>
    </row>
    <row r="958" spans="1:28" x14ac:dyDescent="0.2">
      <c r="A958" s="4"/>
      <c r="B958" s="90"/>
      <c r="C958" s="90"/>
      <c r="D958" s="90"/>
      <c r="E958" s="90"/>
      <c r="F958" s="90"/>
      <c r="G958" s="90"/>
      <c r="H958" s="90"/>
      <c r="I958" s="90"/>
      <c r="J958" s="90"/>
      <c r="K958" s="90"/>
      <c r="L958" s="90"/>
      <c r="M958" s="90"/>
      <c r="N958" s="91"/>
      <c r="O958" s="91"/>
      <c r="P958" s="91"/>
      <c r="Q958" s="91"/>
      <c r="R958" s="91"/>
      <c r="S958" s="91"/>
      <c r="T958" s="91"/>
      <c r="U958" s="91"/>
      <c r="V958" s="92"/>
      <c r="W958" s="92"/>
      <c r="X958" s="93"/>
      <c r="Y958" s="93"/>
      <c r="Z958" s="93"/>
      <c r="AA958" s="4"/>
      <c r="AB958" s="5"/>
    </row>
    <row r="959" spans="1:28" x14ac:dyDescent="0.2">
      <c r="A959" s="4"/>
      <c r="B959" s="94"/>
      <c r="C959" s="94"/>
      <c r="D959" s="94"/>
      <c r="E959" s="94"/>
      <c r="F959" s="94"/>
      <c r="G959" s="94"/>
      <c r="H959" s="94"/>
      <c r="I959" s="94"/>
      <c r="J959" s="94"/>
      <c r="K959" s="94"/>
      <c r="L959" s="94"/>
      <c r="M959" s="94"/>
      <c r="N959" s="95"/>
      <c r="O959" s="95"/>
      <c r="P959" s="95"/>
      <c r="Q959" s="95"/>
      <c r="R959" s="95"/>
      <c r="S959" s="95"/>
      <c r="T959" s="95"/>
      <c r="U959" s="95"/>
      <c r="V959" s="96"/>
      <c r="W959" s="96"/>
      <c r="X959" s="97"/>
      <c r="Y959" s="97"/>
      <c r="Z959" s="97"/>
      <c r="AA959" s="4"/>
      <c r="AB959" s="5"/>
    </row>
    <row r="960" spans="1:28" x14ac:dyDescent="0.2">
      <c r="A960" s="4"/>
      <c r="B960" s="90"/>
      <c r="C960" s="90"/>
      <c r="D960" s="90"/>
      <c r="E960" s="90"/>
      <c r="F960" s="90"/>
      <c r="G960" s="90"/>
      <c r="H960" s="90"/>
      <c r="I960" s="90"/>
      <c r="J960" s="90"/>
      <c r="K960" s="90"/>
      <c r="L960" s="90"/>
      <c r="M960" s="90"/>
      <c r="N960" s="91"/>
      <c r="O960" s="91"/>
      <c r="P960" s="91"/>
      <c r="Q960" s="91"/>
      <c r="R960" s="91"/>
      <c r="S960" s="91"/>
      <c r="T960" s="91"/>
      <c r="U960" s="91"/>
      <c r="V960" s="92"/>
      <c r="W960" s="92"/>
      <c r="X960" s="93"/>
      <c r="Y960" s="93"/>
      <c r="Z960" s="93"/>
      <c r="AA960" s="4"/>
      <c r="AB960" s="5"/>
    </row>
    <row r="961" spans="1:28" x14ac:dyDescent="0.2">
      <c r="A961" s="4"/>
      <c r="B961" s="94"/>
      <c r="C961" s="94"/>
      <c r="D961" s="94"/>
      <c r="E961" s="94"/>
      <c r="F961" s="94"/>
      <c r="G961" s="94"/>
      <c r="H961" s="94"/>
      <c r="I961" s="94"/>
      <c r="J961" s="94"/>
      <c r="K961" s="94"/>
      <c r="L961" s="94"/>
      <c r="M961" s="94"/>
      <c r="N961" s="95"/>
      <c r="O961" s="95"/>
      <c r="P961" s="95"/>
      <c r="Q961" s="95"/>
      <c r="R961" s="95"/>
      <c r="S961" s="95"/>
      <c r="T961" s="95"/>
      <c r="U961" s="95"/>
      <c r="V961" s="96"/>
      <c r="W961" s="96"/>
      <c r="X961" s="97"/>
      <c r="Y961" s="97"/>
      <c r="Z961" s="97"/>
      <c r="AA961" s="4"/>
      <c r="AB961" s="5"/>
    </row>
    <row r="962" spans="1:28" x14ac:dyDescent="0.2">
      <c r="A962" s="4"/>
      <c r="B962" s="90"/>
      <c r="C962" s="90"/>
      <c r="D962" s="90"/>
      <c r="E962" s="90"/>
      <c r="F962" s="90"/>
      <c r="G962" s="90"/>
      <c r="H962" s="90"/>
      <c r="I962" s="90"/>
      <c r="J962" s="90"/>
      <c r="K962" s="90"/>
      <c r="L962" s="90"/>
      <c r="M962" s="90"/>
      <c r="N962" s="91"/>
      <c r="O962" s="91"/>
      <c r="P962" s="91"/>
      <c r="Q962" s="91"/>
      <c r="R962" s="91"/>
      <c r="S962" s="91"/>
      <c r="T962" s="91"/>
      <c r="U962" s="91"/>
      <c r="V962" s="92"/>
      <c r="W962" s="92"/>
      <c r="X962" s="93"/>
      <c r="Y962" s="93"/>
      <c r="Z962" s="93"/>
      <c r="AA962" s="4"/>
      <c r="AB962" s="5"/>
    </row>
    <row r="963" spans="1:28" x14ac:dyDescent="0.2">
      <c r="A963" s="4"/>
      <c r="B963" s="94"/>
      <c r="C963" s="94"/>
      <c r="D963" s="94"/>
      <c r="E963" s="94"/>
      <c r="F963" s="94"/>
      <c r="G963" s="94"/>
      <c r="H963" s="94"/>
      <c r="I963" s="94"/>
      <c r="J963" s="94"/>
      <c r="K963" s="94"/>
      <c r="L963" s="94"/>
      <c r="M963" s="94"/>
      <c r="N963" s="95"/>
      <c r="O963" s="95"/>
      <c r="P963" s="95"/>
      <c r="Q963" s="95"/>
      <c r="R963" s="95"/>
      <c r="S963" s="95"/>
      <c r="T963" s="95"/>
      <c r="U963" s="95"/>
      <c r="V963" s="96"/>
      <c r="W963" s="96"/>
      <c r="X963" s="97"/>
      <c r="Y963" s="97"/>
      <c r="Z963" s="97"/>
      <c r="AA963" s="4"/>
      <c r="AB963" s="5"/>
    </row>
    <row r="964" spans="1:28" x14ac:dyDescent="0.2">
      <c r="A964" s="4"/>
      <c r="B964" s="90"/>
      <c r="C964" s="90"/>
      <c r="D964" s="90"/>
      <c r="E964" s="90"/>
      <c r="F964" s="90"/>
      <c r="G964" s="90"/>
      <c r="H964" s="90"/>
      <c r="I964" s="90"/>
      <c r="J964" s="90"/>
      <c r="K964" s="90"/>
      <c r="L964" s="90"/>
      <c r="M964" s="90"/>
      <c r="N964" s="91"/>
      <c r="O964" s="91"/>
      <c r="P964" s="91"/>
      <c r="Q964" s="91"/>
      <c r="R964" s="91"/>
      <c r="S964" s="91"/>
      <c r="T964" s="91"/>
      <c r="U964" s="91"/>
      <c r="V964" s="92"/>
      <c r="W964" s="92"/>
      <c r="X964" s="93"/>
      <c r="Y964" s="93"/>
      <c r="Z964" s="93"/>
      <c r="AA964" s="4"/>
      <c r="AB964" s="5"/>
    </row>
    <row r="965" spans="1:28" x14ac:dyDescent="0.2">
      <c r="A965" s="4"/>
      <c r="B965" s="94"/>
      <c r="C965" s="94"/>
      <c r="D965" s="94"/>
      <c r="E965" s="94"/>
      <c r="F965" s="94"/>
      <c r="G965" s="94"/>
      <c r="H965" s="94"/>
      <c r="I965" s="94"/>
      <c r="J965" s="94"/>
      <c r="K965" s="94"/>
      <c r="L965" s="94"/>
      <c r="M965" s="94"/>
      <c r="N965" s="95"/>
      <c r="O965" s="95"/>
      <c r="P965" s="95"/>
      <c r="Q965" s="95"/>
      <c r="R965" s="95"/>
      <c r="S965" s="95"/>
      <c r="T965" s="95"/>
      <c r="U965" s="95"/>
      <c r="V965" s="96"/>
      <c r="W965" s="96"/>
      <c r="X965" s="97"/>
      <c r="Y965" s="97"/>
      <c r="Z965" s="97"/>
      <c r="AA965" s="4"/>
      <c r="AB965" s="5"/>
    </row>
    <row r="966" spans="1:28" x14ac:dyDescent="0.2">
      <c r="A966" s="4"/>
      <c r="B966" s="90"/>
      <c r="C966" s="90"/>
      <c r="D966" s="90"/>
      <c r="E966" s="90"/>
      <c r="F966" s="90"/>
      <c r="G966" s="90"/>
      <c r="H966" s="90"/>
      <c r="I966" s="90"/>
      <c r="J966" s="90"/>
      <c r="K966" s="90"/>
      <c r="L966" s="90"/>
      <c r="M966" s="90"/>
      <c r="N966" s="91"/>
      <c r="O966" s="91"/>
      <c r="P966" s="91"/>
      <c r="Q966" s="91"/>
      <c r="R966" s="91"/>
      <c r="S966" s="91"/>
      <c r="T966" s="91"/>
      <c r="U966" s="91"/>
      <c r="V966" s="92"/>
      <c r="W966" s="92"/>
      <c r="X966" s="93"/>
      <c r="Y966" s="93"/>
      <c r="Z966" s="93"/>
      <c r="AA966" s="4"/>
      <c r="AB966" s="5"/>
    </row>
    <row r="967" spans="1:28" x14ac:dyDescent="0.2">
      <c r="A967" s="4"/>
      <c r="B967" s="94"/>
      <c r="C967" s="94"/>
      <c r="D967" s="94"/>
      <c r="E967" s="94"/>
      <c r="F967" s="94"/>
      <c r="G967" s="94"/>
      <c r="H967" s="94"/>
      <c r="I967" s="94"/>
      <c r="J967" s="94"/>
      <c r="K967" s="94"/>
      <c r="L967" s="94"/>
      <c r="M967" s="94"/>
      <c r="N967" s="95"/>
      <c r="O967" s="95"/>
      <c r="P967" s="95"/>
      <c r="Q967" s="95"/>
      <c r="R967" s="95"/>
      <c r="S967" s="95"/>
      <c r="T967" s="95"/>
      <c r="U967" s="95"/>
      <c r="V967" s="96"/>
      <c r="W967" s="96"/>
      <c r="X967" s="97"/>
      <c r="Y967" s="97"/>
      <c r="Z967" s="97"/>
      <c r="AA967" s="4"/>
      <c r="AB967" s="5"/>
    </row>
    <row r="968" spans="1:28" x14ac:dyDescent="0.2">
      <c r="A968" s="4"/>
      <c r="B968" s="90"/>
      <c r="C968" s="90"/>
      <c r="D968" s="90"/>
      <c r="E968" s="90"/>
      <c r="F968" s="90"/>
      <c r="G968" s="90"/>
      <c r="H968" s="90"/>
      <c r="I968" s="90"/>
      <c r="J968" s="90"/>
      <c r="K968" s="90"/>
      <c r="L968" s="90"/>
      <c r="M968" s="90"/>
      <c r="N968" s="91"/>
      <c r="O968" s="91"/>
      <c r="P968" s="91"/>
      <c r="Q968" s="91"/>
      <c r="R968" s="91"/>
      <c r="S968" s="91"/>
      <c r="T968" s="91"/>
      <c r="U968" s="91"/>
      <c r="V968" s="92"/>
      <c r="W968" s="92"/>
      <c r="X968" s="93"/>
      <c r="Y968" s="93"/>
      <c r="Z968" s="93"/>
      <c r="AA968" s="4"/>
      <c r="AB968" s="5"/>
    </row>
    <row r="969" spans="1:28" x14ac:dyDescent="0.2">
      <c r="A969" s="4"/>
      <c r="B969" s="94"/>
      <c r="C969" s="94"/>
      <c r="D969" s="94"/>
      <c r="E969" s="94"/>
      <c r="F969" s="94"/>
      <c r="G969" s="94"/>
      <c r="H969" s="94"/>
      <c r="I969" s="94"/>
      <c r="J969" s="94"/>
      <c r="K969" s="94"/>
      <c r="L969" s="94"/>
      <c r="M969" s="94"/>
      <c r="N969" s="95"/>
      <c r="O969" s="95"/>
      <c r="P969" s="95"/>
      <c r="Q969" s="95"/>
      <c r="R969" s="95"/>
      <c r="S969" s="95"/>
      <c r="T969" s="95"/>
      <c r="U969" s="95"/>
      <c r="V969" s="96"/>
      <c r="W969" s="96"/>
      <c r="X969" s="97"/>
      <c r="Y969" s="97"/>
      <c r="Z969" s="97"/>
      <c r="AA969" s="4"/>
      <c r="AB969" s="5"/>
    </row>
    <row r="970" spans="1:28" x14ac:dyDescent="0.2">
      <c r="A970" s="4"/>
      <c r="B970" s="90"/>
      <c r="C970" s="90"/>
      <c r="D970" s="90"/>
      <c r="E970" s="90"/>
      <c r="F970" s="90"/>
      <c r="G970" s="90"/>
      <c r="H970" s="90"/>
      <c r="I970" s="90"/>
      <c r="J970" s="90"/>
      <c r="K970" s="90"/>
      <c r="L970" s="90"/>
      <c r="M970" s="90"/>
      <c r="N970" s="91"/>
      <c r="O970" s="91"/>
      <c r="P970" s="91"/>
      <c r="Q970" s="91"/>
      <c r="R970" s="91"/>
      <c r="S970" s="91"/>
      <c r="T970" s="91"/>
      <c r="U970" s="91"/>
      <c r="V970" s="92"/>
      <c r="W970" s="92"/>
      <c r="X970" s="93"/>
      <c r="Y970" s="93"/>
      <c r="Z970" s="93"/>
      <c r="AA970" s="4"/>
      <c r="AB970" s="5"/>
    </row>
    <row r="971" spans="1:28" x14ac:dyDescent="0.2">
      <c r="A971" s="4"/>
      <c r="B971" s="94"/>
      <c r="C971" s="94"/>
      <c r="D971" s="94"/>
      <c r="E971" s="94"/>
      <c r="F971" s="94"/>
      <c r="G971" s="94"/>
      <c r="H971" s="94"/>
      <c r="I971" s="94"/>
      <c r="J971" s="94"/>
      <c r="K971" s="94"/>
      <c r="L971" s="94"/>
      <c r="M971" s="94"/>
      <c r="N971" s="95"/>
      <c r="O971" s="95"/>
      <c r="P971" s="95"/>
      <c r="Q971" s="95"/>
      <c r="R971" s="95"/>
      <c r="S971" s="95"/>
      <c r="T971" s="95"/>
      <c r="U971" s="95"/>
      <c r="V971" s="96"/>
      <c r="W971" s="96"/>
      <c r="X971" s="97"/>
      <c r="Y971" s="97"/>
      <c r="Z971" s="97"/>
      <c r="AA971" s="4"/>
      <c r="AB971" s="5"/>
    </row>
    <row r="972" spans="1:28" x14ac:dyDescent="0.2">
      <c r="A972" s="4"/>
      <c r="B972" s="90"/>
      <c r="C972" s="90"/>
      <c r="D972" s="90"/>
      <c r="E972" s="90"/>
      <c r="F972" s="90"/>
      <c r="G972" s="90"/>
      <c r="H972" s="90"/>
      <c r="I972" s="90"/>
      <c r="J972" s="90"/>
      <c r="K972" s="90"/>
      <c r="L972" s="90"/>
      <c r="M972" s="90"/>
      <c r="N972" s="91"/>
      <c r="O972" s="91"/>
      <c r="P972" s="91"/>
      <c r="Q972" s="91"/>
      <c r="R972" s="91"/>
      <c r="S972" s="91"/>
      <c r="T972" s="91"/>
      <c r="U972" s="91"/>
      <c r="V972" s="92"/>
      <c r="W972" s="92"/>
      <c r="X972" s="93"/>
      <c r="Y972" s="93"/>
      <c r="Z972" s="93"/>
      <c r="AA972" s="4"/>
      <c r="AB972" s="5"/>
    </row>
    <row r="973" spans="1:28" x14ac:dyDescent="0.2">
      <c r="A973" s="4"/>
      <c r="B973" s="94"/>
      <c r="C973" s="94"/>
      <c r="D973" s="94"/>
      <c r="E973" s="94"/>
      <c r="F973" s="94"/>
      <c r="G973" s="94"/>
      <c r="H973" s="94"/>
      <c r="I973" s="94"/>
      <c r="J973" s="94"/>
      <c r="K973" s="94"/>
      <c r="L973" s="94"/>
      <c r="M973" s="94"/>
      <c r="N973" s="95"/>
      <c r="O973" s="95"/>
      <c r="P973" s="95"/>
      <c r="Q973" s="95"/>
      <c r="R973" s="95"/>
      <c r="S973" s="95"/>
      <c r="T973" s="95"/>
      <c r="U973" s="95"/>
      <c r="V973" s="96"/>
      <c r="W973" s="96"/>
      <c r="X973" s="97"/>
      <c r="Y973" s="97"/>
      <c r="Z973" s="97"/>
      <c r="AA973" s="4"/>
      <c r="AB973" s="5"/>
    </row>
    <row r="974" spans="1:28" x14ac:dyDescent="0.2">
      <c r="A974" s="4"/>
      <c r="B974" s="90"/>
      <c r="C974" s="90"/>
      <c r="D974" s="90"/>
      <c r="E974" s="90"/>
      <c r="F974" s="90"/>
      <c r="G974" s="90"/>
      <c r="H974" s="90"/>
      <c r="I974" s="90"/>
      <c r="J974" s="90"/>
      <c r="K974" s="90"/>
      <c r="L974" s="90"/>
      <c r="M974" s="90"/>
      <c r="N974" s="91"/>
      <c r="O974" s="91"/>
      <c r="P974" s="91"/>
      <c r="Q974" s="91"/>
      <c r="R974" s="91"/>
      <c r="S974" s="91"/>
      <c r="T974" s="91"/>
      <c r="U974" s="91"/>
      <c r="V974" s="92"/>
      <c r="W974" s="92"/>
      <c r="X974" s="93"/>
      <c r="Y974" s="93"/>
      <c r="Z974" s="93"/>
      <c r="AA974" s="4"/>
      <c r="AB974" s="5"/>
    </row>
    <row r="975" spans="1:28" x14ac:dyDescent="0.2">
      <c r="A975" s="4"/>
      <c r="B975" s="94"/>
      <c r="C975" s="94"/>
      <c r="D975" s="94"/>
      <c r="E975" s="94"/>
      <c r="F975" s="94"/>
      <c r="G975" s="94"/>
      <c r="H975" s="94"/>
      <c r="I975" s="94"/>
      <c r="J975" s="94"/>
      <c r="K975" s="94"/>
      <c r="L975" s="94"/>
      <c r="M975" s="94"/>
      <c r="N975" s="95"/>
      <c r="O975" s="95"/>
      <c r="P975" s="95"/>
      <c r="Q975" s="95"/>
      <c r="R975" s="95"/>
      <c r="S975" s="95"/>
      <c r="T975" s="95"/>
      <c r="U975" s="95"/>
      <c r="V975" s="96"/>
      <c r="W975" s="96"/>
      <c r="X975" s="97"/>
      <c r="Y975" s="97"/>
      <c r="Z975" s="97"/>
      <c r="AA975" s="4"/>
      <c r="AB975" s="5"/>
    </row>
    <row r="976" spans="1:28" x14ac:dyDescent="0.2">
      <c r="A976" s="4"/>
      <c r="B976" s="90"/>
      <c r="C976" s="90"/>
      <c r="D976" s="90"/>
      <c r="E976" s="90"/>
      <c r="F976" s="90"/>
      <c r="G976" s="90"/>
      <c r="H976" s="90"/>
      <c r="I976" s="90"/>
      <c r="J976" s="90"/>
      <c r="K976" s="90"/>
      <c r="L976" s="90"/>
      <c r="M976" s="90"/>
      <c r="N976" s="91"/>
      <c r="O976" s="91"/>
      <c r="P976" s="91"/>
      <c r="Q976" s="91"/>
      <c r="R976" s="91"/>
      <c r="S976" s="91"/>
      <c r="T976" s="91"/>
      <c r="U976" s="91"/>
      <c r="V976" s="92"/>
      <c r="W976" s="92"/>
      <c r="X976" s="93"/>
      <c r="Y976" s="93"/>
      <c r="Z976" s="93"/>
      <c r="AA976" s="4"/>
      <c r="AB976" s="5"/>
    </row>
    <row r="977" spans="1:28" x14ac:dyDescent="0.2">
      <c r="A977" s="4"/>
      <c r="B977" s="94"/>
      <c r="C977" s="94"/>
      <c r="D977" s="94"/>
      <c r="E977" s="94"/>
      <c r="F977" s="94"/>
      <c r="G977" s="94"/>
      <c r="H977" s="94"/>
      <c r="I977" s="94"/>
      <c r="J977" s="94"/>
      <c r="K977" s="94"/>
      <c r="L977" s="94"/>
      <c r="M977" s="94"/>
      <c r="N977" s="95"/>
      <c r="O977" s="95"/>
      <c r="P977" s="95"/>
      <c r="Q977" s="95"/>
      <c r="R977" s="95"/>
      <c r="S977" s="95"/>
      <c r="T977" s="95"/>
      <c r="U977" s="95"/>
      <c r="V977" s="96"/>
      <c r="W977" s="96"/>
      <c r="X977" s="97"/>
      <c r="Y977" s="97"/>
      <c r="Z977" s="97"/>
      <c r="AA977" s="4"/>
      <c r="AB977" s="5"/>
    </row>
    <row r="978" spans="1:28" x14ac:dyDescent="0.2">
      <c r="A978" s="4"/>
      <c r="B978" s="90"/>
      <c r="C978" s="90"/>
      <c r="D978" s="90"/>
      <c r="E978" s="90"/>
      <c r="F978" s="90"/>
      <c r="G978" s="90"/>
      <c r="H978" s="90"/>
      <c r="I978" s="90"/>
      <c r="J978" s="90"/>
      <c r="K978" s="90"/>
      <c r="L978" s="90"/>
      <c r="M978" s="90"/>
      <c r="N978" s="91"/>
      <c r="O978" s="91"/>
      <c r="P978" s="91"/>
      <c r="Q978" s="91"/>
      <c r="R978" s="91"/>
      <c r="S978" s="91"/>
      <c r="T978" s="91"/>
      <c r="U978" s="91"/>
      <c r="V978" s="92"/>
      <c r="W978" s="92"/>
      <c r="X978" s="93"/>
      <c r="Y978" s="93"/>
      <c r="Z978" s="93"/>
      <c r="AA978" s="4"/>
      <c r="AB978" s="5"/>
    </row>
    <row r="979" spans="1:28" x14ac:dyDescent="0.2">
      <c r="A979" s="4"/>
      <c r="B979" s="94"/>
      <c r="C979" s="94"/>
      <c r="D979" s="94"/>
      <c r="E979" s="94"/>
      <c r="F979" s="94"/>
      <c r="G979" s="94"/>
      <c r="H979" s="94"/>
      <c r="I979" s="94"/>
      <c r="J979" s="94"/>
      <c r="K979" s="94"/>
      <c r="L979" s="94"/>
      <c r="M979" s="94"/>
      <c r="N979" s="95"/>
      <c r="O979" s="95"/>
      <c r="P979" s="95"/>
      <c r="Q979" s="95"/>
      <c r="R979" s="95"/>
      <c r="S979" s="95"/>
      <c r="T979" s="95"/>
      <c r="U979" s="95"/>
      <c r="V979" s="96"/>
      <c r="W979" s="96"/>
      <c r="X979" s="97"/>
      <c r="Y979" s="97"/>
      <c r="Z979" s="97"/>
      <c r="AA979" s="4"/>
      <c r="AB979" s="5"/>
    </row>
    <row r="980" spans="1:28" x14ac:dyDescent="0.2">
      <c r="A980" s="4"/>
      <c r="B980" s="90"/>
      <c r="C980" s="90"/>
      <c r="D980" s="90"/>
      <c r="E980" s="90"/>
      <c r="F980" s="90"/>
      <c r="G980" s="90"/>
      <c r="H980" s="90"/>
      <c r="I980" s="90"/>
      <c r="J980" s="90"/>
      <c r="K980" s="90"/>
      <c r="L980" s="90"/>
      <c r="M980" s="90"/>
      <c r="N980" s="91"/>
      <c r="O980" s="91"/>
      <c r="P980" s="91"/>
      <c r="Q980" s="91"/>
      <c r="R980" s="91"/>
      <c r="S980" s="91"/>
      <c r="T980" s="91"/>
      <c r="U980" s="91"/>
      <c r="V980" s="92"/>
      <c r="W980" s="92"/>
      <c r="X980" s="93"/>
      <c r="Y980" s="93"/>
      <c r="Z980" s="93"/>
      <c r="AA980" s="4"/>
      <c r="AB980" s="5"/>
    </row>
    <row r="981" spans="1:28" x14ac:dyDescent="0.2">
      <c r="A981" s="4"/>
      <c r="B981" s="94"/>
      <c r="C981" s="94"/>
      <c r="D981" s="94"/>
      <c r="E981" s="94"/>
      <c r="F981" s="94"/>
      <c r="G981" s="94"/>
      <c r="H981" s="94"/>
      <c r="I981" s="94"/>
      <c r="J981" s="94"/>
      <c r="K981" s="94"/>
      <c r="L981" s="94"/>
      <c r="M981" s="94"/>
      <c r="N981" s="95"/>
      <c r="O981" s="95"/>
      <c r="P981" s="95"/>
      <c r="Q981" s="95"/>
      <c r="R981" s="95"/>
      <c r="S981" s="95"/>
      <c r="T981" s="95"/>
      <c r="U981" s="95"/>
      <c r="V981" s="96"/>
      <c r="W981" s="96"/>
      <c r="X981" s="97"/>
      <c r="Y981" s="97"/>
      <c r="Z981" s="97"/>
      <c r="AA981" s="4"/>
      <c r="AB981" s="5"/>
    </row>
    <row r="982" spans="1:28" x14ac:dyDescent="0.2">
      <c r="A982" s="4"/>
      <c r="B982" s="90"/>
      <c r="C982" s="90"/>
      <c r="D982" s="90"/>
      <c r="E982" s="90"/>
      <c r="F982" s="90"/>
      <c r="G982" s="90"/>
      <c r="H982" s="90"/>
      <c r="I982" s="90"/>
      <c r="J982" s="90"/>
      <c r="K982" s="90"/>
      <c r="L982" s="90"/>
      <c r="M982" s="90"/>
      <c r="N982" s="91"/>
      <c r="O982" s="91"/>
      <c r="P982" s="91"/>
      <c r="Q982" s="91"/>
      <c r="R982" s="91"/>
      <c r="S982" s="91"/>
      <c r="T982" s="91"/>
      <c r="U982" s="91"/>
      <c r="V982" s="92"/>
      <c r="W982" s="92"/>
      <c r="X982" s="93"/>
      <c r="Y982" s="93"/>
      <c r="Z982" s="93"/>
      <c r="AA982" s="4"/>
      <c r="AB982" s="5"/>
    </row>
    <row r="983" spans="1:28" x14ac:dyDescent="0.2">
      <c r="A983" s="4"/>
      <c r="B983" s="94"/>
      <c r="C983" s="94"/>
      <c r="D983" s="94"/>
      <c r="E983" s="94"/>
      <c r="F983" s="94"/>
      <c r="G983" s="94"/>
      <c r="H983" s="94"/>
      <c r="I983" s="94"/>
      <c r="J983" s="94"/>
      <c r="K983" s="94"/>
      <c r="L983" s="94"/>
      <c r="M983" s="94"/>
      <c r="N983" s="95"/>
      <c r="O983" s="95"/>
      <c r="P983" s="95"/>
      <c r="Q983" s="95"/>
      <c r="R983" s="95"/>
      <c r="S983" s="95"/>
      <c r="T983" s="95"/>
      <c r="U983" s="95"/>
      <c r="V983" s="96"/>
      <c r="W983" s="96"/>
      <c r="X983" s="97"/>
      <c r="Y983" s="97"/>
      <c r="Z983" s="97"/>
      <c r="AA983" s="4"/>
      <c r="AB983" s="5"/>
    </row>
    <row r="984" spans="1:28" x14ac:dyDescent="0.2">
      <c r="A984" s="4"/>
      <c r="B984" s="90"/>
      <c r="C984" s="90"/>
      <c r="D984" s="90"/>
      <c r="E984" s="90"/>
      <c r="F984" s="90"/>
      <c r="G984" s="90"/>
      <c r="H984" s="90"/>
      <c r="I984" s="90"/>
      <c r="J984" s="90"/>
      <c r="K984" s="90"/>
      <c r="L984" s="90"/>
      <c r="M984" s="90"/>
      <c r="N984" s="91"/>
      <c r="O984" s="91"/>
      <c r="P984" s="91"/>
      <c r="Q984" s="91"/>
      <c r="R984" s="91"/>
      <c r="S984" s="91"/>
      <c r="T984" s="91"/>
      <c r="U984" s="91"/>
      <c r="V984" s="92"/>
      <c r="W984" s="92"/>
      <c r="X984" s="93"/>
      <c r="Y984" s="93"/>
      <c r="Z984" s="93"/>
      <c r="AA984" s="4"/>
      <c r="AB984" s="5"/>
    </row>
    <row r="985" spans="1:28" x14ac:dyDescent="0.2">
      <c r="A985" s="4"/>
      <c r="B985" s="94"/>
      <c r="C985" s="94"/>
      <c r="D985" s="94"/>
      <c r="E985" s="94"/>
      <c r="F985" s="94"/>
      <c r="G985" s="94"/>
      <c r="H985" s="94"/>
      <c r="I985" s="94"/>
      <c r="J985" s="94"/>
      <c r="K985" s="94"/>
      <c r="L985" s="94"/>
      <c r="M985" s="94"/>
      <c r="N985" s="95"/>
      <c r="O985" s="95"/>
      <c r="P985" s="95"/>
      <c r="Q985" s="95"/>
      <c r="R985" s="95"/>
      <c r="S985" s="95"/>
      <c r="T985" s="95"/>
      <c r="U985" s="95"/>
      <c r="V985" s="96"/>
      <c r="W985" s="96"/>
      <c r="X985" s="97"/>
      <c r="Y985" s="97"/>
      <c r="Z985" s="97"/>
      <c r="AA985" s="4"/>
      <c r="AB985" s="5"/>
    </row>
    <row r="986" spans="1:28" x14ac:dyDescent="0.2">
      <c r="A986" s="4"/>
      <c r="B986" s="90"/>
      <c r="C986" s="90"/>
      <c r="D986" s="90"/>
      <c r="E986" s="90"/>
      <c r="F986" s="90"/>
      <c r="G986" s="90"/>
      <c r="H986" s="90"/>
      <c r="I986" s="90"/>
      <c r="J986" s="90"/>
      <c r="K986" s="90"/>
      <c r="L986" s="90"/>
      <c r="M986" s="90"/>
      <c r="N986" s="91"/>
      <c r="O986" s="91"/>
      <c r="P986" s="91"/>
      <c r="Q986" s="91"/>
      <c r="R986" s="91"/>
      <c r="S986" s="91"/>
      <c r="T986" s="91"/>
      <c r="U986" s="91"/>
      <c r="V986" s="92"/>
      <c r="W986" s="92"/>
      <c r="X986" s="93"/>
      <c r="Y986" s="93"/>
      <c r="Z986" s="93"/>
      <c r="AA986" s="4"/>
      <c r="AB986" s="5"/>
    </row>
    <row r="987" spans="1:28" x14ac:dyDescent="0.2">
      <c r="A987" s="4"/>
      <c r="B987" s="94"/>
      <c r="C987" s="94"/>
      <c r="D987" s="94"/>
      <c r="E987" s="94"/>
      <c r="F987" s="94"/>
      <c r="G987" s="94"/>
      <c r="H987" s="94"/>
      <c r="I987" s="94"/>
      <c r="J987" s="94"/>
      <c r="K987" s="94"/>
      <c r="L987" s="94"/>
      <c r="M987" s="94"/>
      <c r="N987" s="95"/>
      <c r="O987" s="95"/>
      <c r="P987" s="95"/>
      <c r="Q987" s="95"/>
      <c r="R987" s="95"/>
      <c r="S987" s="95"/>
      <c r="T987" s="95"/>
      <c r="U987" s="95"/>
      <c r="V987" s="96"/>
      <c r="W987" s="96"/>
      <c r="X987" s="97"/>
      <c r="Y987" s="97"/>
      <c r="Z987" s="97"/>
      <c r="AA987" s="4"/>
      <c r="AB987" s="5"/>
    </row>
    <row r="988" spans="1:28" x14ac:dyDescent="0.2">
      <c r="A988" s="4"/>
      <c r="B988" s="90"/>
      <c r="C988" s="90"/>
      <c r="D988" s="90"/>
      <c r="E988" s="90"/>
      <c r="F988" s="90"/>
      <c r="G988" s="90"/>
      <c r="H988" s="90"/>
      <c r="I988" s="90"/>
      <c r="J988" s="90"/>
      <c r="K988" s="90"/>
      <c r="L988" s="90"/>
      <c r="M988" s="90"/>
      <c r="N988" s="91"/>
      <c r="O988" s="91"/>
      <c r="P988" s="91"/>
      <c r="Q988" s="91"/>
      <c r="R988" s="91"/>
      <c r="S988" s="91"/>
      <c r="T988" s="91"/>
      <c r="U988" s="91"/>
      <c r="V988" s="92"/>
      <c r="W988" s="92"/>
      <c r="X988" s="93"/>
      <c r="Y988" s="93"/>
      <c r="Z988" s="93"/>
      <c r="AA988" s="4"/>
      <c r="AB988" s="5"/>
    </row>
    <row r="989" spans="1:28" x14ac:dyDescent="0.2">
      <c r="A989" s="4"/>
      <c r="B989" s="94"/>
      <c r="C989" s="94"/>
      <c r="D989" s="94"/>
      <c r="E989" s="94"/>
      <c r="F989" s="94"/>
      <c r="G989" s="94"/>
      <c r="H989" s="94"/>
      <c r="I989" s="94"/>
      <c r="J989" s="94"/>
      <c r="K989" s="94"/>
      <c r="L989" s="94"/>
      <c r="M989" s="94"/>
      <c r="N989" s="95"/>
      <c r="O989" s="95"/>
      <c r="P989" s="95"/>
      <c r="Q989" s="95"/>
      <c r="R989" s="95"/>
      <c r="S989" s="95"/>
      <c r="T989" s="95"/>
      <c r="U989" s="95"/>
      <c r="V989" s="96"/>
      <c r="W989" s="96"/>
      <c r="X989" s="97"/>
      <c r="Y989" s="97"/>
      <c r="Z989" s="97"/>
      <c r="AA989" s="4"/>
      <c r="AB989" s="5"/>
    </row>
    <row r="990" spans="1:28" x14ac:dyDescent="0.2">
      <c r="A990" s="4"/>
      <c r="B990" s="90"/>
      <c r="C990" s="90"/>
      <c r="D990" s="90"/>
      <c r="E990" s="90"/>
      <c r="F990" s="90"/>
      <c r="G990" s="90"/>
      <c r="H990" s="90"/>
      <c r="I990" s="90"/>
      <c r="J990" s="90"/>
      <c r="K990" s="90"/>
      <c r="L990" s="90"/>
      <c r="M990" s="90"/>
      <c r="N990" s="91"/>
      <c r="O990" s="91"/>
      <c r="P990" s="91"/>
      <c r="Q990" s="91"/>
      <c r="R990" s="91"/>
      <c r="S990" s="91"/>
      <c r="T990" s="91"/>
      <c r="U990" s="91"/>
      <c r="V990" s="92"/>
      <c r="W990" s="92"/>
      <c r="X990" s="93"/>
      <c r="Y990" s="93"/>
      <c r="Z990" s="93"/>
      <c r="AA990" s="4"/>
      <c r="AB990" s="5"/>
    </row>
    <row r="991" spans="1:28" x14ac:dyDescent="0.2">
      <c r="A991" s="4"/>
      <c r="B991" s="94"/>
      <c r="C991" s="94"/>
      <c r="D991" s="94"/>
      <c r="E991" s="94"/>
      <c r="F991" s="94"/>
      <c r="G991" s="94"/>
      <c r="H991" s="94"/>
      <c r="I991" s="94"/>
      <c r="J991" s="94"/>
      <c r="K991" s="94"/>
      <c r="L991" s="94"/>
      <c r="M991" s="94"/>
      <c r="N991" s="95"/>
      <c r="O991" s="95"/>
      <c r="P991" s="95"/>
      <c r="Q991" s="95"/>
      <c r="R991" s="95"/>
      <c r="S991" s="95"/>
      <c r="T991" s="95"/>
      <c r="U991" s="95"/>
      <c r="V991" s="96"/>
      <c r="W991" s="96"/>
      <c r="X991" s="97"/>
      <c r="Y991" s="97"/>
      <c r="Z991" s="97"/>
      <c r="AA991" s="4"/>
      <c r="AB991" s="5"/>
    </row>
    <row r="992" spans="1:28" x14ac:dyDescent="0.2">
      <c r="A992" s="4"/>
      <c r="B992" s="90"/>
      <c r="C992" s="90"/>
      <c r="D992" s="90"/>
      <c r="E992" s="90"/>
      <c r="F992" s="90"/>
      <c r="G992" s="90"/>
      <c r="H992" s="90"/>
      <c r="I992" s="90"/>
      <c r="J992" s="90"/>
      <c r="K992" s="90"/>
      <c r="L992" s="90"/>
      <c r="M992" s="90"/>
      <c r="N992" s="91"/>
      <c r="O992" s="91"/>
      <c r="P992" s="91"/>
      <c r="Q992" s="91"/>
      <c r="R992" s="91"/>
      <c r="S992" s="91"/>
      <c r="T992" s="91"/>
      <c r="U992" s="91"/>
      <c r="V992" s="92"/>
      <c r="W992" s="92"/>
      <c r="X992" s="93"/>
      <c r="Y992" s="93"/>
      <c r="Z992" s="93"/>
      <c r="AA992" s="4"/>
      <c r="AB992" s="5"/>
    </row>
    <row r="993" spans="1:28" x14ac:dyDescent="0.2">
      <c r="A993" s="4"/>
      <c r="B993" s="94"/>
      <c r="C993" s="94"/>
      <c r="D993" s="94"/>
      <c r="E993" s="94"/>
      <c r="F993" s="94"/>
      <c r="G993" s="94"/>
      <c r="H993" s="94"/>
      <c r="I993" s="94"/>
      <c r="J993" s="94"/>
      <c r="K993" s="94"/>
      <c r="L993" s="94"/>
      <c r="M993" s="94"/>
      <c r="N993" s="95"/>
      <c r="O993" s="95"/>
      <c r="P993" s="95"/>
      <c r="Q993" s="95"/>
      <c r="R993" s="95"/>
      <c r="S993" s="95"/>
      <c r="T993" s="95"/>
      <c r="U993" s="95"/>
      <c r="V993" s="96"/>
      <c r="W993" s="96"/>
      <c r="X993" s="97"/>
      <c r="Y993" s="97"/>
      <c r="Z993" s="97"/>
      <c r="AA993" s="4"/>
      <c r="AB993" s="5"/>
    </row>
    <row r="994" spans="1:28" x14ac:dyDescent="0.2">
      <c r="A994" s="4"/>
      <c r="B994" s="90"/>
      <c r="C994" s="90"/>
      <c r="D994" s="90"/>
      <c r="E994" s="90"/>
      <c r="F994" s="90"/>
      <c r="G994" s="90"/>
      <c r="H994" s="90"/>
      <c r="I994" s="90"/>
      <c r="J994" s="90"/>
      <c r="K994" s="90"/>
      <c r="L994" s="90"/>
      <c r="M994" s="90"/>
      <c r="N994" s="91"/>
      <c r="O994" s="91"/>
      <c r="P994" s="91"/>
      <c r="Q994" s="91"/>
      <c r="R994" s="91"/>
      <c r="S994" s="91"/>
      <c r="T994" s="91"/>
      <c r="U994" s="91"/>
      <c r="V994" s="92"/>
      <c r="W994" s="92"/>
      <c r="X994" s="93"/>
      <c r="Y994" s="93"/>
      <c r="Z994" s="93"/>
      <c r="AA994" s="4"/>
      <c r="AB994" s="5"/>
    </row>
    <row r="995" spans="1:28" x14ac:dyDescent="0.2">
      <c r="A995" s="4"/>
      <c r="B995" s="94"/>
      <c r="C995" s="94"/>
      <c r="D995" s="94"/>
      <c r="E995" s="94"/>
      <c r="F995" s="94"/>
      <c r="G995" s="94"/>
      <c r="H995" s="94"/>
      <c r="I995" s="94"/>
      <c r="J995" s="94"/>
      <c r="K995" s="94"/>
      <c r="L995" s="94"/>
      <c r="M995" s="94"/>
      <c r="N995" s="95"/>
      <c r="O995" s="95"/>
      <c r="P995" s="95"/>
      <c r="Q995" s="95"/>
      <c r="R995" s="95"/>
      <c r="S995" s="95"/>
      <c r="T995" s="95"/>
      <c r="U995" s="95"/>
      <c r="V995" s="96"/>
      <c r="W995" s="96"/>
      <c r="X995" s="97"/>
      <c r="Y995" s="97"/>
      <c r="Z995" s="97"/>
      <c r="AA995" s="4"/>
      <c r="AB995" s="5"/>
    </row>
    <row r="996" spans="1:28" x14ac:dyDescent="0.2">
      <c r="A996" s="4"/>
      <c r="B996" s="90"/>
      <c r="C996" s="90"/>
      <c r="D996" s="90"/>
      <c r="E996" s="90"/>
      <c r="F996" s="90"/>
      <c r="G996" s="90"/>
      <c r="H996" s="90"/>
      <c r="I996" s="90"/>
      <c r="J996" s="90"/>
      <c r="K996" s="90"/>
      <c r="L996" s="90"/>
      <c r="M996" s="90"/>
      <c r="N996" s="91"/>
      <c r="O996" s="91"/>
      <c r="P996" s="91"/>
      <c r="Q996" s="91"/>
      <c r="R996" s="91"/>
      <c r="S996" s="91"/>
      <c r="T996" s="91"/>
      <c r="U996" s="91"/>
      <c r="V996" s="92"/>
      <c r="W996" s="92"/>
      <c r="X996" s="93"/>
      <c r="Y996" s="93"/>
      <c r="Z996" s="93"/>
      <c r="AA996" s="4"/>
      <c r="AB996" s="5"/>
    </row>
    <row r="997" spans="1:28" x14ac:dyDescent="0.2">
      <c r="A997" s="4"/>
      <c r="B997" s="94"/>
      <c r="C997" s="94"/>
      <c r="D997" s="94"/>
      <c r="E997" s="94"/>
      <c r="F997" s="94"/>
      <c r="G997" s="94"/>
      <c r="H997" s="94"/>
      <c r="I997" s="94"/>
      <c r="J997" s="94"/>
      <c r="K997" s="94"/>
      <c r="L997" s="94"/>
      <c r="M997" s="94"/>
      <c r="N997" s="95"/>
      <c r="O997" s="95"/>
      <c r="P997" s="95"/>
      <c r="Q997" s="95"/>
      <c r="R997" s="95"/>
      <c r="S997" s="95"/>
      <c r="T997" s="95"/>
      <c r="U997" s="95"/>
      <c r="V997" s="96"/>
      <c r="W997" s="96"/>
      <c r="X997" s="97"/>
      <c r="Y997" s="97"/>
      <c r="Z997" s="97"/>
      <c r="AA997" s="4"/>
      <c r="AB997" s="5"/>
    </row>
    <row r="998" spans="1:28" x14ac:dyDescent="0.2">
      <c r="A998" s="4"/>
      <c r="B998" s="90"/>
      <c r="C998" s="90"/>
      <c r="D998" s="90"/>
      <c r="E998" s="90"/>
      <c r="F998" s="90"/>
      <c r="G998" s="90"/>
      <c r="H998" s="90"/>
      <c r="I998" s="90"/>
      <c r="J998" s="90"/>
      <c r="K998" s="90"/>
      <c r="L998" s="90"/>
      <c r="M998" s="90"/>
      <c r="N998" s="91"/>
      <c r="O998" s="91"/>
      <c r="P998" s="91"/>
      <c r="Q998" s="91"/>
      <c r="R998" s="91"/>
      <c r="S998" s="91"/>
      <c r="T998" s="91"/>
      <c r="U998" s="91"/>
      <c r="V998" s="92"/>
      <c r="W998" s="92"/>
      <c r="X998" s="93"/>
      <c r="Y998" s="93"/>
      <c r="Z998" s="93"/>
      <c r="AA998" s="4"/>
      <c r="AB998" s="5"/>
    </row>
    <row r="999" spans="1:28" x14ac:dyDescent="0.2">
      <c r="A999" s="4"/>
      <c r="B999" s="94"/>
      <c r="C999" s="94"/>
      <c r="D999" s="94"/>
      <c r="E999" s="94"/>
      <c r="F999" s="94"/>
      <c r="G999" s="94"/>
      <c r="H999" s="94"/>
      <c r="I999" s="94"/>
      <c r="J999" s="94"/>
      <c r="K999" s="94"/>
      <c r="L999" s="94"/>
      <c r="M999" s="94"/>
      <c r="N999" s="95"/>
      <c r="O999" s="95"/>
      <c r="P999" s="95"/>
      <c r="Q999" s="95"/>
      <c r="R999" s="95"/>
      <c r="S999" s="95"/>
      <c r="T999" s="95"/>
      <c r="U999" s="95"/>
      <c r="V999" s="96"/>
      <c r="W999" s="96"/>
      <c r="X999" s="97"/>
      <c r="Y999" s="97"/>
      <c r="Z999" s="97"/>
      <c r="AA999" s="4"/>
      <c r="AB999" s="5"/>
    </row>
    <row r="1000" spans="1:28" x14ac:dyDescent="0.2">
      <c r="A1000" s="4"/>
      <c r="B1000" s="90"/>
      <c r="C1000" s="90"/>
      <c r="D1000" s="90"/>
      <c r="E1000" s="90"/>
      <c r="F1000" s="90"/>
      <c r="G1000" s="90"/>
      <c r="H1000" s="90"/>
      <c r="I1000" s="90"/>
      <c r="J1000" s="90"/>
      <c r="K1000" s="90"/>
      <c r="L1000" s="90"/>
      <c r="M1000" s="90"/>
      <c r="N1000" s="91"/>
      <c r="O1000" s="91"/>
      <c r="P1000" s="91"/>
      <c r="Q1000" s="91"/>
      <c r="R1000" s="91"/>
      <c r="S1000" s="91"/>
      <c r="T1000" s="91"/>
      <c r="U1000" s="91"/>
      <c r="V1000" s="92"/>
      <c r="W1000" s="92"/>
      <c r="X1000" s="93"/>
      <c r="Y1000" s="93"/>
      <c r="Z1000" s="93"/>
      <c r="AA1000" s="4"/>
      <c r="AB1000" s="5"/>
    </row>
    <row r="1001" spans="1:28" x14ac:dyDescent="0.2">
      <c r="A1001" s="4"/>
      <c r="B1001" s="94"/>
      <c r="C1001" s="94"/>
      <c r="D1001" s="94"/>
      <c r="E1001" s="94"/>
      <c r="F1001" s="94"/>
      <c r="G1001" s="94"/>
      <c r="H1001" s="94"/>
      <c r="I1001" s="94"/>
      <c r="J1001" s="94"/>
      <c r="K1001" s="94"/>
      <c r="L1001" s="94"/>
      <c r="M1001" s="94"/>
      <c r="N1001" s="95"/>
      <c r="O1001" s="95"/>
      <c r="P1001" s="95"/>
      <c r="Q1001" s="95"/>
      <c r="R1001" s="95"/>
      <c r="S1001" s="95"/>
      <c r="T1001" s="95"/>
      <c r="U1001" s="95"/>
      <c r="V1001" s="96"/>
      <c r="W1001" s="96"/>
      <c r="X1001" s="97"/>
      <c r="Y1001" s="97"/>
      <c r="Z1001" s="97"/>
      <c r="AA1001" s="4"/>
      <c r="AB1001" s="5"/>
    </row>
    <row r="1002" spans="1:28" x14ac:dyDescent="0.2">
      <c r="A1002" s="4"/>
      <c r="B1002" s="90"/>
      <c r="C1002" s="90"/>
      <c r="D1002" s="90"/>
      <c r="E1002" s="90"/>
      <c r="F1002" s="90"/>
      <c r="G1002" s="90"/>
      <c r="H1002" s="90"/>
      <c r="I1002" s="90"/>
      <c r="J1002" s="90"/>
      <c r="K1002" s="90"/>
      <c r="L1002" s="90"/>
      <c r="M1002" s="90"/>
      <c r="N1002" s="91"/>
      <c r="O1002" s="91"/>
      <c r="P1002" s="91"/>
      <c r="Q1002" s="91"/>
      <c r="R1002" s="91"/>
      <c r="S1002" s="91"/>
      <c r="T1002" s="91"/>
      <c r="U1002" s="91"/>
      <c r="V1002" s="92"/>
      <c r="W1002" s="92"/>
      <c r="X1002" s="93"/>
      <c r="Y1002" s="93"/>
      <c r="Z1002" s="93"/>
      <c r="AA1002" s="4"/>
      <c r="AB1002" s="5"/>
    </row>
    <row r="1003" spans="1:28" x14ac:dyDescent="0.2">
      <c r="A1003" s="4"/>
      <c r="B1003" s="94"/>
      <c r="C1003" s="94"/>
      <c r="D1003" s="94"/>
      <c r="E1003" s="94"/>
      <c r="F1003" s="94"/>
      <c r="G1003" s="94"/>
      <c r="H1003" s="94"/>
      <c r="I1003" s="94"/>
      <c r="J1003" s="94"/>
      <c r="K1003" s="94"/>
      <c r="L1003" s="94"/>
      <c r="M1003" s="94"/>
      <c r="N1003" s="95"/>
      <c r="O1003" s="95"/>
      <c r="P1003" s="95"/>
      <c r="Q1003" s="95"/>
      <c r="R1003" s="95"/>
      <c r="S1003" s="95"/>
      <c r="T1003" s="95"/>
      <c r="U1003" s="95"/>
      <c r="V1003" s="96"/>
      <c r="W1003" s="96"/>
      <c r="X1003" s="97"/>
      <c r="Y1003" s="97"/>
      <c r="Z1003" s="97"/>
      <c r="AA1003" s="4"/>
      <c r="AB1003" s="5"/>
    </row>
    <row r="1004" spans="1:28" x14ac:dyDescent="0.2">
      <c r="A1004" s="4"/>
      <c r="B1004" s="90"/>
      <c r="C1004" s="90"/>
      <c r="D1004" s="90"/>
      <c r="E1004" s="90"/>
      <c r="F1004" s="90"/>
      <c r="G1004" s="90"/>
      <c r="H1004" s="90"/>
      <c r="I1004" s="90"/>
      <c r="J1004" s="90"/>
      <c r="K1004" s="90"/>
      <c r="L1004" s="90"/>
      <c r="M1004" s="90"/>
      <c r="N1004" s="91"/>
      <c r="O1004" s="91"/>
      <c r="P1004" s="91"/>
      <c r="Q1004" s="91"/>
      <c r="R1004" s="91"/>
      <c r="S1004" s="91"/>
      <c r="T1004" s="91"/>
      <c r="U1004" s="91"/>
      <c r="V1004" s="92"/>
      <c r="W1004" s="92"/>
      <c r="X1004" s="93"/>
      <c r="Y1004" s="93"/>
      <c r="Z1004" s="93"/>
      <c r="AA1004" s="4"/>
      <c r="AB1004" s="5"/>
    </row>
    <row r="1005" spans="1:28" x14ac:dyDescent="0.2">
      <c r="A1005" s="4"/>
      <c r="B1005" s="94"/>
      <c r="C1005" s="94"/>
      <c r="D1005" s="94"/>
      <c r="E1005" s="94"/>
      <c r="F1005" s="94"/>
      <c r="G1005" s="94"/>
      <c r="H1005" s="94"/>
      <c r="I1005" s="94"/>
      <c r="J1005" s="94"/>
      <c r="K1005" s="94"/>
      <c r="L1005" s="94"/>
      <c r="M1005" s="94"/>
      <c r="N1005" s="95"/>
      <c r="O1005" s="95"/>
      <c r="P1005" s="95"/>
      <c r="Q1005" s="95"/>
      <c r="R1005" s="95"/>
      <c r="S1005" s="95"/>
      <c r="T1005" s="95"/>
      <c r="U1005" s="95"/>
      <c r="V1005" s="96"/>
      <c r="W1005" s="96"/>
      <c r="X1005" s="97"/>
      <c r="Y1005" s="97"/>
      <c r="Z1005" s="97"/>
      <c r="AA1005" s="4"/>
      <c r="AB1005" s="5"/>
    </row>
    <row r="1006" spans="1:28" x14ac:dyDescent="0.2">
      <c r="A1006" s="4"/>
      <c r="B1006" s="90"/>
      <c r="C1006" s="90"/>
      <c r="D1006" s="90"/>
      <c r="E1006" s="90"/>
      <c r="F1006" s="90"/>
      <c r="G1006" s="90"/>
      <c r="H1006" s="90"/>
      <c r="I1006" s="90"/>
      <c r="J1006" s="90"/>
      <c r="K1006" s="90"/>
      <c r="L1006" s="90"/>
      <c r="M1006" s="90"/>
      <c r="N1006" s="91"/>
      <c r="O1006" s="91"/>
      <c r="P1006" s="91"/>
      <c r="Q1006" s="91"/>
      <c r="R1006" s="91"/>
      <c r="S1006" s="91"/>
      <c r="T1006" s="91"/>
      <c r="U1006" s="91"/>
      <c r="V1006" s="92"/>
      <c r="W1006" s="92"/>
      <c r="X1006" s="93"/>
      <c r="Y1006" s="93"/>
      <c r="Z1006" s="93"/>
      <c r="AA1006" s="4"/>
      <c r="AB1006" s="5"/>
    </row>
    <row r="1007" spans="1:28" x14ac:dyDescent="0.2">
      <c r="A1007" s="4"/>
      <c r="B1007" s="94"/>
      <c r="C1007" s="94"/>
      <c r="D1007" s="94"/>
      <c r="E1007" s="94"/>
      <c r="F1007" s="94"/>
      <c r="G1007" s="94"/>
      <c r="H1007" s="94"/>
      <c r="I1007" s="94"/>
      <c r="J1007" s="94"/>
      <c r="K1007" s="94"/>
      <c r="L1007" s="94"/>
      <c r="M1007" s="94"/>
      <c r="N1007" s="95"/>
      <c r="O1007" s="95"/>
      <c r="P1007" s="95"/>
      <c r="Q1007" s="95"/>
      <c r="R1007" s="95"/>
      <c r="S1007" s="95"/>
      <c r="T1007" s="95"/>
      <c r="U1007" s="95"/>
      <c r="V1007" s="96"/>
      <c r="W1007" s="96"/>
      <c r="X1007" s="97"/>
      <c r="Y1007" s="97"/>
      <c r="Z1007" s="97"/>
      <c r="AA1007" s="4"/>
      <c r="AB1007" s="5"/>
    </row>
    <row r="1008" spans="1:28" x14ac:dyDescent="0.2">
      <c r="A1008" s="4"/>
      <c r="B1008" s="90"/>
      <c r="C1008" s="90"/>
      <c r="D1008" s="90"/>
      <c r="E1008" s="90"/>
      <c r="F1008" s="90"/>
      <c r="G1008" s="90"/>
      <c r="H1008" s="90"/>
      <c r="I1008" s="90"/>
      <c r="J1008" s="90"/>
      <c r="K1008" s="90"/>
      <c r="L1008" s="90"/>
      <c r="M1008" s="90"/>
      <c r="N1008" s="91"/>
      <c r="O1008" s="91"/>
      <c r="P1008" s="91"/>
      <c r="Q1008" s="91"/>
      <c r="R1008" s="91"/>
      <c r="S1008" s="91"/>
      <c r="T1008" s="91"/>
      <c r="U1008" s="91"/>
      <c r="V1008" s="92"/>
      <c r="W1008" s="92"/>
      <c r="X1008" s="93"/>
      <c r="Y1008" s="93"/>
      <c r="Z1008" s="93"/>
      <c r="AA1008" s="4"/>
      <c r="AB1008" s="5"/>
    </row>
    <row r="1009" spans="1:28" x14ac:dyDescent="0.2">
      <c r="A1009" s="4"/>
      <c r="B1009" s="94"/>
      <c r="C1009" s="94"/>
      <c r="D1009" s="94"/>
      <c r="E1009" s="94"/>
      <c r="F1009" s="94"/>
      <c r="G1009" s="94"/>
      <c r="H1009" s="94"/>
      <c r="I1009" s="94"/>
      <c r="J1009" s="94"/>
      <c r="K1009" s="94"/>
      <c r="L1009" s="94"/>
      <c r="M1009" s="94"/>
      <c r="N1009" s="95"/>
      <c r="O1009" s="95"/>
      <c r="P1009" s="95"/>
      <c r="Q1009" s="95"/>
      <c r="R1009" s="95"/>
      <c r="S1009" s="95"/>
      <c r="T1009" s="95"/>
      <c r="U1009" s="95"/>
      <c r="V1009" s="96"/>
      <c r="W1009" s="96"/>
      <c r="X1009" s="97"/>
      <c r="Y1009" s="97"/>
      <c r="Z1009" s="97"/>
      <c r="AA1009" s="4"/>
      <c r="AB1009" s="5"/>
    </row>
    <row r="1010" spans="1:28" x14ac:dyDescent="0.2">
      <c r="A1010" s="4"/>
      <c r="B1010" s="90"/>
      <c r="C1010" s="90"/>
      <c r="D1010" s="90"/>
      <c r="E1010" s="90"/>
      <c r="F1010" s="90"/>
      <c r="G1010" s="90"/>
      <c r="H1010" s="90"/>
      <c r="I1010" s="90"/>
      <c r="J1010" s="90"/>
      <c r="K1010" s="90"/>
      <c r="L1010" s="90"/>
      <c r="M1010" s="90"/>
      <c r="N1010" s="91"/>
      <c r="O1010" s="91"/>
      <c r="P1010" s="91"/>
      <c r="Q1010" s="91"/>
      <c r="R1010" s="91"/>
      <c r="S1010" s="91"/>
      <c r="T1010" s="91"/>
      <c r="U1010" s="91"/>
      <c r="V1010" s="92"/>
      <c r="W1010" s="92"/>
      <c r="X1010" s="93"/>
      <c r="Y1010" s="93"/>
      <c r="Z1010" s="93"/>
      <c r="AA1010" s="4"/>
      <c r="AB1010" s="5"/>
    </row>
    <row r="1011" spans="1:28" x14ac:dyDescent="0.2">
      <c r="A1011" s="4"/>
      <c r="B1011" s="94"/>
      <c r="C1011" s="94"/>
      <c r="D1011" s="94"/>
      <c r="E1011" s="94"/>
      <c r="F1011" s="94"/>
      <c r="G1011" s="94"/>
      <c r="H1011" s="94"/>
      <c r="I1011" s="94"/>
      <c r="J1011" s="94"/>
      <c r="K1011" s="94"/>
      <c r="L1011" s="94"/>
      <c r="M1011" s="94"/>
      <c r="N1011" s="95"/>
      <c r="O1011" s="95"/>
      <c r="P1011" s="95"/>
      <c r="Q1011" s="95"/>
      <c r="R1011" s="95"/>
      <c r="S1011" s="95"/>
      <c r="T1011" s="95"/>
      <c r="U1011" s="95"/>
      <c r="V1011" s="96"/>
      <c r="W1011" s="96"/>
      <c r="X1011" s="97"/>
      <c r="Y1011" s="97"/>
      <c r="Z1011" s="97"/>
      <c r="AA1011" s="4"/>
      <c r="AB1011" s="5"/>
    </row>
    <row r="1012" spans="1:28" x14ac:dyDescent="0.2">
      <c r="A1012" s="4"/>
      <c r="B1012" s="90"/>
      <c r="C1012" s="90"/>
      <c r="D1012" s="90"/>
      <c r="E1012" s="90"/>
      <c r="F1012" s="90"/>
      <c r="G1012" s="90"/>
      <c r="H1012" s="90"/>
      <c r="I1012" s="90"/>
      <c r="J1012" s="90"/>
      <c r="K1012" s="90"/>
      <c r="L1012" s="90"/>
      <c r="M1012" s="90"/>
      <c r="N1012" s="91"/>
      <c r="O1012" s="91"/>
      <c r="P1012" s="91"/>
      <c r="Q1012" s="91"/>
      <c r="R1012" s="91"/>
      <c r="S1012" s="91"/>
      <c r="T1012" s="91"/>
      <c r="U1012" s="91"/>
      <c r="V1012" s="92"/>
      <c r="W1012" s="92"/>
      <c r="X1012" s="93"/>
      <c r="Y1012" s="93"/>
      <c r="Z1012" s="93"/>
      <c r="AA1012" s="4"/>
      <c r="AB1012" s="5"/>
    </row>
    <row r="1013" spans="1:28" x14ac:dyDescent="0.2">
      <c r="A1013" s="4"/>
      <c r="B1013" s="94"/>
      <c r="C1013" s="94"/>
      <c r="D1013" s="94"/>
      <c r="E1013" s="94"/>
      <c r="F1013" s="94"/>
      <c r="G1013" s="94"/>
      <c r="H1013" s="94"/>
      <c r="I1013" s="94"/>
      <c r="J1013" s="94"/>
      <c r="K1013" s="94"/>
      <c r="L1013" s="94"/>
      <c r="M1013" s="94"/>
      <c r="N1013" s="95"/>
      <c r="O1013" s="95"/>
      <c r="P1013" s="95"/>
      <c r="Q1013" s="95"/>
      <c r="R1013" s="95"/>
      <c r="S1013" s="95"/>
      <c r="T1013" s="95"/>
      <c r="U1013" s="95"/>
      <c r="V1013" s="96"/>
      <c r="W1013" s="96"/>
      <c r="X1013" s="97"/>
      <c r="Y1013" s="97"/>
      <c r="Z1013" s="97"/>
      <c r="AA1013" s="4"/>
      <c r="AB1013" s="5"/>
    </row>
    <row r="1014" spans="1:28" x14ac:dyDescent="0.2">
      <c r="A1014" s="4"/>
      <c r="B1014" s="90"/>
      <c r="C1014" s="90"/>
      <c r="D1014" s="90"/>
      <c r="E1014" s="90"/>
      <c r="F1014" s="90"/>
      <c r="G1014" s="90"/>
      <c r="H1014" s="90"/>
      <c r="I1014" s="90"/>
      <c r="J1014" s="90"/>
      <c r="K1014" s="90"/>
      <c r="L1014" s="90"/>
      <c r="M1014" s="90"/>
      <c r="N1014" s="91"/>
      <c r="O1014" s="91"/>
      <c r="P1014" s="91"/>
      <c r="Q1014" s="91"/>
      <c r="R1014" s="91"/>
      <c r="S1014" s="91"/>
      <c r="T1014" s="91"/>
      <c r="U1014" s="91"/>
      <c r="V1014" s="92"/>
      <c r="W1014" s="92"/>
      <c r="X1014" s="93"/>
      <c r="Y1014" s="93"/>
      <c r="Z1014" s="93"/>
      <c r="AA1014" s="4"/>
      <c r="AB1014" s="5"/>
    </row>
    <row r="1015" spans="1:28" x14ac:dyDescent="0.2">
      <c r="A1015" s="4"/>
      <c r="B1015" s="94"/>
      <c r="C1015" s="94"/>
      <c r="D1015" s="94"/>
      <c r="E1015" s="94"/>
      <c r="F1015" s="94"/>
      <c r="G1015" s="94"/>
      <c r="H1015" s="94"/>
      <c r="I1015" s="94"/>
      <c r="J1015" s="94"/>
      <c r="K1015" s="94"/>
      <c r="L1015" s="94"/>
      <c r="M1015" s="94"/>
      <c r="N1015" s="95"/>
      <c r="O1015" s="95"/>
      <c r="P1015" s="95"/>
      <c r="Q1015" s="95"/>
      <c r="R1015" s="95"/>
      <c r="S1015" s="95"/>
      <c r="T1015" s="95"/>
      <c r="U1015" s="95"/>
      <c r="V1015" s="96"/>
      <c r="W1015" s="96"/>
      <c r="X1015" s="97"/>
      <c r="Y1015" s="97"/>
      <c r="Z1015" s="97"/>
      <c r="AA1015" s="4"/>
      <c r="AB1015" s="5"/>
    </row>
    <row r="1016" spans="1:28" x14ac:dyDescent="0.2">
      <c r="A1016" s="4"/>
      <c r="B1016" s="90"/>
      <c r="C1016" s="90"/>
      <c r="D1016" s="90"/>
      <c r="E1016" s="90"/>
      <c r="F1016" s="90"/>
      <c r="G1016" s="90"/>
      <c r="H1016" s="90"/>
      <c r="I1016" s="90"/>
      <c r="J1016" s="90"/>
      <c r="K1016" s="90"/>
      <c r="L1016" s="90"/>
      <c r="M1016" s="90"/>
      <c r="N1016" s="91"/>
      <c r="O1016" s="91"/>
      <c r="P1016" s="91"/>
      <c r="Q1016" s="91"/>
      <c r="R1016" s="91"/>
      <c r="S1016" s="91"/>
      <c r="T1016" s="91"/>
      <c r="U1016" s="91"/>
      <c r="V1016" s="92"/>
      <c r="W1016" s="92"/>
      <c r="X1016" s="93"/>
      <c r="Y1016" s="93"/>
      <c r="Z1016" s="93"/>
      <c r="AA1016" s="4"/>
      <c r="AB1016" s="5"/>
    </row>
    <row r="1017" spans="1:28" x14ac:dyDescent="0.2">
      <c r="A1017" s="4"/>
      <c r="B1017" s="94"/>
      <c r="C1017" s="94"/>
      <c r="D1017" s="94"/>
      <c r="E1017" s="94"/>
      <c r="F1017" s="94"/>
      <c r="G1017" s="94"/>
      <c r="H1017" s="94"/>
      <c r="I1017" s="94"/>
      <c r="J1017" s="94"/>
      <c r="K1017" s="94"/>
      <c r="L1017" s="94"/>
      <c r="M1017" s="94"/>
      <c r="N1017" s="95"/>
      <c r="O1017" s="95"/>
      <c r="P1017" s="95"/>
      <c r="Q1017" s="95"/>
      <c r="R1017" s="95"/>
      <c r="S1017" s="95"/>
      <c r="T1017" s="95"/>
      <c r="U1017" s="95"/>
      <c r="V1017" s="96"/>
      <c r="W1017" s="96"/>
      <c r="X1017" s="97"/>
      <c r="Y1017" s="97"/>
      <c r="Z1017" s="97"/>
      <c r="AA1017" s="4"/>
      <c r="AB1017" s="5"/>
    </row>
    <row r="1018" spans="1:28" x14ac:dyDescent="0.2">
      <c r="A1018" s="4"/>
      <c r="B1018" s="90"/>
      <c r="C1018" s="90"/>
      <c r="D1018" s="90"/>
      <c r="E1018" s="90"/>
      <c r="F1018" s="90"/>
      <c r="G1018" s="90"/>
      <c r="H1018" s="90"/>
      <c r="I1018" s="90"/>
      <c r="J1018" s="90"/>
      <c r="K1018" s="90"/>
      <c r="L1018" s="90"/>
      <c r="M1018" s="90"/>
      <c r="N1018" s="91"/>
      <c r="O1018" s="91"/>
      <c r="P1018" s="91"/>
      <c r="Q1018" s="91"/>
      <c r="R1018" s="91"/>
      <c r="S1018" s="91"/>
      <c r="T1018" s="91"/>
      <c r="U1018" s="91"/>
      <c r="V1018" s="92"/>
      <c r="W1018" s="92"/>
      <c r="X1018" s="93"/>
      <c r="Y1018" s="93"/>
      <c r="Z1018" s="93"/>
      <c r="AA1018" s="4"/>
      <c r="AB1018" s="5"/>
    </row>
    <row r="1019" spans="1:28" x14ac:dyDescent="0.2">
      <c r="A1019" s="4"/>
      <c r="B1019" s="94"/>
      <c r="C1019" s="94"/>
      <c r="D1019" s="94"/>
      <c r="E1019" s="94"/>
      <c r="F1019" s="94"/>
      <c r="G1019" s="94"/>
      <c r="H1019" s="94"/>
      <c r="I1019" s="94"/>
      <c r="J1019" s="94"/>
      <c r="K1019" s="94"/>
      <c r="L1019" s="94"/>
      <c r="M1019" s="94"/>
      <c r="N1019" s="95"/>
      <c r="O1019" s="95"/>
      <c r="P1019" s="95"/>
      <c r="Q1019" s="95"/>
      <c r="R1019" s="95"/>
      <c r="S1019" s="95"/>
      <c r="T1019" s="95"/>
      <c r="U1019" s="95"/>
      <c r="V1019" s="96"/>
      <c r="W1019" s="96"/>
      <c r="X1019" s="97"/>
      <c r="Y1019" s="97"/>
      <c r="Z1019" s="97"/>
      <c r="AA1019" s="4"/>
      <c r="AB1019" s="5"/>
    </row>
    <row r="1020" spans="1:28" x14ac:dyDescent="0.2">
      <c r="A1020" s="4"/>
      <c r="B1020" s="90"/>
      <c r="C1020" s="90"/>
      <c r="D1020" s="90"/>
      <c r="E1020" s="90"/>
      <c r="F1020" s="90"/>
      <c r="G1020" s="90"/>
      <c r="H1020" s="90"/>
      <c r="I1020" s="90"/>
      <c r="J1020" s="90"/>
      <c r="K1020" s="90"/>
      <c r="L1020" s="90"/>
      <c r="M1020" s="90"/>
      <c r="N1020" s="91"/>
      <c r="O1020" s="91"/>
      <c r="P1020" s="91"/>
      <c r="Q1020" s="91"/>
      <c r="R1020" s="91"/>
      <c r="S1020" s="91"/>
      <c r="T1020" s="91"/>
      <c r="U1020" s="91"/>
      <c r="V1020" s="92"/>
      <c r="W1020" s="92"/>
      <c r="X1020" s="93"/>
      <c r="Y1020" s="93"/>
      <c r="Z1020" s="93"/>
      <c r="AA1020" s="4"/>
      <c r="AB1020" s="5"/>
    </row>
    <row r="1021" spans="1:28" x14ac:dyDescent="0.2">
      <c r="A1021" s="4"/>
      <c r="B1021" s="94"/>
      <c r="C1021" s="94"/>
      <c r="D1021" s="94"/>
      <c r="E1021" s="94"/>
      <c r="F1021" s="94"/>
      <c r="G1021" s="94"/>
      <c r="H1021" s="94"/>
      <c r="I1021" s="94"/>
      <c r="J1021" s="94"/>
      <c r="K1021" s="94"/>
      <c r="L1021" s="94"/>
      <c r="M1021" s="94"/>
      <c r="N1021" s="95"/>
      <c r="O1021" s="95"/>
      <c r="P1021" s="95"/>
      <c r="Q1021" s="95"/>
      <c r="R1021" s="95"/>
      <c r="S1021" s="95"/>
      <c r="T1021" s="95"/>
      <c r="U1021" s="95"/>
      <c r="V1021" s="96"/>
      <c r="W1021" s="96"/>
      <c r="X1021" s="97"/>
      <c r="Y1021" s="97"/>
      <c r="Z1021" s="97"/>
      <c r="AA1021" s="4"/>
      <c r="AB1021" s="5"/>
    </row>
    <row r="1022" spans="1:28" x14ac:dyDescent="0.2">
      <c r="A1022" s="4"/>
      <c r="B1022" s="90"/>
      <c r="C1022" s="90"/>
      <c r="D1022" s="90"/>
      <c r="E1022" s="90"/>
      <c r="F1022" s="90"/>
      <c r="G1022" s="90"/>
      <c r="H1022" s="90"/>
      <c r="I1022" s="90"/>
      <c r="J1022" s="90"/>
      <c r="K1022" s="90"/>
      <c r="L1022" s="90"/>
      <c r="M1022" s="90"/>
      <c r="N1022" s="91"/>
      <c r="O1022" s="91"/>
      <c r="P1022" s="91"/>
      <c r="Q1022" s="91"/>
      <c r="R1022" s="91"/>
      <c r="S1022" s="91"/>
      <c r="T1022" s="91"/>
      <c r="U1022" s="91"/>
      <c r="V1022" s="92"/>
      <c r="W1022" s="92"/>
      <c r="X1022" s="93"/>
      <c r="Y1022" s="93"/>
      <c r="Z1022" s="93"/>
      <c r="AA1022" s="4"/>
      <c r="AB1022" s="5"/>
    </row>
    <row r="1023" spans="1:28" x14ac:dyDescent="0.2">
      <c r="A1023" s="4"/>
      <c r="B1023" s="94"/>
      <c r="C1023" s="94"/>
      <c r="D1023" s="94"/>
      <c r="E1023" s="94"/>
      <c r="F1023" s="94"/>
      <c r="G1023" s="94"/>
      <c r="H1023" s="94"/>
      <c r="I1023" s="94"/>
      <c r="J1023" s="94"/>
      <c r="K1023" s="94"/>
      <c r="L1023" s="94"/>
      <c r="M1023" s="94"/>
      <c r="N1023" s="95"/>
      <c r="O1023" s="95"/>
      <c r="P1023" s="95"/>
      <c r="Q1023" s="95"/>
      <c r="R1023" s="95"/>
      <c r="S1023" s="95"/>
      <c r="T1023" s="95"/>
      <c r="U1023" s="95"/>
      <c r="V1023" s="96"/>
      <c r="W1023" s="96"/>
      <c r="X1023" s="97"/>
      <c r="Y1023" s="97"/>
      <c r="Z1023" s="97"/>
      <c r="AA1023" s="4"/>
      <c r="AB1023" s="5"/>
    </row>
    <row r="1024" spans="1:28" x14ac:dyDescent="0.2">
      <c r="A1024" s="4"/>
      <c r="B1024" s="90"/>
      <c r="C1024" s="90"/>
      <c r="D1024" s="90"/>
      <c r="E1024" s="90"/>
      <c r="F1024" s="90"/>
      <c r="G1024" s="90"/>
      <c r="H1024" s="90"/>
      <c r="I1024" s="90"/>
      <c r="J1024" s="90"/>
      <c r="K1024" s="90"/>
      <c r="L1024" s="90"/>
      <c r="M1024" s="90"/>
      <c r="N1024" s="91"/>
      <c r="O1024" s="91"/>
      <c r="P1024" s="91"/>
      <c r="Q1024" s="91"/>
      <c r="R1024" s="91"/>
      <c r="S1024" s="91"/>
      <c r="T1024" s="91"/>
      <c r="U1024" s="91"/>
      <c r="V1024" s="92"/>
      <c r="W1024" s="92"/>
      <c r="X1024" s="93"/>
      <c r="Y1024" s="93"/>
      <c r="Z1024" s="93"/>
      <c r="AA1024" s="4"/>
      <c r="AB1024" s="5"/>
    </row>
    <row r="1025" spans="1:28" x14ac:dyDescent="0.2">
      <c r="A1025" s="4"/>
      <c r="B1025" s="94"/>
      <c r="C1025" s="94"/>
      <c r="D1025" s="94"/>
      <c r="E1025" s="94"/>
      <c r="F1025" s="94"/>
      <c r="G1025" s="94"/>
      <c r="H1025" s="94"/>
      <c r="I1025" s="94"/>
      <c r="J1025" s="94"/>
      <c r="K1025" s="94"/>
      <c r="L1025" s="94"/>
      <c r="M1025" s="94"/>
      <c r="N1025" s="95"/>
      <c r="O1025" s="95"/>
      <c r="P1025" s="95"/>
      <c r="Q1025" s="95"/>
      <c r="R1025" s="95"/>
      <c r="S1025" s="95"/>
      <c r="T1025" s="95"/>
      <c r="U1025" s="95"/>
      <c r="V1025" s="96"/>
      <c r="W1025" s="96"/>
      <c r="X1025" s="97"/>
      <c r="Y1025" s="97"/>
      <c r="Z1025" s="97"/>
      <c r="AA1025" s="4"/>
      <c r="AB1025" s="5"/>
    </row>
    <row r="1026" spans="1:28" x14ac:dyDescent="0.2">
      <c r="A1026" s="4"/>
      <c r="B1026" s="90"/>
      <c r="C1026" s="90"/>
      <c r="D1026" s="90"/>
      <c r="E1026" s="90"/>
      <c r="F1026" s="90"/>
      <c r="G1026" s="90"/>
      <c r="H1026" s="90"/>
      <c r="I1026" s="90"/>
      <c r="J1026" s="90"/>
      <c r="K1026" s="90"/>
      <c r="L1026" s="90"/>
      <c r="M1026" s="90"/>
      <c r="N1026" s="91"/>
      <c r="O1026" s="91"/>
      <c r="P1026" s="91"/>
      <c r="Q1026" s="91"/>
      <c r="R1026" s="91"/>
      <c r="S1026" s="91"/>
      <c r="T1026" s="91"/>
      <c r="U1026" s="91"/>
      <c r="V1026" s="92"/>
      <c r="W1026" s="92"/>
      <c r="X1026" s="93"/>
      <c r="Y1026" s="93"/>
      <c r="Z1026" s="93"/>
      <c r="AA1026" s="4"/>
      <c r="AB1026" s="5"/>
    </row>
    <row r="1027" spans="1:28" x14ac:dyDescent="0.2">
      <c r="A1027" s="4"/>
      <c r="B1027" s="94"/>
      <c r="C1027" s="94"/>
      <c r="D1027" s="94"/>
      <c r="E1027" s="94"/>
      <c r="F1027" s="94"/>
      <c r="G1027" s="94"/>
      <c r="H1027" s="94"/>
      <c r="I1027" s="94"/>
      <c r="J1027" s="94"/>
      <c r="K1027" s="94"/>
      <c r="L1027" s="94"/>
      <c r="M1027" s="94"/>
      <c r="N1027" s="95"/>
      <c r="O1027" s="95"/>
      <c r="P1027" s="95"/>
      <c r="Q1027" s="95"/>
      <c r="R1027" s="95"/>
      <c r="S1027" s="95"/>
      <c r="T1027" s="95"/>
      <c r="U1027" s="95"/>
      <c r="V1027" s="96"/>
      <c r="W1027" s="96"/>
      <c r="X1027" s="97"/>
      <c r="Y1027" s="97"/>
      <c r="Z1027" s="97"/>
      <c r="AA1027" s="4"/>
      <c r="AB1027" s="5"/>
    </row>
    <row r="1028" spans="1:28" x14ac:dyDescent="0.2">
      <c r="A1028" s="4"/>
      <c r="B1028" s="90"/>
      <c r="C1028" s="90"/>
      <c r="D1028" s="90"/>
      <c r="E1028" s="90"/>
      <c r="F1028" s="90"/>
      <c r="G1028" s="90"/>
      <c r="H1028" s="90"/>
      <c r="I1028" s="90"/>
      <c r="J1028" s="90"/>
      <c r="K1028" s="90"/>
      <c r="L1028" s="90"/>
      <c r="M1028" s="90"/>
      <c r="N1028" s="91"/>
      <c r="O1028" s="91"/>
      <c r="P1028" s="91"/>
      <c r="Q1028" s="91"/>
      <c r="R1028" s="91"/>
      <c r="S1028" s="91"/>
      <c r="T1028" s="91"/>
      <c r="U1028" s="91"/>
      <c r="V1028" s="92"/>
      <c r="W1028" s="92"/>
      <c r="X1028" s="93"/>
      <c r="Y1028" s="93"/>
      <c r="Z1028" s="93"/>
      <c r="AA1028" s="4"/>
      <c r="AB1028" s="5"/>
    </row>
    <row r="1029" spans="1:28" x14ac:dyDescent="0.2">
      <c r="A1029" s="4"/>
      <c r="B1029" s="94"/>
      <c r="C1029" s="94"/>
      <c r="D1029" s="94"/>
      <c r="E1029" s="94"/>
      <c r="F1029" s="94"/>
      <c r="G1029" s="94"/>
      <c r="H1029" s="94"/>
      <c r="I1029" s="94"/>
      <c r="J1029" s="94"/>
      <c r="K1029" s="94"/>
      <c r="L1029" s="94"/>
      <c r="M1029" s="94"/>
      <c r="N1029" s="95"/>
      <c r="O1029" s="95"/>
      <c r="P1029" s="95"/>
      <c r="Q1029" s="95"/>
      <c r="R1029" s="95"/>
      <c r="S1029" s="95"/>
      <c r="T1029" s="95"/>
      <c r="U1029" s="95"/>
      <c r="V1029" s="96"/>
      <c r="W1029" s="96"/>
      <c r="X1029" s="97"/>
      <c r="Y1029" s="97"/>
      <c r="Z1029" s="97"/>
      <c r="AA1029" s="4"/>
      <c r="AB1029" s="5"/>
    </row>
    <row r="1030" spans="1:28" x14ac:dyDescent="0.2">
      <c r="A1030" s="4"/>
      <c r="B1030" s="90"/>
      <c r="C1030" s="90"/>
      <c r="D1030" s="90"/>
      <c r="E1030" s="90"/>
      <c r="F1030" s="90"/>
      <c r="G1030" s="90"/>
      <c r="H1030" s="90"/>
      <c r="I1030" s="90"/>
      <c r="J1030" s="90"/>
      <c r="K1030" s="90"/>
      <c r="L1030" s="90"/>
      <c r="M1030" s="90"/>
      <c r="N1030" s="91"/>
      <c r="O1030" s="91"/>
      <c r="P1030" s="91"/>
      <c r="Q1030" s="91"/>
      <c r="R1030" s="91"/>
      <c r="S1030" s="91"/>
      <c r="T1030" s="91"/>
      <c r="U1030" s="91"/>
      <c r="V1030" s="92"/>
      <c r="W1030" s="92"/>
      <c r="X1030" s="93"/>
      <c r="Y1030" s="93"/>
      <c r="Z1030" s="93"/>
      <c r="AA1030" s="4"/>
      <c r="AB1030" s="5"/>
    </row>
    <row r="1031" spans="1:28" x14ac:dyDescent="0.2">
      <c r="A1031" s="4"/>
      <c r="B1031" s="94"/>
      <c r="C1031" s="94"/>
      <c r="D1031" s="94"/>
      <c r="E1031" s="94"/>
      <c r="F1031" s="94"/>
      <c r="G1031" s="94"/>
      <c r="H1031" s="94"/>
      <c r="I1031" s="94"/>
      <c r="J1031" s="94"/>
      <c r="K1031" s="94"/>
      <c r="L1031" s="94"/>
      <c r="M1031" s="94"/>
      <c r="N1031" s="95"/>
      <c r="O1031" s="95"/>
      <c r="P1031" s="95"/>
      <c r="Q1031" s="95"/>
      <c r="R1031" s="95"/>
      <c r="S1031" s="95"/>
      <c r="T1031" s="95"/>
      <c r="U1031" s="95"/>
      <c r="V1031" s="96"/>
      <c r="W1031" s="96"/>
      <c r="X1031" s="97"/>
      <c r="Y1031" s="97"/>
      <c r="Z1031" s="97"/>
      <c r="AA1031" s="4"/>
      <c r="AB1031" s="5"/>
    </row>
    <row r="1032" spans="1:28" x14ac:dyDescent="0.2">
      <c r="A1032" s="4"/>
      <c r="B1032" s="90"/>
      <c r="C1032" s="90"/>
      <c r="D1032" s="90"/>
      <c r="E1032" s="90"/>
      <c r="F1032" s="90"/>
      <c r="G1032" s="90"/>
      <c r="H1032" s="90"/>
      <c r="I1032" s="90"/>
      <c r="J1032" s="90"/>
      <c r="K1032" s="90"/>
      <c r="L1032" s="90"/>
      <c r="M1032" s="90"/>
      <c r="N1032" s="91"/>
      <c r="O1032" s="91"/>
      <c r="P1032" s="91"/>
      <c r="Q1032" s="91"/>
      <c r="R1032" s="91"/>
      <c r="S1032" s="91"/>
      <c r="T1032" s="91"/>
      <c r="U1032" s="91"/>
      <c r="V1032" s="92"/>
      <c r="W1032" s="92"/>
      <c r="X1032" s="93"/>
      <c r="Y1032" s="93"/>
      <c r="Z1032" s="93"/>
      <c r="AA1032" s="4"/>
      <c r="AB1032" s="5"/>
    </row>
    <row r="1033" spans="1:28" x14ac:dyDescent="0.2">
      <c r="A1033" s="4"/>
      <c r="B1033" s="94"/>
      <c r="C1033" s="94"/>
      <c r="D1033" s="94"/>
      <c r="E1033" s="94"/>
      <c r="F1033" s="94"/>
      <c r="G1033" s="94"/>
      <c r="H1033" s="94"/>
      <c r="I1033" s="94"/>
      <c r="J1033" s="94"/>
      <c r="K1033" s="94"/>
      <c r="L1033" s="94"/>
      <c r="M1033" s="94"/>
      <c r="N1033" s="95"/>
      <c r="O1033" s="95"/>
      <c r="P1033" s="95"/>
      <c r="Q1033" s="95"/>
      <c r="R1033" s="95"/>
      <c r="S1033" s="95"/>
      <c r="T1033" s="95"/>
      <c r="U1033" s="95"/>
      <c r="V1033" s="96"/>
      <c r="W1033" s="96"/>
      <c r="X1033" s="97"/>
      <c r="Y1033" s="97"/>
      <c r="Z1033" s="97"/>
      <c r="AA1033" s="4"/>
      <c r="AB1033" s="5"/>
    </row>
    <row r="1034" spans="1:28" x14ac:dyDescent="0.2">
      <c r="A1034" s="4"/>
      <c r="B1034" s="90"/>
      <c r="C1034" s="90"/>
      <c r="D1034" s="90"/>
      <c r="E1034" s="90"/>
      <c r="F1034" s="90"/>
      <c r="G1034" s="90"/>
      <c r="H1034" s="90"/>
      <c r="I1034" s="90"/>
      <c r="J1034" s="90"/>
      <c r="K1034" s="90"/>
      <c r="L1034" s="90"/>
      <c r="M1034" s="90"/>
      <c r="N1034" s="91"/>
      <c r="O1034" s="91"/>
      <c r="P1034" s="91"/>
      <c r="Q1034" s="91"/>
      <c r="R1034" s="91"/>
      <c r="S1034" s="91"/>
      <c r="T1034" s="91"/>
      <c r="U1034" s="91"/>
      <c r="V1034" s="92"/>
      <c r="W1034" s="92"/>
      <c r="X1034" s="93"/>
      <c r="Y1034" s="93"/>
      <c r="Z1034" s="93"/>
      <c r="AA1034" s="4"/>
      <c r="AB1034" s="5"/>
    </row>
    <row r="1035" spans="1:28" x14ac:dyDescent="0.2">
      <c r="A1035" s="4"/>
      <c r="B1035" s="94"/>
      <c r="C1035" s="94"/>
      <c r="D1035" s="94"/>
      <c r="E1035" s="94"/>
      <c r="F1035" s="94"/>
      <c r="G1035" s="94"/>
      <c r="H1035" s="94"/>
      <c r="I1035" s="94"/>
      <c r="J1035" s="94"/>
      <c r="K1035" s="94"/>
      <c r="L1035" s="94"/>
      <c r="M1035" s="94"/>
      <c r="N1035" s="95"/>
      <c r="O1035" s="95"/>
      <c r="P1035" s="95"/>
      <c r="Q1035" s="95"/>
      <c r="R1035" s="95"/>
      <c r="S1035" s="95"/>
      <c r="T1035" s="95"/>
      <c r="U1035" s="95"/>
      <c r="V1035" s="96"/>
      <c r="W1035" s="96"/>
      <c r="X1035" s="97"/>
      <c r="Y1035" s="97"/>
      <c r="Z1035" s="97"/>
      <c r="AA1035" s="4"/>
      <c r="AB1035" s="5"/>
    </row>
    <row r="1036" spans="1:28" x14ac:dyDescent="0.2">
      <c r="A1036" s="4"/>
      <c r="B1036" s="90"/>
      <c r="C1036" s="90"/>
      <c r="D1036" s="90"/>
      <c r="E1036" s="90"/>
      <c r="F1036" s="90"/>
      <c r="G1036" s="90"/>
      <c r="H1036" s="90"/>
      <c r="I1036" s="90"/>
      <c r="J1036" s="90"/>
      <c r="K1036" s="90"/>
      <c r="L1036" s="90"/>
      <c r="M1036" s="90"/>
      <c r="N1036" s="91"/>
      <c r="O1036" s="91"/>
      <c r="P1036" s="91"/>
      <c r="Q1036" s="91"/>
      <c r="R1036" s="91"/>
      <c r="S1036" s="91"/>
      <c r="T1036" s="91"/>
      <c r="U1036" s="91"/>
      <c r="V1036" s="92"/>
      <c r="W1036" s="92"/>
      <c r="X1036" s="93"/>
      <c r="Y1036" s="93"/>
      <c r="Z1036" s="93"/>
      <c r="AA1036" s="4"/>
      <c r="AB1036" s="5"/>
    </row>
    <row r="1037" spans="1:28" x14ac:dyDescent="0.2">
      <c r="A1037" s="4"/>
      <c r="B1037" s="94"/>
      <c r="C1037" s="94"/>
      <c r="D1037" s="94"/>
      <c r="E1037" s="94"/>
      <c r="F1037" s="94"/>
      <c r="G1037" s="94"/>
      <c r="H1037" s="94"/>
      <c r="I1037" s="94"/>
      <c r="J1037" s="94"/>
      <c r="K1037" s="94"/>
      <c r="L1037" s="94"/>
      <c r="M1037" s="94"/>
      <c r="N1037" s="95"/>
      <c r="O1037" s="95"/>
      <c r="P1037" s="95"/>
      <c r="Q1037" s="95"/>
      <c r="R1037" s="95"/>
      <c r="S1037" s="95"/>
      <c r="T1037" s="95"/>
      <c r="U1037" s="95"/>
      <c r="V1037" s="96"/>
      <c r="W1037" s="96"/>
      <c r="X1037" s="97"/>
      <c r="Y1037" s="97"/>
      <c r="Z1037" s="97"/>
      <c r="AA1037" s="4"/>
      <c r="AB1037" s="5"/>
    </row>
    <row r="1038" spans="1:28" x14ac:dyDescent="0.2">
      <c r="A1038" s="4"/>
      <c r="B1038" s="90"/>
      <c r="C1038" s="90"/>
      <c r="D1038" s="90"/>
      <c r="E1038" s="90"/>
      <c r="F1038" s="90"/>
      <c r="G1038" s="90"/>
      <c r="H1038" s="90"/>
      <c r="I1038" s="90"/>
      <c r="J1038" s="90"/>
      <c r="K1038" s="90"/>
      <c r="L1038" s="90"/>
      <c r="M1038" s="90"/>
      <c r="N1038" s="91"/>
      <c r="O1038" s="91"/>
      <c r="P1038" s="91"/>
      <c r="Q1038" s="91"/>
      <c r="R1038" s="91"/>
      <c r="S1038" s="91"/>
      <c r="T1038" s="91"/>
      <c r="U1038" s="91"/>
      <c r="V1038" s="92"/>
      <c r="W1038" s="92"/>
      <c r="X1038" s="93"/>
      <c r="Y1038" s="93"/>
      <c r="Z1038" s="93"/>
      <c r="AA1038" s="4"/>
      <c r="AB1038" s="5"/>
    </row>
    <row r="1039" spans="1:28" x14ac:dyDescent="0.2">
      <c r="A1039" s="4"/>
      <c r="B1039" s="94"/>
      <c r="C1039" s="94"/>
      <c r="D1039" s="94"/>
      <c r="E1039" s="94"/>
      <c r="F1039" s="94"/>
      <c r="G1039" s="94"/>
      <c r="H1039" s="94"/>
      <c r="I1039" s="94"/>
      <c r="J1039" s="94"/>
      <c r="K1039" s="94"/>
      <c r="L1039" s="94"/>
      <c r="M1039" s="94"/>
      <c r="N1039" s="95"/>
      <c r="O1039" s="95"/>
      <c r="P1039" s="95"/>
      <c r="Q1039" s="95"/>
      <c r="R1039" s="95"/>
      <c r="S1039" s="95"/>
      <c r="T1039" s="95"/>
      <c r="U1039" s="95"/>
      <c r="V1039" s="96"/>
      <c r="W1039" s="96"/>
      <c r="X1039" s="97"/>
      <c r="Y1039" s="97"/>
      <c r="Z1039" s="97"/>
      <c r="AA1039" s="4"/>
      <c r="AB1039" s="5"/>
    </row>
    <row r="1040" spans="1:28" x14ac:dyDescent="0.2">
      <c r="A1040" s="4"/>
      <c r="B1040" s="90"/>
      <c r="C1040" s="90"/>
      <c r="D1040" s="90"/>
      <c r="E1040" s="90"/>
      <c r="F1040" s="90"/>
      <c r="G1040" s="90"/>
      <c r="H1040" s="90"/>
      <c r="I1040" s="90"/>
      <c r="J1040" s="90"/>
      <c r="K1040" s="90"/>
      <c r="L1040" s="90"/>
      <c r="M1040" s="90"/>
      <c r="N1040" s="91"/>
      <c r="O1040" s="91"/>
      <c r="P1040" s="91"/>
      <c r="Q1040" s="91"/>
      <c r="R1040" s="91"/>
      <c r="S1040" s="91"/>
      <c r="T1040" s="91"/>
      <c r="U1040" s="91"/>
      <c r="V1040" s="92"/>
      <c r="W1040" s="92"/>
      <c r="X1040" s="93"/>
      <c r="Y1040" s="93"/>
      <c r="Z1040" s="93"/>
      <c r="AA1040" s="4"/>
      <c r="AB1040" s="5"/>
    </row>
    <row r="1041" spans="1:28" x14ac:dyDescent="0.2">
      <c r="A1041" s="4"/>
      <c r="B1041" s="94"/>
      <c r="C1041" s="94"/>
      <c r="D1041" s="94"/>
      <c r="E1041" s="94"/>
      <c r="F1041" s="94"/>
      <c r="G1041" s="94"/>
      <c r="H1041" s="94"/>
      <c r="I1041" s="94"/>
      <c r="J1041" s="94"/>
      <c r="K1041" s="94"/>
      <c r="L1041" s="94"/>
      <c r="M1041" s="94"/>
      <c r="N1041" s="95"/>
      <c r="O1041" s="95"/>
      <c r="P1041" s="95"/>
      <c r="Q1041" s="95"/>
      <c r="R1041" s="95"/>
      <c r="S1041" s="95"/>
      <c r="T1041" s="95"/>
      <c r="U1041" s="95"/>
      <c r="V1041" s="96"/>
      <c r="W1041" s="96"/>
      <c r="X1041" s="97"/>
      <c r="Y1041" s="97"/>
      <c r="Z1041" s="97"/>
      <c r="AA1041" s="4"/>
      <c r="AB1041" s="5"/>
    </row>
    <row r="1042" spans="1:28" x14ac:dyDescent="0.2">
      <c r="A1042" s="4"/>
      <c r="B1042" s="90"/>
      <c r="C1042" s="90"/>
      <c r="D1042" s="90"/>
      <c r="E1042" s="90"/>
      <c r="F1042" s="90"/>
      <c r="G1042" s="90"/>
      <c r="H1042" s="90"/>
      <c r="I1042" s="90"/>
      <c r="J1042" s="90"/>
      <c r="K1042" s="90"/>
      <c r="L1042" s="90"/>
      <c r="M1042" s="90"/>
      <c r="N1042" s="91"/>
      <c r="O1042" s="91"/>
      <c r="P1042" s="91"/>
      <c r="Q1042" s="91"/>
      <c r="R1042" s="91"/>
      <c r="S1042" s="91"/>
      <c r="T1042" s="91"/>
      <c r="U1042" s="91"/>
      <c r="V1042" s="92"/>
      <c r="W1042" s="92"/>
      <c r="X1042" s="93"/>
      <c r="Y1042" s="93"/>
      <c r="Z1042" s="93"/>
      <c r="AA1042" s="4"/>
      <c r="AB1042" s="5"/>
    </row>
    <row r="1043" spans="1:28" x14ac:dyDescent="0.2">
      <c r="A1043" s="4"/>
      <c r="B1043" s="94"/>
      <c r="C1043" s="94"/>
      <c r="D1043" s="94"/>
      <c r="E1043" s="94"/>
      <c r="F1043" s="94"/>
      <c r="G1043" s="94"/>
      <c r="H1043" s="94"/>
      <c r="I1043" s="94"/>
      <c r="J1043" s="94"/>
      <c r="K1043" s="94"/>
      <c r="L1043" s="94"/>
      <c r="M1043" s="94"/>
      <c r="N1043" s="95"/>
      <c r="O1043" s="95"/>
      <c r="P1043" s="95"/>
      <c r="Q1043" s="95"/>
      <c r="R1043" s="95"/>
      <c r="S1043" s="95"/>
      <c r="T1043" s="95"/>
      <c r="U1043" s="95"/>
      <c r="V1043" s="96"/>
      <c r="W1043" s="96"/>
      <c r="X1043" s="97"/>
      <c r="Y1043" s="97"/>
      <c r="Z1043" s="97"/>
      <c r="AA1043" s="4"/>
      <c r="AB1043" s="5"/>
    </row>
    <row r="1044" spans="1:28" x14ac:dyDescent="0.2">
      <c r="A1044" s="4"/>
      <c r="B1044" s="90"/>
      <c r="C1044" s="90"/>
      <c r="D1044" s="90"/>
      <c r="E1044" s="90"/>
      <c r="F1044" s="90"/>
      <c r="G1044" s="90"/>
      <c r="H1044" s="90"/>
      <c r="I1044" s="90"/>
      <c r="J1044" s="90"/>
      <c r="K1044" s="90"/>
      <c r="L1044" s="90"/>
      <c r="M1044" s="90"/>
      <c r="N1044" s="91"/>
      <c r="O1044" s="91"/>
      <c r="P1044" s="91"/>
      <c r="Q1044" s="91"/>
      <c r="R1044" s="91"/>
      <c r="S1044" s="91"/>
      <c r="T1044" s="91"/>
      <c r="U1044" s="91"/>
      <c r="V1044" s="92"/>
      <c r="W1044" s="92"/>
      <c r="X1044" s="93"/>
      <c r="Y1044" s="93"/>
      <c r="Z1044" s="93"/>
      <c r="AA1044" s="4"/>
      <c r="AB1044" s="5"/>
    </row>
    <row r="1045" spans="1:28" x14ac:dyDescent="0.2">
      <c r="A1045" s="4"/>
      <c r="B1045" s="94"/>
      <c r="C1045" s="94"/>
      <c r="D1045" s="94"/>
      <c r="E1045" s="94"/>
      <c r="F1045" s="94"/>
      <c r="G1045" s="94"/>
      <c r="H1045" s="94"/>
      <c r="I1045" s="94"/>
      <c r="J1045" s="94"/>
      <c r="K1045" s="94"/>
      <c r="L1045" s="94"/>
      <c r="M1045" s="94"/>
      <c r="N1045" s="95"/>
      <c r="O1045" s="95"/>
      <c r="P1045" s="95"/>
      <c r="Q1045" s="95"/>
      <c r="R1045" s="95"/>
      <c r="S1045" s="95"/>
      <c r="T1045" s="95"/>
      <c r="U1045" s="95"/>
      <c r="V1045" s="96"/>
      <c r="W1045" s="96"/>
      <c r="X1045" s="97"/>
      <c r="Y1045" s="97"/>
      <c r="Z1045" s="97"/>
      <c r="AA1045" s="4"/>
      <c r="AB1045" s="5"/>
    </row>
    <row r="1046" spans="1:28" x14ac:dyDescent="0.2">
      <c r="A1046" s="4"/>
      <c r="B1046" s="90"/>
      <c r="C1046" s="90"/>
      <c r="D1046" s="90"/>
      <c r="E1046" s="90"/>
      <c r="F1046" s="90"/>
      <c r="G1046" s="90"/>
      <c r="H1046" s="90"/>
      <c r="I1046" s="90"/>
      <c r="J1046" s="90"/>
      <c r="K1046" s="90"/>
      <c r="L1046" s="90"/>
      <c r="M1046" s="90"/>
      <c r="N1046" s="91"/>
      <c r="O1046" s="91"/>
      <c r="P1046" s="91"/>
      <c r="Q1046" s="91"/>
      <c r="R1046" s="91"/>
      <c r="S1046" s="91"/>
      <c r="T1046" s="91"/>
      <c r="U1046" s="91"/>
      <c r="V1046" s="92"/>
      <c r="W1046" s="92"/>
      <c r="X1046" s="93"/>
      <c r="Y1046" s="93"/>
      <c r="Z1046" s="93"/>
      <c r="AA1046" s="4"/>
      <c r="AB1046" s="5"/>
    </row>
    <row r="1047" spans="1:28" x14ac:dyDescent="0.2">
      <c r="A1047" s="4"/>
      <c r="B1047" s="94"/>
      <c r="C1047" s="94"/>
      <c r="D1047" s="94"/>
      <c r="E1047" s="94"/>
      <c r="F1047" s="94"/>
      <c r="G1047" s="94"/>
      <c r="H1047" s="94"/>
      <c r="I1047" s="94"/>
      <c r="J1047" s="94"/>
      <c r="K1047" s="94"/>
      <c r="L1047" s="94"/>
      <c r="M1047" s="94"/>
      <c r="N1047" s="95"/>
      <c r="O1047" s="95"/>
      <c r="P1047" s="95"/>
      <c r="Q1047" s="95"/>
      <c r="R1047" s="95"/>
      <c r="S1047" s="95"/>
      <c r="T1047" s="95"/>
      <c r="U1047" s="95"/>
      <c r="V1047" s="96"/>
      <c r="W1047" s="96"/>
      <c r="X1047" s="97"/>
      <c r="Y1047" s="97"/>
      <c r="Z1047" s="97"/>
      <c r="AA1047" s="4"/>
      <c r="AB1047" s="5"/>
    </row>
    <row r="1048" spans="1:28" x14ac:dyDescent="0.2">
      <c r="A1048" s="4"/>
      <c r="B1048" s="90"/>
      <c r="C1048" s="90"/>
      <c r="D1048" s="90"/>
      <c r="E1048" s="90"/>
      <c r="F1048" s="90"/>
      <c r="G1048" s="90"/>
      <c r="H1048" s="90"/>
      <c r="I1048" s="90"/>
      <c r="J1048" s="90"/>
      <c r="K1048" s="90"/>
      <c r="L1048" s="90"/>
      <c r="M1048" s="90"/>
      <c r="N1048" s="91"/>
      <c r="O1048" s="91"/>
      <c r="P1048" s="91"/>
      <c r="Q1048" s="91"/>
      <c r="R1048" s="91"/>
      <c r="S1048" s="91"/>
      <c r="T1048" s="91"/>
      <c r="U1048" s="91"/>
      <c r="V1048" s="92"/>
      <c r="W1048" s="92"/>
      <c r="X1048" s="93"/>
      <c r="Y1048" s="93"/>
      <c r="Z1048" s="93"/>
      <c r="AA1048" s="4"/>
      <c r="AB1048" s="5"/>
    </row>
    <row r="1049" spans="1:28" x14ac:dyDescent="0.2">
      <c r="A1049" s="4"/>
      <c r="B1049" s="94"/>
      <c r="C1049" s="94"/>
      <c r="D1049" s="94"/>
      <c r="E1049" s="94"/>
      <c r="F1049" s="94"/>
      <c r="G1049" s="94"/>
      <c r="H1049" s="94"/>
      <c r="I1049" s="94"/>
      <c r="J1049" s="94"/>
      <c r="K1049" s="94"/>
      <c r="L1049" s="94"/>
      <c r="M1049" s="94"/>
      <c r="N1049" s="95"/>
      <c r="O1049" s="95"/>
      <c r="P1049" s="95"/>
      <c r="Q1049" s="95"/>
      <c r="R1049" s="95"/>
      <c r="S1049" s="95"/>
      <c r="T1049" s="95"/>
      <c r="U1049" s="95"/>
      <c r="V1049" s="96"/>
      <c r="W1049" s="96"/>
      <c r="X1049" s="97"/>
      <c r="Y1049" s="97"/>
      <c r="Z1049" s="97"/>
      <c r="AA1049" s="4"/>
      <c r="AB1049" s="5"/>
    </row>
    <row r="1050" spans="1:28" x14ac:dyDescent="0.2">
      <c r="A1050" s="4"/>
      <c r="B1050" s="90"/>
      <c r="C1050" s="90"/>
      <c r="D1050" s="90"/>
      <c r="E1050" s="90"/>
      <c r="F1050" s="90"/>
      <c r="G1050" s="90"/>
      <c r="H1050" s="90"/>
      <c r="I1050" s="90"/>
      <c r="J1050" s="90"/>
      <c r="K1050" s="90"/>
      <c r="L1050" s="90"/>
      <c r="M1050" s="90"/>
      <c r="N1050" s="91"/>
      <c r="O1050" s="91"/>
      <c r="P1050" s="91"/>
      <c r="Q1050" s="91"/>
      <c r="R1050" s="91"/>
      <c r="S1050" s="91"/>
      <c r="T1050" s="91"/>
      <c r="U1050" s="91"/>
      <c r="V1050" s="92"/>
      <c r="W1050" s="92"/>
      <c r="X1050" s="93"/>
      <c r="Y1050" s="93"/>
      <c r="Z1050" s="93"/>
      <c r="AA1050" s="4"/>
      <c r="AB1050" s="5"/>
    </row>
    <row r="1051" spans="1:28" x14ac:dyDescent="0.2">
      <c r="A1051" s="4"/>
      <c r="B1051" s="94"/>
      <c r="C1051" s="94"/>
      <c r="D1051" s="94"/>
      <c r="E1051" s="94"/>
      <c r="F1051" s="94"/>
      <c r="G1051" s="94"/>
      <c r="H1051" s="94"/>
      <c r="I1051" s="94"/>
      <c r="J1051" s="94"/>
      <c r="K1051" s="94"/>
      <c r="L1051" s="94"/>
      <c r="M1051" s="94"/>
      <c r="N1051" s="95"/>
      <c r="O1051" s="95"/>
      <c r="P1051" s="95"/>
      <c r="Q1051" s="95"/>
      <c r="R1051" s="95"/>
      <c r="S1051" s="95"/>
      <c r="T1051" s="95"/>
      <c r="U1051" s="95"/>
      <c r="V1051" s="96"/>
      <c r="W1051" s="96"/>
      <c r="X1051" s="97"/>
      <c r="Y1051" s="97"/>
      <c r="Z1051" s="97"/>
      <c r="AA1051" s="4"/>
      <c r="AB1051" s="5"/>
    </row>
    <row r="1052" spans="1:28" x14ac:dyDescent="0.2">
      <c r="A1052" s="4"/>
      <c r="B1052" s="90"/>
      <c r="C1052" s="90"/>
      <c r="D1052" s="90"/>
      <c r="E1052" s="90"/>
      <c r="F1052" s="90"/>
      <c r="G1052" s="90"/>
      <c r="H1052" s="90"/>
      <c r="I1052" s="90"/>
      <c r="J1052" s="90"/>
      <c r="K1052" s="90"/>
      <c r="L1052" s="90"/>
      <c r="M1052" s="90"/>
      <c r="N1052" s="91"/>
      <c r="O1052" s="91"/>
      <c r="P1052" s="91"/>
      <c r="Q1052" s="91"/>
      <c r="R1052" s="91"/>
      <c r="S1052" s="91"/>
      <c r="T1052" s="91"/>
      <c r="U1052" s="91"/>
      <c r="V1052" s="92"/>
      <c r="W1052" s="92"/>
      <c r="X1052" s="93"/>
      <c r="Y1052" s="93"/>
      <c r="Z1052" s="93"/>
      <c r="AA1052" s="4"/>
      <c r="AB1052" s="5"/>
    </row>
    <row r="1053" spans="1:28" x14ac:dyDescent="0.2">
      <c r="A1053" s="4"/>
      <c r="B1053" s="94"/>
      <c r="C1053" s="94"/>
      <c r="D1053" s="94"/>
      <c r="E1053" s="94"/>
      <c r="F1053" s="94"/>
      <c r="G1053" s="94"/>
      <c r="H1053" s="94"/>
      <c r="I1053" s="94"/>
      <c r="J1053" s="94"/>
      <c r="K1053" s="94"/>
      <c r="L1053" s="94"/>
      <c r="M1053" s="94"/>
      <c r="N1053" s="95"/>
      <c r="O1053" s="95"/>
      <c r="P1053" s="95"/>
      <c r="Q1053" s="95"/>
      <c r="R1053" s="95"/>
      <c r="S1053" s="95"/>
      <c r="T1053" s="95"/>
      <c r="U1053" s="95"/>
      <c r="V1053" s="96"/>
      <c r="W1053" s="96"/>
      <c r="X1053" s="97"/>
      <c r="Y1053" s="97"/>
      <c r="Z1053" s="97"/>
      <c r="AA1053" s="4"/>
      <c r="AB1053" s="5"/>
    </row>
    <row r="1054" spans="1:28" x14ac:dyDescent="0.2">
      <c r="A1054" s="4"/>
      <c r="B1054" s="90"/>
      <c r="C1054" s="90"/>
      <c r="D1054" s="90"/>
      <c r="E1054" s="90"/>
      <c r="F1054" s="90"/>
      <c r="G1054" s="90"/>
      <c r="H1054" s="90"/>
      <c r="I1054" s="90"/>
      <c r="J1054" s="90"/>
      <c r="K1054" s="90"/>
      <c r="L1054" s="90"/>
      <c r="M1054" s="90"/>
      <c r="N1054" s="91"/>
      <c r="O1054" s="91"/>
      <c r="P1054" s="91"/>
      <c r="Q1054" s="91"/>
      <c r="R1054" s="91"/>
      <c r="S1054" s="91"/>
      <c r="T1054" s="91"/>
      <c r="U1054" s="91"/>
      <c r="V1054" s="92"/>
      <c r="W1054" s="92"/>
      <c r="X1054" s="93"/>
      <c r="Y1054" s="93"/>
      <c r="Z1054" s="93"/>
      <c r="AA1054" s="4"/>
      <c r="AB1054" s="5"/>
    </row>
    <row r="1055" spans="1:28" x14ac:dyDescent="0.2">
      <c r="A1055" s="4"/>
      <c r="B1055" s="94"/>
      <c r="C1055" s="94"/>
      <c r="D1055" s="94"/>
      <c r="E1055" s="94"/>
      <c r="F1055" s="94"/>
      <c r="G1055" s="94"/>
      <c r="H1055" s="94"/>
      <c r="I1055" s="94"/>
      <c r="J1055" s="94"/>
      <c r="K1055" s="94"/>
      <c r="L1055" s="94"/>
      <c r="M1055" s="94"/>
      <c r="N1055" s="95"/>
      <c r="O1055" s="95"/>
      <c r="P1055" s="95"/>
      <c r="Q1055" s="95"/>
      <c r="R1055" s="95"/>
      <c r="S1055" s="95"/>
      <c r="T1055" s="95"/>
      <c r="U1055" s="95"/>
      <c r="V1055" s="96"/>
      <c r="W1055" s="96"/>
      <c r="X1055" s="97"/>
      <c r="Y1055" s="97"/>
      <c r="Z1055" s="97"/>
      <c r="AA1055" s="4"/>
      <c r="AB1055" s="5"/>
    </row>
    <row r="1056" spans="1:28" x14ac:dyDescent="0.2">
      <c r="A1056" s="4"/>
      <c r="B1056" s="90"/>
      <c r="C1056" s="90"/>
      <c r="D1056" s="90"/>
      <c r="E1056" s="90"/>
      <c r="F1056" s="90"/>
      <c r="G1056" s="90"/>
      <c r="H1056" s="90"/>
      <c r="I1056" s="90"/>
      <c r="J1056" s="90"/>
      <c r="K1056" s="90"/>
      <c r="L1056" s="90"/>
      <c r="M1056" s="90"/>
      <c r="N1056" s="91"/>
      <c r="O1056" s="91"/>
      <c r="P1056" s="91"/>
      <c r="Q1056" s="91"/>
      <c r="R1056" s="91"/>
      <c r="S1056" s="91"/>
      <c r="T1056" s="91"/>
      <c r="U1056" s="91"/>
      <c r="V1056" s="92"/>
      <c r="W1056" s="92"/>
      <c r="X1056" s="93"/>
      <c r="Y1056" s="93"/>
      <c r="Z1056" s="93"/>
      <c r="AA1056" s="4"/>
      <c r="AB1056" s="5"/>
    </row>
    <row r="1057" spans="1:28" x14ac:dyDescent="0.2">
      <c r="A1057" s="4"/>
      <c r="B1057" s="94"/>
      <c r="C1057" s="94"/>
      <c r="D1057" s="94"/>
      <c r="E1057" s="94"/>
      <c r="F1057" s="94"/>
      <c r="G1057" s="94"/>
      <c r="H1057" s="94"/>
      <c r="I1057" s="94"/>
      <c r="J1057" s="94"/>
      <c r="K1057" s="94"/>
      <c r="L1057" s="94"/>
      <c r="M1057" s="94"/>
      <c r="N1057" s="95"/>
      <c r="O1057" s="95"/>
      <c r="P1057" s="95"/>
      <c r="Q1057" s="95"/>
      <c r="R1057" s="95"/>
      <c r="S1057" s="95"/>
      <c r="T1057" s="95"/>
      <c r="U1057" s="95"/>
      <c r="V1057" s="96"/>
      <c r="W1057" s="96"/>
      <c r="X1057" s="97"/>
      <c r="Y1057" s="97"/>
      <c r="Z1057" s="97"/>
      <c r="AA1057" s="4"/>
      <c r="AB1057" s="5"/>
    </row>
    <row r="1058" spans="1:28" x14ac:dyDescent="0.2">
      <c r="A1058" s="4"/>
      <c r="B1058" s="90"/>
      <c r="C1058" s="90"/>
      <c r="D1058" s="90"/>
      <c r="E1058" s="90"/>
      <c r="F1058" s="90"/>
      <c r="G1058" s="90"/>
      <c r="H1058" s="90"/>
      <c r="I1058" s="90"/>
      <c r="J1058" s="90"/>
      <c r="K1058" s="90"/>
      <c r="L1058" s="90"/>
      <c r="M1058" s="90"/>
      <c r="N1058" s="91"/>
      <c r="O1058" s="91"/>
      <c r="P1058" s="91"/>
      <c r="Q1058" s="91"/>
      <c r="R1058" s="91"/>
      <c r="S1058" s="91"/>
      <c r="T1058" s="91"/>
      <c r="U1058" s="91"/>
      <c r="V1058" s="92"/>
      <c r="W1058" s="92"/>
      <c r="X1058" s="93"/>
      <c r="Y1058" s="93"/>
      <c r="Z1058" s="93"/>
      <c r="AA1058" s="4"/>
      <c r="AB1058" s="5"/>
    </row>
    <row r="1059" spans="1:28" x14ac:dyDescent="0.2">
      <c r="A1059" s="4"/>
      <c r="B1059" s="94"/>
      <c r="C1059" s="94"/>
      <c r="D1059" s="94"/>
      <c r="E1059" s="94"/>
      <c r="F1059" s="94"/>
      <c r="G1059" s="94"/>
      <c r="H1059" s="94"/>
      <c r="I1059" s="94"/>
      <c r="J1059" s="94"/>
      <c r="K1059" s="94"/>
      <c r="L1059" s="94"/>
      <c r="M1059" s="94"/>
      <c r="N1059" s="95"/>
      <c r="O1059" s="95"/>
      <c r="P1059" s="95"/>
      <c r="Q1059" s="95"/>
      <c r="R1059" s="95"/>
      <c r="S1059" s="95"/>
      <c r="T1059" s="95"/>
      <c r="U1059" s="95"/>
      <c r="V1059" s="96"/>
      <c r="W1059" s="96"/>
      <c r="X1059" s="97"/>
      <c r="Y1059" s="97"/>
      <c r="Z1059" s="97"/>
      <c r="AA1059" s="4"/>
      <c r="AB1059" s="5"/>
    </row>
    <row r="1060" spans="1:28" x14ac:dyDescent="0.2">
      <c r="A1060" s="4"/>
      <c r="B1060" s="90"/>
      <c r="C1060" s="90"/>
      <c r="D1060" s="90"/>
      <c r="E1060" s="90"/>
      <c r="F1060" s="90"/>
      <c r="G1060" s="90"/>
      <c r="H1060" s="90"/>
      <c r="I1060" s="90"/>
      <c r="J1060" s="90"/>
      <c r="K1060" s="90"/>
      <c r="L1060" s="90"/>
      <c r="M1060" s="90"/>
      <c r="N1060" s="91"/>
      <c r="O1060" s="91"/>
      <c r="P1060" s="91"/>
      <c r="Q1060" s="91"/>
      <c r="R1060" s="91"/>
      <c r="S1060" s="91"/>
      <c r="T1060" s="91"/>
      <c r="U1060" s="91"/>
      <c r="V1060" s="92"/>
      <c r="W1060" s="92"/>
      <c r="X1060" s="93"/>
      <c r="Y1060" s="93"/>
      <c r="Z1060" s="93"/>
      <c r="AA1060" s="4"/>
      <c r="AB1060" s="5"/>
    </row>
    <row r="1061" spans="1:28" x14ac:dyDescent="0.2">
      <c r="A1061" s="4"/>
      <c r="B1061" s="94"/>
      <c r="C1061" s="94"/>
      <c r="D1061" s="94"/>
      <c r="E1061" s="94"/>
      <c r="F1061" s="94"/>
      <c r="G1061" s="94"/>
      <c r="H1061" s="94"/>
      <c r="I1061" s="94"/>
      <c r="J1061" s="94"/>
      <c r="K1061" s="94"/>
      <c r="L1061" s="94"/>
      <c r="M1061" s="94"/>
      <c r="N1061" s="95"/>
      <c r="O1061" s="95"/>
      <c r="P1061" s="95"/>
      <c r="Q1061" s="95"/>
      <c r="R1061" s="95"/>
      <c r="S1061" s="95"/>
      <c r="T1061" s="95"/>
      <c r="U1061" s="95"/>
      <c r="V1061" s="96"/>
      <c r="W1061" s="96"/>
      <c r="X1061" s="97"/>
      <c r="Y1061" s="97"/>
      <c r="Z1061" s="97"/>
      <c r="AA1061" s="4"/>
      <c r="AB1061" s="5"/>
    </row>
    <row r="1062" spans="1:28" x14ac:dyDescent="0.2">
      <c r="A1062" s="4"/>
      <c r="B1062" s="90"/>
      <c r="C1062" s="90"/>
      <c r="D1062" s="90"/>
      <c r="E1062" s="90"/>
      <c r="F1062" s="90"/>
      <c r="G1062" s="90"/>
      <c r="H1062" s="90"/>
      <c r="I1062" s="90"/>
      <c r="J1062" s="90"/>
      <c r="K1062" s="90"/>
      <c r="L1062" s="90"/>
      <c r="M1062" s="90"/>
      <c r="N1062" s="91"/>
      <c r="O1062" s="91"/>
      <c r="P1062" s="91"/>
      <c r="Q1062" s="91"/>
      <c r="R1062" s="91"/>
      <c r="S1062" s="91"/>
      <c r="T1062" s="91"/>
      <c r="U1062" s="91"/>
      <c r="V1062" s="92"/>
      <c r="W1062" s="92"/>
      <c r="X1062" s="93"/>
      <c r="Y1062" s="93"/>
      <c r="Z1062" s="93"/>
      <c r="AA1062" s="4"/>
      <c r="AB1062" s="5"/>
    </row>
    <row r="1063" spans="1:28" x14ac:dyDescent="0.2">
      <c r="A1063" s="4"/>
      <c r="B1063" s="94"/>
      <c r="C1063" s="94"/>
      <c r="D1063" s="94"/>
      <c r="E1063" s="94"/>
      <c r="F1063" s="94"/>
      <c r="G1063" s="94"/>
      <c r="H1063" s="94"/>
      <c r="I1063" s="94"/>
      <c r="J1063" s="94"/>
      <c r="K1063" s="94"/>
      <c r="L1063" s="94"/>
      <c r="M1063" s="94"/>
      <c r="N1063" s="95"/>
      <c r="O1063" s="95"/>
      <c r="P1063" s="95"/>
      <c r="Q1063" s="95"/>
      <c r="R1063" s="95"/>
      <c r="S1063" s="95"/>
      <c r="T1063" s="95"/>
      <c r="U1063" s="95"/>
      <c r="V1063" s="96"/>
      <c r="W1063" s="96"/>
      <c r="X1063" s="97"/>
      <c r="Y1063" s="97"/>
      <c r="Z1063" s="97"/>
      <c r="AA1063" s="4"/>
      <c r="AB1063" s="5"/>
    </row>
    <row r="1064" spans="1:28" x14ac:dyDescent="0.2">
      <c r="A1064" s="4"/>
      <c r="B1064" s="90"/>
      <c r="C1064" s="90"/>
      <c r="D1064" s="90"/>
      <c r="E1064" s="90"/>
      <c r="F1064" s="90"/>
      <c r="G1064" s="90"/>
      <c r="H1064" s="90"/>
      <c r="I1064" s="90"/>
      <c r="J1064" s="90"/>
      <c r="K1064" s="90"/>
      <c r="L1064" s="90"/>
      <c r="M1064" s="90"/>
      <c r="N1064" s="91"/>
      <c r="O1064" s="91"/>
      <c r="P1064" s="91"/>
      <c r="Q1064" s="91"/>
      <c r="R1064" s="91"/>
      <c r="S1064" s="91"/>
      <c r="T1064" s="91"/>
      <c r="U1064" s="91"/>
      <c r="V1064" s="92"/>
      <c r="W1064" s="92"/>
      <c r="X1064" s="93"/>
      <c r="Y1064" s="93"/>
      <c r="Z1064" s="93"/>
      <c r="AA1064" s="4"/>
      <c r="AB1064" s="5"/>
    </row>
    <row r="1065" spans="1:28" x14ac:dyDescent="0.2">
      <c r="A1065" s="4"/>
      <c r="B1065" s="94"/>
      <c r="C1065" s="94"/>
      <c r="D1065" s="94"/>
      <c r="E1065" s="94"/>
      <c r="F1065" s="94"/>
      <c r="G1065" s="94"/>
      <c r="H1065" s="94"/>
      <c r="I1065" s="94"/>
      <c r="J1065" s="94"/>
      <c r="K1065" s="94"/>
      <c r="L1065" s="94"/>
      <c r="M1065" s="94"/>
      <c r="N1065" s="95"/>
      <c r="O1065" s="95"/>
      <c r="P1065" s="95"/>
      <c r="Q1065" s="95"/>
      <c r="R1065" s="95"/>
      <c r="S1065" s="95"/>
      <c r="T1065" s="95"/>
      <c r="U1065" s="95"/>
      <c r="V1065" s="96"/>
      <c r="W1065" s="96"/>
      <c r="X1065" s="97"/>
      <c r="Y1065" s="97"/>
      <c r="Z1065" s="97"/>
      <c r="AA1065" s="4"/>
      <c r="AB1065" s="5"/>
    </row>
    <row r="1066" spans="1:28" x14ac:dyDescent="0.2">
      <c r="A1066" s="4"/>
      <c r="B1066" s="90"/>
      <c r="C1066" s="90"/>
      <c r="D1066" s="90"/>
      <c r="E1066" s="90"/>
      <c r="F1066" s="90"/>
      <c r="G1066" s="90"/>
      <c r="H1066" s="90"/>
      <c r="I1066" s="90"/>
      <c r="J1066" s="90"/>
      <c r="K1066" s="90"/>
      <c r="L1066" s="90"/>
      <c r="M1066" s="90"/>
      <c r="N1066" s="91"/>
      <c r="O1066" s="91"/>
      <c r="P1066" s="91"/>
      <c r="Q1066" s="91"/>
      <c r="R1066" s="91"/>
      <c r="S1066" s="91"/>
      <c r="T1066" s="91"/>
      <c r="U1066" s="91"/>
      <c r="V1066" s="92"/>
      <c r="W1066" s="92"/>
      <c r="X1066" s="93"/>
      <c r="Y1066" s="93"/>
      <c r="Z1066" s="93"/>
      <c r="AA1066" s="4"/>
      <c r="AB1066" s="5"/>
    </row>
    <row r="1067" spans="1:28" x14ac:dyDescent="0.2">
      <c r="A1067" s="4"/>
      <c r="B1067" s="94"/>
      <c r="C1067" s="94"/>
      <c r="D1067" s="94"/>
      <c r="E1067" s="94"/>
      <c r="F1067" s="94"/>
      <c r="G1067" s="94"/>
      <c r="H1067" s="94"/>
      <c r="I1067" s="94"/>
      <c r="J1067" s="94"/>
      <c r="K1067" s="94"/>
      <c r="L1067" s="94"/>
      <c r="M1067" s="94"/>
      <c r="N1067" s="95"/>
      <c r="O1067" s="95"/>
      <c r="P1067" s="95"/>
      <c r="Q1067" s="95"/>
      <c r="R1067" s="95"/>
      <c r="S1067" s="95"/>
      <c r="T1067" s="95"/>
      <c r="U1067" s="95"/>
      <c r="V1067" s="96"/>
      <c r="W1067" s="96"/>
      <c r="X1067" s="97"/>
      <c r="Y1067" s="97"/>
      <c r="Z1067" s="97"/>
      <c r="AA1067" s="4"/>
      <c r="AB1067" s="5"/>
    </row>
    <row r="1068" spans="1:28" x14ac:dyDescent="0.2">
      <c r="A1068" s="4"/>
      <c r="B1068" s="90"/>
      <c r="C1068" s="90"/>
      <c r="D1068" s="90"/>
      <c r="E1068" s="90"/>
      <c r="F1068" s="90"/>
      <c r="G1068" s="90"/>
      <c r="H1068" s="90"/>
      <c r="I1068" s="90"/>
      <c r="J1068" s="90"/>
      <c r="K1068" s="90"/>
      <c r="L1068" s="90"/>
      <c r="M1068" s="90"/>
      <c r="N1068" s="91"/>
      <c r="O1068" s="91"/>
      <c r="P1068" s="91"/>
      <c r="Q1068" s="91"/>
      <c r="R1068" s="91"/>
      <c r="S1068" s="91"/>
      <c r="T1068" s="91"/>
      <c r="U1068" s="91"/>
      <c r="V1068" s="92"/>
      <c r="W1068" s="92"/>
      <c r="X1068" s="93"/>
      <c r="Y1068" s="93"/>
      <c r="Z1068" s="93"/>
      <c r="AA1068" s="4"/>
      <c r="AB1068" s="5"/>
    </row>
    <row r="1069" spans="1:28" x14ac:dyDescent="0.2">
      <c r="A1069" s="4"/>
      <c r="B1069" s="94"/>
      <c r="C1069" s="94"/>
      <c r="D1069" s="94"/>
      <c r="E1069" s="94"/>
      <c r="F1069" s="94"/>
      <c r="G1069" s="94"/>
      <c r="H1069" s="94"/>
      <c r="I1069" s="94"/>
      <c r="J1069" s="94"/>
      <c r="K1069" s="94"/>
      <c r="L1069" s="94"/>
      <c r="M1069" s="94"/>
      <c r="N1069" s="95"/>
      <c r="O1069" s="95"/>
      <c r="P1069" s="95"/>
      <c r="Q1069" s="95"/>
      <c r="R1069" s="95"/>
      <c r="S1069" s="95"/>
      <c r="T1069" s="95"/>
      <c r="U1069" s="95"/>
      <c r="V1069" s="96"/>
      <c r="W1069" s="96"/>
      <c r="X1069" s="97"/>
      <c r="Y1069" s="97"/>
      <c r="Z1069" s="97"/>
      <c r="AA1069" s="4"/>
      <c r="AB1069" s="5"/>
    </row>
    <row r="1070" spans="1:28" x14ac:dyDescent="0.2">
      <c r="A1070" s="4"/>
      <c r="B1070" s="90"/>
      <c r="C1070" s="90"/>
      <c r="D1070" s="90"/>
      <c r="E1070" s="90"/>
      <c r="F1070" s="90"/>
      <c r="G1070" s="90"/>
      <c r="H1070" s="90"/>
      <c r="I1070" s="90"/>
      <c r="J1070" s="90"/>
      <c r="K1070" s="90"/>
      <c r="L1070" s="90"/>
      <c r="M1070" s="90"/>
      <c r="N1070" s="91"/>
      <c r="O1070" s="91"/>
      <c r="P1070" s="91"/>
      <c r="Q1070" s="91"/>
      <c r="R1070" s="91"/>
      <c r="S1070" s="91"/>
      <c r="T1070" s="91"/>
      <c r="U1070" s="91"/>
      <c r="V1070" s="92"/>
      <c r="W1070" s="92"/>
      <c r="X1070" s="93"/>
      <c r="Y1070" s="93"/>
      <c r="Z1070" s="93"/>
      <c r="AA1070" s="4"/>
      <c r="AB1070" s="5"/>
    </row>
    <row r="1071" spans="1:28" x14ac:dyDescent="0.2">
      <c r="A1071" s="4"/>
      <c r="B1071" s="94"/>
      <c r="C1071" s="94"/>
      <c r="D1071" s="94"/>
      <c r="E1071" s="94"/>
      <c r="F1071" s="94"/>
      <c r="G1071" s="94"/>
      <c r="H1071" s="94"/>
      <c r="I1071" s="94"/>
      <c r="J1071" s="94"/>
      <c r="K1071" s="94"/>
      <c r="L1071" s="94"/>
      <c r="M1071" s="94"/>
      <c r="N1071" s="95"/>
      <c r="O1071" s="95"/>
      <c r="P1071" s="95"/>
      <c r="Q1071" s="95"/>
      <c r="R1071" s="95"/>
      <c r="S1071" s="95"/>
      <c r="T1071" s="95"/>
      <c r="U1071" s="95"/>
      <c r="V1071" s="96"/>
      <c r="W1071" s="96"/>
      <c r="X1071" s="97"/>
      <c r="Y1071" s="97"/>
      <c r="Z1071" s="97"/>
      <c r="AA1071" s="4"/>
      <c r="AB1071" s="5"/>
    </row>
    <row r="1072" spans="1:28" x14ac:dyDescent="0.2">
      <c r="A1072" s="4"/>
      <c r="B1072" s="90"/>
      <c r="C1072" s="90"/>
      <c r="D1072" s="90"/>
      <c r="E1072" s="90"/>
      <c r="F1072" s="90"/>
      <c r="G1072" s="90"/>
      <c r="H1072" s="90"/>
      <c r="I1072" s="90"/>
      <c r="J1072" s="90"/>
      <c r="K1072" s="90"/>
      <c r="L1072" s="90"/>
      <c r="M1072" s="90"/>
      <c r="N1072" s="91"/>
      <c r="O1072" s="91"/>
      <c r="P1072" s="91"/>
      <c r="Q1072" s="91"/>
      <c r="R1072" s="91"/>
      <c r="S1072" s="91"/>
      <c r="T1072" s="91"/>
      <c r="U1072" s="91"/>
      <c r="V1072" s="92"/>
      <c r="W1072" s="92"/>
      <c r="X1072" s="93"/>
      <c r="Y1072" s="93"/>
      <c r="Z1072" s="93"/>
      <c r="AA1072" s="4"/>
      <c r="AB1072" s="5"/>
    </row>
    <row r="1073" spans="1:28" x14ac:dyDescent="0.2">
      <c r="A1073" s="4"/>
      <c r="B1073" s="94"/>
      <c r="C1073" s="94"/>
      <c r="D1073" s="94"/>
      <c r="E1073" s="94"/>
      <c r="F1073" s="94"/>
      <c r="G1073" s="94"/>
      <c r="H1073" s="94"/>
      <c r="I1073" s="94"/>
      <c r="J1073" s="94"/>
      <c r="K1073" s="94"/>
      <c r="L1073" s="94"/>
      <c r="M1073" s="94"/>
      <c r="N1073" s="95"/>
      <c r="O1073" s="95"/>
      <c r="P1073" s="95"/>
      <c r="Q1073" s="95"/>
      <c r="R1073" s="95"/>
      <c r="S1073" s="95"/>
      <c r="T1073" s="95"/>
      <c r="U1073" s="95"/>
      <c r="V1073" s="96"/>
      <c r="W1073" s="96"/>
      <c r="X1073" s="97"/>
      <c r="Y1073" s="97"/>
      <c r="Z1073" s="97"/>
      <c r="AA1073" s="4"/>
      <c r="AB1073" s="5"/>
    </row>
    <row r="1074" spans="1:28" x14ac:dyDescent="0.2">
      <c r="A1074" s="4"/>
      <c r="B1074" s="90"/>
      <c r="C1074" s="90"/>
      <c r="D1074" s="90"/>
      <c r="E1074" s="90"/>
      <c r="F1074" s="90"/>
      <c r="G1074" s="90"/>
      <c r="H1074" s="90"/>
      <c r="I1074" s="90"/>
      <c r="J1074" s="90"/>
      <c r="K1074" s="90"/>
      <c r="L1074" s="90"/>
      <c r="M1074" s="90"/>
      <c r="N1074" s="91"/>
      <c r="O1074" s="91"/>
      <c r="P1074" s="91"/>
      <c r="Q1074" s="91"/>
      <c r="R1074" s="91"/>
      <c r="S1074" s="91"/>
      <c r="T1074" s="91"/>
      <c r="U1074" s="91"/>
      <c r="V1074" s="92"/>
      <c r="W1074" s="92"/>
      <c r="X1074" s="93"/>
      <c r="Y1074" s="93"/>
      <c r="Z1074" s="93"/>
      <c r="AA1074" s="4"/>
      <c r="AB1074" s="5"/>
    </row>
    <row r="1075" spans="1:28" x14ac:dyDescent="0.2">
      <c r="A1075" s="4"/>
      <c r="B1075" s="94"/>
      <c r="C1075" s="94"/>
      <c r="D1075" s="94"/>
      <c r="E1075" s="94"/>
      <c r="F1075" s="94"/>
      <c r="G1075" s="94"/>
      <c r="H1075" s="94"/>
      <c r="I1075" s="94"/>
      <c r="J1075" s="94"/>
      <c r="K1075" s="94"/>
      <c r="L1075" s="94"/>
      <c r="M1075" s="94"/>
      <c r="N1075" s="95"/>
      <c r="O1075" s="95"/>
      <c r="P1075" s="95"/>
      <c r="Q1075" s="95"/>
      <c r="R1075" s="95"/>
      <c r="S1075" s="95"/>
      <c r="T1075" s="95"/>
      <c r="U1075" s="95"/>
      <c r="V1075" s="96"/>
      <c r="W1075" s="96"/>
      <c r="X1075" s="97"/>
      <c r="Y1075" s="97"/>
      <c r="Z1075" s="97"/>
      <c r="AA1075" s="4"/>
      <c r="AB1075" s="5"/>
    </row>
    <row r="1076" spans="1:28" x14ac:dyDescent="0.2">
      <c r="A1076" s="4"/>
      <c r="B1076" s="90"/>
      <c r="C1076" s="90"/>
      <c r="D1076" s="90"/>
      <c r="E1076" s="90"/>
      <c r="F1076" s="90"/>
      <c r="G1076" s="90"/>
      <c r="H1076" s="90"/>
      <c r="I1076" s="90"/>
      <c r="J1076" s="90"/>
      <c r="K1076" s="90"/>
      <c r="L1076" s="90"/>
      <c r="M1076" s="90"/>
      <c r="N1076" s="91"/>
      <c r="O1076" s="91"/>
      <c r="P1076" s="91"/>
      <c r="Q1076" s="91"/>
      <c r="R1076" s="91"/>
      <c r="S1076" s="91"/>
      <c r="T1076" s="91"/>
      <c r="U1076" s="91"/>
      <c r="V1076" s="92"/>
      <c r="W1076" s="92"/>
      <c r="X1076" s="93"/>
      <c r="Y1076" s="93"/>
      <c r="Z1076" s="93"/>
      <c r="AA1076" s="4"/>
      <c r="AB1076" s="5"/>
    </row>
    <row r="1077" spans="1:28" x14ac:dyDescent="0.2">
      <c r="A1077" s="4"/>
      <c r="B1077" s="94"/>
      <c r="C1077" s="94"/>
      <c r="D1077" s="94"/>
      <c r="E1077" s="94"/>
      <c r="F1077" s="94"/>
      <c r="G1077" s="94"/>
      <c r="H1077" s="94"/>
      <c r="I1077" s="94"/>
      <c r="J1077" s="94"/>
      <c r="K1077" s="94"/>
      <c r="L1077" s="94"/>
      <c r="M1077" s="94"/>
      <c r="N1077" s="95"/>
      <c r="O1077" s="95"/>
      <c r="P1077" s="95"/>
      <c r="Q1077" s="95"/>
      <c r="R1077" s="95"/>
      <c r="S1077" s="95"/>
      <c r="T1077" s="95"/>
      <c r="U1077" s="95"/>
      <c r="V1077" s="96"/>
      <c r="W1077" s="96"/>
      <c r="X1077" s="97"/>
      <c r="Y1077" s="97"/>
      <c r="Z1077" s="97"/>
      <c r="AA1077" s="4"/>
      <c r="AB1077" s="5"/>
    </row>
    <row r="1078" spans="1:28" x14ac:dyDescent="0.2">
      <c r="A1078" s="4"/>
      <c r="B1078" s="90"/>
      <c r="C1078" s="90"/>
      <c r="D1078" s="90"/>
      <c r="E1078" s="90"/>
      <c r="F1078" s="90"/>
      <c r="G1078" s="90"/>
      <c r="H1078" s="90"/>
      <c r="I1078" s="90"/>
      <c r="J1078" s="90"/>
      <c r="K1078" s="90"/>
      <c r="L1078" s="90"/>
      <c r="M1078" s="90"/>
      <c r="N1078" s="91"/>
      <c r="O1078" s="91"/>
      <c r="P1078" s="91"/>
      <c r="Q1078" s="91"/>
      <c r="R1078" s="91"/>
      <c r="S1078" s="91"/>
      <c r="T1078" s="91"/>
      <c r="U1078" s="91"/>
      <c r="V1078" s="92"/>
      <c r="W1078" s="92"/>
      <c r="X1078" s="93"/>
      <c r="Y1078" s="93"/>
      <c r="Z1078" s="93"/>
      <c r="AA1078" s="4"/>
      <c r="AB1078" s="5"/>
    </row>
    <row r="1079" spans="1:28" x14ac:dyDescent="0.2">
      <c r="A1079" s="4"/>
      <c r="B1079" s="94"/>
      <c r="C1079" s="94"/>
      <c r="D1079" s="94"/>
      <c r="E1079" s="94"/>
      <c r="F1079" s="94"/>
      <c r="G1079" s="94"/>
      <c r="H1079" s="94"/>
      <c r="I1079" s="94"/>
      <c r="J1079" s="94"/>
      <c r="K1079" s="94"/>
      <c r="L1079" s="94"/>
      <c r="M1079" s="94"/>
      <c r="N1079" s="95"/>
      <c r="O1079" s="95"/>
      <c r="P1079" s="95"/>
      <c r="Q1079" s="95"/>
      <c r="R1079" s="95"/>
      <c r="S1079" s="95"/>
      <c r="T1079" s="95"/>
      <c r="U1079" s="95"/>
      <c r="V1079" s="96"/>
      <c r="W1079" s="96"/>
      <c r="X1079" s="97"/>
      <c r="Y1079" s="97"/>
      <c r="Z1079" s="97"/>
      <c r="AA1079" s="4"/>
      <c r="AB1079" s="5"/>
    </row>
    <row r="1080" spans="1:28" x14ac:dyDescent="0.2">
      <c r="A1080" s="4"/>
      <c r="B1080" s="90"/>
      <c r="C1080" s="90"/>
      <c r="D1080" s="90"/>
      <c r="E1080" s="90"/>
      <c r="F1080" s="90"/>
      <c r="G1080" s="90"/>
      <c r="H1080" s="90"/>
      <c r="I1080" s="90"/>
      <c r="J1080" s="90"/>
      <c r="K1080" s="90"/>
      <c r="L1080" s="90"/>
      <c r="M1080" s="90"/>
      <c r="N1080" s="91"/>
      <c r="O1080" s="91"/>
      <c r="P1080" s="91"/>
      <c r="Q1080" s="91"/>
      <c r="R1080" s="91"/>
      <c r="S1080" s="91"/>
      <c r="T1080" s="91"/>
      <c r="U1080" s="91"/>
      <c r="V1080" s="92"/>
      <c r="W1080" s="92"/>
      <c r="X1080" s="93"/>
      <c r="Y1080" s="93"/>
      <c r="Z1080" s="93"/>
      <c r="AA1080" s="4"/>
      <c r="AB1080" s="5"/>
    </row>
    <row r="1081" spans="1:28" x14ac:dyDescent="0.2">
      <c r="A1081" s="4"/>
      <c r="B1081" s="94"/>
      <c r="C1081" s="94"/>
      <c r="D1081" s="94"/>
      <c r="E1081" s="94"/>
      <c r="F1081" s="94"/>
      <c r="G1081" s="94"/>
      <c r="H1081" s="94"/>
      <c r="I1081" s="94"/>
      <c r="J1081" s="94"/>
      <c r="K1081" s="94"/>
      <c r="L1081" s="94"/>
      <c r="M1081" s="94"/>
      <c r="N1081" s="95"/>
      <c r="O1081" s="95"/>
      <c r="P1081" s="95"/>
      <c r="Q1081" s="95"/>
      <c r="R1081" s="95"/>
      <c r="S1081" s="95"/>
      <c r="T1081" s="95"/>
      <c r="U1081" s="95"/>
      <c r="V1081" s="96"/>
      <c r="W1081" s="96"/>
      <c r="X1081" s="97"/>
      <c r="Y1081" s="97"/>
      <c r="Z1081" s="97"/>
      <c r="AA1081" s="4"/>
      <c r="AB1081" s="5"/>
    </row>
    <row r="1082" spans="1:28" x14ac:dyDescent="0.2">
      <c r="A1082" s="4"/>
      <c r="B1082" s="90"/>
      <c r="C1082" s="90"/>
      <c r="D1082" s="90"/>
      <c r="E1082" s="90"/>
      <c r="F1082" s="90"/>
      <c r="G1082" s="90"/>
      <c r="H1082" s="90"/>
      <c r="I1082" s="90"/>
      <c r="J1082" s="90"/>
      <c r="K1082" s="90"/>
      <c r="L1082" s="90"/>
      <c r="M1082" s="90"/>
      <c r="N1082" s="91"/>
      <c r="O1082" s="91"/>
      <c r="P1082" s="91"/>
      <c r="Q1082" s="91"/>
      <c r="R1082" s="91"/>
      <c r="S1082" s="91"/>
      <c r="T1082" s="91"/>
      <c r="U1082" s="91"/>
      <c r="V1082" s="92"/>
      <c r="W1082" s="92"/>
      <c r="X1082" s="93"/>
      <c r="Y1082" s="93"/>
      <c r="Z1082" s="93"/>
      <c r="AA1082" s="4"/>
      <c r="AB1082" s="5"/>
    </row>
    <row r="1083" spans="1:28" x14ac:dyDescent="0.2">
      <c r="A1083" s="4"/>
      <c r="B1083" s="94"/>
      <c r="C1083" s="94"/>
      <c r="D1083" s="94"/>
      <c r="E1083" s="94"/>
      <c r="F1083" s="94"/>
      <c r="G1083" s="94"/>
      <c r="H1083" s="94"/>
      <c r="I1083" s="94"/>
      <c r="J1083" s="94"/>
      <c r="K1083" s="94"/>
      <c r="L1083" s="94"/>
      <c r="M1083" s="94"/>
      <c r="N1083" s="95"/>
      <c r="O1083" s="95"/>
      <c r="P1083" s="95"/>
      <c r="Q1083" s="95"/>
      <c r="R1083" s="95"/>
      <c r="S1083" s="95"/>
      <c r="T1083" s="95"/>
      <c r="U1083" s="95"/>
      <c r="V1083" s="96"/>
      <c r="W1083" s="96"/>
      <c r="X1083" s="97"/>
      <c r="Y1083" s="97"/>
      <c r="Z1083" s="97"/>
      <c r="AA1083" s="4"/>
      <c r="AB1083" s="5"/>
    </row>
    <row r="1084" spans="1:28" x14ac:dyDescent="0.2">
      <c r="A1084" s="4"/>
      <c r="B1084" s="90"/>
      <c r="C1084" s="90"/>
      <c r="D1084" s="90"/>
      <c r="E1084" s="90"/>
      <c r="F1084" s="90"/>
      <c r="G1084" s="90"/>
      <c r="H1084" s="90"/>
      <c r="I1084" s="90"/>
      <c r="J1084" s="90"/>
      <c r="K1084" s="90"/>
      <c r="L1084" s="90"/>
      <c r="M1084" s="90"/>
      <c r="N1084" s="91"/>
      <c r="O1084" s="91"/>
      <c r="P1084" s="91"/>
      <c r="Q1084" s="91"/>
      <c r="R1084" s="91"/>
      <c r="S1084" s="91"/>
      <c r="T1084" s="91"/>
      <c r="U1084" s="91"/>
      <c r="V1084" s="92"/>
      <c r="W1084" s="92"/>
      <c r="X1084" s="93"/>
      <c r="Y1084" s="93"/>
      <c r="Z1084" s="93"/>
      <c r="AA1084" s="4"/>
      <c r="AB1084" s="5"/>
    </row>
    <row r="1085" spans="1:28" x14ac:dyDescent="0.2">
      <c r="A1085" s="4"/>
      <c r="B1085" s="94"/>
      <c r="C1085" s="94"/>
      <c r="D1085" s="94"/>
      <c r="E1085" s="94"/>
      <c r="F1085" s="94"/>
      <c r="G1085" s="94"/>
      <c r="H1085" s="94"/>
      <c r="I1085" s="94"/>
      <c r="J1085" s="94"/>
      <c r="K1085" s="94"/>
      <c r="L1085" s="94"/>
      <c r="M1085" s="94"/>
      <c r="N1085" s="95"/>
      <c r="O1085" s="95"/>
      <c r="P1085" s="95"/>
      <c r="Q1085" s="95"/>
      <c r="R1085" s="95"/>
      <c r="S1085" s="95"/>
      <c r="T1085" s="95"/>
      <c r="U1085" s="95"/>
      <c r="V1085" s="96"/>
      <c r="W1085" s="96"/>
      <c r="X1085" s="97"/>
      <c r="Y1085" s="97"/>
      <c r="Z1085" s="97"/>
      <c r="AA1085" s="4"/>
      <c r="AB1085" s="5"/>
    </row>
    <row r="1086" spans="1:28" x14ac:dyDescent="0.2">
      <c r="A1086" s="4"/>
      <c r="B1086" s="90"/>
      <c r="C1086" s="90"/>
      <c r="D1086" s="90"/>
      <c r="E1086" s="90"/>
      <c r="F1086" s="90"/>
      <c r="G1086" s="90"/>
      <c r="H1086" s="90"/>
      <c r="I1086" s="90"/>
      <c r="J1086" s="90"/>
      <c r="K1086" s="90"/>
      <c r="L1086" s="90"/>
      <c r="M1086" s="90"/>
      <c r="N1086" s="91"/>
      <c r="O1086" s="91"/>
      <c r="P1086" s="91"/>
      <c r="Q1086" s="91"/>
      <c r="R1086" s="91"/>
      <c r="S1086" s="91"/>
      <c r="T1086" s="91"/>
      <c r="U1086" s="91"/>
      <c r="V1086" s="92"/>
      <c r="W1086" s="92"/>
      <c r="X1086" s="93"/>
      <c r="Y1086" s="93"/>
      <c r="Z1086" s="93"/>
      <c r="AA1086" s="4"/>
      <c r="AB1086" s="5"/>
    </row>
    <row r="1087" spans="1:28" x14ac:dyDescent="0.2">
      <c r="A1087" s="4"/>
      <c r="B1087" s="94"/>
      <c r="C1087" s="94"/>
      <c r="D1087" s="94"/>
      <c r="E1087" s="94"/>
      <c r="F1087" s="94"/>
      <c r="G1087" s="94"/>
      <c r="H1087" s="94"/>
      <c r="I1087" s="94"/>
      <c r="J1087" s="94"/>
      <c r="K1087" s="94"/>
      <c r="L1087" s="94"/>
      <c r="M1087" s="94"/>
      <c r="N1087" s="95"/>
      <c r="O1087" s="95"/>
      <c r="P1087" s="95"/>
      <c r="Q1087" s="95"/>
      <c r="R1087" s="95"/>
      <c r="S1087" s="95"/>
      <c r="T1087" s="95"/>
      <c r="U1087" s="95"/>
      <c r="V1087" s="96"/>
      <c r="W1087" s="96"/>
      <c r="X1087" s="97"/>
      <c r="Y1087" s="97"/>
      <c r="Z1087" s="97"/>
      <c r="AA1087" s="4"/>
      <c r="AB1087" s="5"/>
    </row>
    <row r="1088" spans="1:28" x14ac:dyDescent="0.2">
      <c r="A1088" s="4"/>
      <c r="B1088" s="90"/>
      <c r="C1088" s="90"/>
      <c r="D1088" s="90"/>
      <c r="E1088" s="90"/>
      <c r="F1088" s="90"/>
      <c r="G1088" s="90"/>
      <c r="H1088" s="90"/>
      <c r="I1088" s="90"/>
      <c r="J1088" s="90"/>
      <c r="K1088" s="90"/>
      <c r="L1088" s="90"/>
      <c r="M1088" s="90"/>
      <c r="N1088" s="91"/>
      <c r="O1088" s="91"/>
      <c r="P1088" s="91"/>
      <c r="Q1088" s="91"/>
      <c r="R1088" s="91"/>
      <c r="S1088" s="91"/>
      <c r="T1088" s="91"/>
      <c r="U1088" s="91"/>
      <c r="V1088" s="92"/>
      <c r="W1088" s="92"/>
      <c r="X1088" s="93"/>
      <c r="Y1088" s="93"/>
      <c r="Z1088" s="93"/>
      <c r="AA1088" s="4"/>
      <c r="AB1088" s="5"/>
    </row>
    <row r="1089" spans="1:28" x14ac:dyDescent="0.2">
      <c r="A1089" s="4"/>
      <c r="B1089" s="94"/>
      <c r="C1089" s="94"/>
      <c r="D1089" s="94"/>
      <c r="E1089" s="94"/>
      <c r="F1089" s="94"/>
      <c r="G1089" s="94"/>
      <c r="H1089" s="94"/>
      <c r="I1089" s="94"/>
      <c r="J1089" s="94"/>
      <c r="K1089" s="94"/>
      <c r="L1089" s="94"/>
      <c r="M1089" s="94"/>
      <c r="N1089" s="95"/>
      <c r="O1089" s="95"/>
      <c r="P1089" s="95"/>
      <c r="Q1089" s="95"/>
      <c r="R1089" s="95"/>
      <c r="S1089" s="95"/>
      <c r="T1089" s="95"/>
      <c r="U1089" s="95"/>
      <c r="V1089" s="96"/>
      <c r="W1089" s="96"/>
      <c r="X1089" s="97"/>
      <c r="Y1089" s="97"/>
      <c r="Z1089" s="97"/>
      <c r="AA1089" s="4"/>
      <c r="AB1089" s="5"/>
    </row>
    <row r="1090" spans="1:28" x14ac:dyDescent="0.2">
      <c r="A1090" s="4"/>
      <c r="B1090" s="90"/>
      <c r="C1090" s="90"/>
      <c r="D1090" s="90"/>
      <c r="E1090" s="90"/>
      <c r="F1090" s="90"/>
      <c r="G1090" s="90"/>
      <c r="H1090" s="90"/>
      <c r="I1090" s="90"/>
      <c r="J1090" s="90"/>
      <c r="K1090" s="90"/>
      <c r="L1090" s="90"/>
      <c r="M1090" s="90"/>
      <c r="N1090" s="91"/>
      <c r="O1090" s="91"/>
      <c r="P1090" s="91"/>
      <c r="Q1090" s="91"/>
      <c r="R1090" s="91"/>
      <c r="S1090" s="91"/>
      <c r="T1090" s="91"/>
      <c r="U1090" s="91"/>
      <c r="V1090" s="92"/>
      <c r="W1090" s="92"/>
      <c r="X1090" s="93"/>
      <c r="Y1090" s="93"/>
      <c r="Z1090" s="93"/>
      <c r="AA1090" s="4"/>
      <c r="AB1090" s="5"/>
    </row>
    <row r="1091" spans="1:28" x14ac:dyDescent="0.2">
      <c r="A1091" s="4"/>
      <c r="B1091" s="94"/>
      <c r="C1091" s="94"/>
      <c r="D1091" s="94"/>
      <c r="E1091" s="94"/>
      <c r="F1091" s="94"/>
      <c r="G1091" s="94"/>
      <c r="H1091" s="94"/>
      <c r="I1091" s="94"/>
      <c r="J1091" s="94"/>
      <c r="K1091" s="94"/>
      <c r="L1091" s="94"/>
      <c r="M1091" s="94"/>
      <c r="N1091" s="95"/>
      <c r="O1091" s="95"/>
      <c r="P1091" s="95"/>
      <c r="Q1091" s="95"/>
      <c r="R1091" s="95"/>
      <c r="S1091" s="95"/>
      <c r="T1091" s="95"/>
      <c r="U1091" s="95"/>
      <c r="V1091" s="96"/>
      <c r="W1091" s="96"/>
      <c r="X1091" s="97"/>
      <c r="Y1091" s="97"/>
      <c r="Z1091" s="97"/>
      <c r="AA1091" s="4"/>
      <c r="AB1091" s="5"/>
    </row>
    <row r="1092" spans="1:28" x14ac:dyDescent="0.2">
      <c r="A1092" s="4"/>
      <c r="B1092" s="90"/>
      <c r="C1092" s="90"/>
      <c r="D1092" s="90"/>
      <c r="E1092" s="90"/>
      <c r="F1092" s="90"/>
      <c r="G1092" s="90"/>
      <c r="H1092" s="90"/>
      <c r="I1092" s="90"/>
      <c r="J1092" s="90"/>
      <c r="K1092" s="90"/>
      <c r="L1092" s="90"/>
      <c r="M1092" s="90"/>
      <c r="N1092" s="91"/>
      <c r="O1092" s="91"/>
      <c r="P1092" s="91"/>
      <c r="Q1092" s="91"/>
      <c r="R1092" s="91"/>
      <c r="S1092" s="91"/>
      <c r="T1092" s="91"/>
      <c r="U1092" s="91"/>
      <c r="V1092" s="92"/>
      <c r="W1092" s="92"/>
      <c r="X1092" s="93"/>
      <c r="Y1092" s="93"/>
      <c r="Z1092" s="93"/>
      <c r="AA1092" s="4"/>
      <c r="AB1092" s="5"/>
    </row>
    <row r="1093" spans="1:28" x14ac:dyDescent="0.2">
      <c r="A1093" s="4"/>
      <c r="B1093" s="94"/>
      <c r="C1093" s="94"/>
      <c r="D1093" s="94"/>
      <c r="E1093" s="94"/>
      <c r="F1093" s="94"/>
      <c r="G1093" s="94"/>
      <c r="H1093" s="94"/>
      <c r="I1093" s="94"/>
      <c r="J1093" s="94"/>
      <c r="K1093" s="94"/>
      <c r="L1093" s="94"/>
      <c r="M1093" s="94"/>
      <c r="N1093" s="95"/>
      <c r="O1093" s="95"/>
      <c r="P1093" s="95"/>
      <c r="Q1093" s="95"/>
      <c r="R1093" s="95"/>
      <c r="S1093" s="95"/>
      <c r="T1093" s="95"/>
      <c r="U1093" s="95"/>
      <c r="V1093" s="96"/>
      <c r="W1093" s="96"/>
      <c r="X1093" s="97"/>
      <c r="Y1093" s="97"/>
      <c r="Z1093" s="97"/>
      <c r="AA1093" s="4"/>
      <c r="AB1093" s="5"/>
    </row>
    <row r="1094" spans="1:28" x14ac:dyDescent="0.2">
      <c r="A1094" s="4"/>
      <c r="B1094" s="90"/>
      <c r="C1094" s="90"/>
      <c r="D1094" s="90"/>
      <c r="E1094" s="90"/>
      <c r="F1094" s="90"/>
      <c r="G1094" s="90"/>
      <c r="H1094" s="90"/>
      <c r="I1094" s="90"/>
      <c r="J1094" s="90"/>
      <c r="K1094" s="90"/>
      <c r="L1094" s="90"/>
      <c r="M1094" s="90"/>
      <c r="N1094" s="91"/>
      <c r="O1094" s="91"/>
      <c r="P1094" s="91"/>
      <c r="Q1094" s="91"/>
      <c r="R1094" s="91"/>
      <c r="S1094" s="91"/>
      <c r="T1094" s="91"/>
      <c r="U1094" s="91"/>
      <c r="V1094" s="92"/>
      <c r="W1094" s="92"/>
      <c r="X1094" s="93"/>
      <c r="Y1094" s="93"/>
      <c r="Z1094" s="93"/>
      <c r="AA1094" s="4"/>
      <c r="AB1094" s="5"/>
    </row>
    <row r="1095" spans="1:28" x14ac:dyDescent="0.2">
      <c r="A1095" s="4"/>
      <c r="B1095" s="94"/>
      <c r="C1095" s="94"/>
      <c r="D1095" s="94"/>
      <c r="E1095" s="94"/>
      <c r="F1095" s="94"/>
      <c r="G1095" s="94"/>
      <c r="H1095" s="94"/>
      <c r="I1095" s="94"/>
      <c r="J1095" s="94"/>
      <c r="K1095" s="94"/>
      <c r="L1095" s="94"/>
      <c r="M1095" s="94"/>
      <c r="N1095" s="95"/>
      <c r="O1095" s="95"/>
      <c r="P1095" s="95"/>
      <c r="Q1095" s="95"/>
      <c r="R1095" s="95"/>
      <c r="S1095" s="95"/>
      <c r="T1095" s="95"/>
      <c r="U1095" s="95"/>
      <c r="V1095" s="96"/>
      <c r="W1095" s="96"/>
      <c r="X1095" s="97"/>
      <c r="Y1095" s="97"/>
      <c r="Z1095" s="97"/>
      <c r="AA1095" s="4"/>
      <c r="AB1095" s="5"/>
    </row>
    <row r="1096" spans="1:28" x14ac:dyDescent="0.2">
      <c r="A1096" s="4"/>
      <c r="B1096" s="90"/>
      <c r="C1096" s="90"/>
      <c r="D1096" s="90"/>
      <c r="E1096" s="90"/>
      <c r="F1096" s="90"/>
      <c r="G1096" s="90"/>
      <c r="H1096" s="90"/>
      <c r="I1096" s="90"/>
      <c r="J1096" s="90"/>
      <c r="K1096" s="90"/>
      <c r="L1096" s="90"/>
      <c r="M1096" s="90"/>
      <c r="N1096" s="91"/>
      <c r="O1096" s="91"/>
      <c r="P1096" s="91"/>
      <c r="Q1096" s="91"/>
      <c r="R1096" s="91"/>
      <c r="S1096" s="91"/>
      <c r="T1096" s="91"/>
      <c r="U1096" s="91"/>
      <c r="V1096" s="92"/>
      <c r="W1096" s="92"/>
      <c r="X1096" s="93"/>
      <c r="Y1096" s="93"/>
      <c r="Z1096" s="93"/>
      <c r="AA1096" s="4"/>
      <c r="AB1096" s="5"/>
    </row>
    <row r="1097" spans="1:28" x14ac:dyDescent="0.2">
      <c r="A1097" s="4"/>
      <c r="B1097" s="94"/>
      <c r="C1097" s="94"/>
      <c r="D1097" s="94"/>
      <c r="E1097" s="94"/>
      <c r="F1097" s="94"/>
      <c r="G1097" s="94"/>
      <c r="H1097" s="94"/>
      <c r="I1097" s="94"/>
      <c r="J1097" s="94"/>
      <c r="K1097" s="94"/>
      <c r="L1097" s="94"/>
      <c r="M1097" s="94"/>
      <c r="N1097" s="95"/>
      <c r="O1097" s="95"/>
      <c r="P1097" s="95"/>
      <c r="Q1097" s="95"/>
      <c r="R1097" s="95"/>
      <c r="S1097" s="95"/>
      <c r="T1097" s="95"/>
      <c r="U1097" s="95"/>
      <c r="V1097" s="96"/>
      <c r="W1097" s="96"/>
      <c r="X1097" s="97"/>
      <c r="Y1097" s="97"/>
      <c r="Z1097" s="97"/>
      <c r="AA1097" s="4"/>
      <c r="AB1097" s="5"/>
    </row>
    <row r="1098" spans="1:28" x14ac:dyDescent="0.2">
      <c r="A1098" s="4"/>
      <c r="B1098" s="90"/>
      <c r="C1098" s="90"/>
      <c r="D1098" s="90"/>
      <c r="E1098" s="90"/>
      <c r="F1098" s="90"/>
      <c r="G1098" s="90"/>
      <c r="H1098" s="90"/>
      <c r="I1098" s="90"/>
      <c r="J1098" s="90"/>
      <c r="K1098" s="90"/>
      <c r="L1098" s="90"/>
      <c r="M1098" s="90"/>
      <c r="N1098" s="91"/>
      <c r="O1098" s="91"/>
      <c r="P1098" s="91"/>
      <c r="Q1098" s="91"/>
      <c r="R1098" s="91"/>
      <c r="S1098" s="91"/>
      <c r="T1098" s="91"/>
      <c r="U1098" s="91"/>
      <c r="V1098" s="92"/>
      <c r="W1098" s="92"/>
      <c r="X1098" s="93"/>
      <c r="Y1098" s="93"/>
      <c r="Z1098" s="93"/>
      <c r="AA1098" s="4"/>
      <c r="AB1098" s="5"/>
    </row>
    <row r="1099" spans="1:28" x14ac:dyDescent="0.2">
      <c r="A1099" s="4"/>
      <c r="B1099" s="94"/>
      <c r="C1099" s="94"/>
      <c r="D1099" s="94"/>
      <c r="E1099" s="94"/>
      <c r="F1099" s="94"/>
      <c r="G1099" s="94"/>
      <c r="H1099" s="94"/>
      <c r="I1099" s="94"/>
      <c r="J1099" s="94"/>
      <c r="K1099" s="94"/>
      <c r="L1099" s="94"/>
      <c r="M1099" s="94"/>
      <c r="N1099" s="95"/>
      <c r="O1099" s="95"/>
      <c r="P1099" s="95"/>
      <c r="Q1099" s="95"/>
      <c r="R1099" s="95"/>
      <c r="S1099" s="95"/>
      <c r="T1099" s="95"/>
      <c r="U1099" s="95"/>
      <c r="V1099" s="96"/>
      <c r="W1099" s="96"/>
      <c r="X1099" s="97"/>
      <c r="Y1099" s="97"/>
      <c r="Z1099" s="97"/>
      <c r="AA1099" s="4"/>
      <c r="AB1099" s="5"/>
    </row>
    <row r="1100" spans="1:28" x14ac:dyDescent="0.2">
      <c r="A1100" s="4"/>
      <c r="B1100" s="90"/>
      <c r="C1100" s="90"/>
      <c r="D1100" s="90"/>
      <c r="E1100" s="90"/>
      <c r="F1100" s="90"/>
      <c r="G1100" s="90"/>
      <c r="H1100" s="90"/>
      <c r="I1100" s="90"/>
      <c r="J1100" s="90"/>
      <c r="K1100" s="90"/>
      <c r="L1100" s="90"/>
      <c r="M1100" s="90"/>
      <c r="N1100" s="91"/>
      <c r="O1100" s="91"/>
      <c r="P1100" s="91"/>
      <c r="Q1100" s="91"/>
      <c r="R1100" s="91"/>
      <c r="S1100" s="91"/>
      <c r="T1100" s="91"/>
      <c r="U1100" s="91"/>
      <c r="V1100" s="92"/>
      <c r="W1100" s="92"/>
      <c r="X1100" s="93"/>
      <c r="Y1100" s="93"/>
      <c r="Z1100" s="93"/>
      <c r="AA1100" s="4"/>
      <c r="AB1100" s="5"/>
    </row>
    <row r="1101" spans="1:28" x14ac:dyDescent="0.2">
      <c r="A1101" s="4"/>
      <c r="B1101" s="94"/>
      <c r="C1101" s="94"/>
      <c r="D1101" s="94"/>
      <c r="E1101" s="94"/>
      <c r="F1101" s="94"/>
      <c r="G1101" s="94"/>
      <c r="H1101" s="94"/>
      <c r="I1101" s="94"/>
      <c r="J1101" s="94"/>
      <c r="K1101" s="94"/>
      <c r="L1101" s="94"/>
      <c r="M1101" s="94"/>
      <c r="N1101" s="95"/>
      <c r="O1101" s="95"/>
      <c r="P1101" s="95"/>
      <c r="Q1101" s="95"/>
      <c r="R1101" s="95"/>
      <c r="S1101" s="95"/>
      <c r="T1101" s="95"/>
      <c r="U1101" s="95"/>
      <c r="V1101" s="96"/>
      <c r="W1101" s="96"/>
      <c r="X1101" s="97"/>
      <c r="Y1101" s="97"/>
      <c r="Z1101" s="97"/>
      <c r="AA1101" s="4"/>
      <c r="AB1101" s="5"/>
    </row>
    <row r="1102" spans="1:28" x14ac:dyDescent="0.2">
      <c r="A1102" s="4"/>
      <c r="B1102" s="90"/>
      <c r="C1102" s="90"/>
      <c r="D1102" s="90"/>
      <c r="E1102" s="90"/>
      <c r="F1102" s="90"/>
      <c r="G1102" s="90"/>
      <c r="H1102" s="90"/>
      <c r="I1102" s="90"/>
      <c r="J1102" s="90"/>
      <c r="K1102" s="90"/>
      <c r="L1102" s="90"/>
      <c r="M1102" s="90"/>
      <c r="N1102" s="91"/>
      <c r="O1102" s="91"/>
      <c r="P1102" s="91"/>
      <c r="Q1102" s="91"/>
      <c r="R1102" s="91"/>
      <c r="S1102" s="91"/>
      <c r="T1102" s="91"/>
      <c r="U1102" s="91"/>
      <c r="V1102" s="92"/>
      <c r="W1102" s="92"/>
      <c r="X1102" s="93"/>
      <c r="Y1102" s="93"/>
      <c r="Z1102" s="93"/>
      <c r="AA1102" s="4"/>
      <c r="AB1102" s="5"/>
    </row>
    <row r="1103" spans="1:28" x14ac:dyDescent="0.2">
      <c r="A1103" s="4"/>
      <c r="B1103" s="94"/>
      <c r="C1103" s="94"/>
      <c r="D1103" s="94"/>
      <c r="E1103" s="94"/>
      <c r="F1103" s="94"/>
      <c r="G1103" s="94"/>
      <c r="H1103" s="94"/>
      <c r="I1103" s="94"/>
      <c r="J1103" s="94"/>
      <c r="K1103" s="94"/>
      <c r="L1103" s="94"/>
      <c r="M1103" s="94"/>
      <c r="N1103" s="95"/>
      <c r="O1103" s="95"/>
      <c r="P1103" s="95"/>
      <c r="Q1103" s="95"/>
      <c r="R1103" s="95"/>
      <c r="S1103" s="95"/>
      <c r="T1103" s="95"/>
      <c r="U1103" s="95"/>
      <c r="V1103" s="96"/>
      <c r="W1103" s="96"/>
      <c r="X1103" s="97"/>
      <c r="Y1103" s="97"/>
      <c r="Z1103" s="97"/>
      <c r="AA1103" s="4"/>
      <c r="AB1103" s="5"/>
    </row>
    <row r="1104" spans="1:28" x14ac:dyDescent="0.2">
      <c r="A1104" s="4"/>
      <c r="B1104" s="90"/>
      <c r="C1104" s="90"/>
      <c r="D1104" s="90"/>
      <c r="E1104" s="90"/>
      <c r="F1104" s="90"/>
      <c r="G1104" s="90"/>
      <c r="H1104" s="90"/>
      <c r="I1104" s="90"/>
      <c r="J1104" s="90"/>
      <c r="K1104" s="90"/>
      <c r="L1104" s="90"/>
      <c r="M1104" s="90"/>
      <c r="N1104" s="91"/>
      <c r="O1104" s="91"/>
      <c r="P1104" s="91"/>
      <c r="Q1104" s="91"/>
      <c r="R1104" s="91"/>
      <c r="S1104" s="91"/>
      <c r="T1104" s="91"/>
      <c r="U1104" s="91"/>
      <c r="V1104" s="92"/>
      <c r="W1104" s="92"/>
      <c r="X1104" s="93"/>
      <c r="Y1104" s="93"/>
      <c r="Z1104" s="93"/>
      <c r="AA1104" s="4"/>
      <c r="AB1104" s="5"/>
    </row>
    <row r="1105" spans="1:28" x14ac:dyDescent="0.2">
      <c r="A1105" s="4"/>
      <c r="B1105" s="94"/>
      <c r="C1105" s="94"/>
      <c r="D1105" s="94"/>
      <c r="E1105" s="94"/>
      <c r="F1105" s="94"/>
      <c r="G1105" s="94"/>
      <c r="H1105" s="94"/>
      <c r="I1105" s="94"/>
      <c r="J1105" s="94"/>
      <c r="K1105" s="94"/>
      <c r="L1105" s="94"/>
      <c r="M1105" s="94"/>
      <c r="N1105" s="95"/>
      <c r="O1105" s="95"/>
      <c r="P1105" s="95"/>
      <c r="Q1105" s="95"/>
      <c r="R1105" s="95"/>
      <c r="S1105" s="95"/>
      <c r="T1105" s="95"/>
      <c r="U1105" s="95"/>
      <c r="V1105" s="96"/>
      <c r="W1105" s="96"/>
      <c r="X1105" s="97"/>
      <c r="Y1105" s="97"/>
      <c r="Z1105" s="97"/>
      <c r="AA1105" s="4"/>
      <c r="AB1105" s="5"/>
    </row>
    <row r="1106" spans="1:28" x14ac:dyDescent="0.2">
      <c r="A1106" s="4"/>
      <c r="B1106" s="90"/>
      <c r="C1106" s="90"/>
      <c r="D1106" s="90"/>
      <c r="E1106" s="90"/>
      <c r="F1106" s="90"/>
      <c r="G1106" s="90"/>
      <c r="H1106" s="90"/>
      <c r="I1106" s="90"/>
      <c r="J1106" s="90"/>
      <c r="K1106" s="90"/>
      <c r="L1106" s="90"/>
      <c r="M1106" s="90"/>
      <c r="N1106" s="91"/>
      <c r="O1106" s="91"/>
      <c r="P1106" s="91"/>
      <c r="Q1106" s="91"/>
      <c r="R1106" s="91"/>
      <c r="S1106" s="91"/>
      <c r="T1106" s="91"/>
      <c r="U1106" s="91"/>
      <c r="V1106" s="92"/>
      <c r="W1106" s="92"/>
      <c r="X1106" s="93"/>
      <c r="Y1106" s="93"/>
      <c r="Z1106" s="93"/>
      <c r="AA1106" s="4"/>
      <c r="AB1106" s="5"/>
    </row>
    <row r="1107" spans="1:28" x14ac:dyDescent="0.2">
      <c r="A1107" s="4"/>
      <c r="B1107" s="94"/>
      <c r="C1107" s="94"/>
      <c r="D1107" s="94"/>
      <c r="E1107" s="94"/>
      <c r="F1107" s="94"/>
      <c r="G1107" s="94"/>
      <c r="H1107" s="94"/>
      <c r="I1107" s="94"/>
      <c r="J1107" s="94"/>
      <c r="K1107" s="94"/>
      <c r="L1107" s="94"/>
      <c r="M1107" s="94"/>
      <c r="N1107" s="95"/>
      <c r="O1107" s="95"/>
      <c r="P1107" s="95"/>
      <c r="Q1107" s="95"/>
      <c r="R1107" s="95"/>
      <c r="S1107" s="95"/>
      <c r="T1107" s="95"/>
      <c r="U1107" s="95"/>
      <c r="V1107" s="96"/>
      <c r="W1107" s="96"/>
      <c r="X1107" s="97"/>
      <c r="Y1107" s="97"/>
      <c r="Z1107" s="97"/>
      <c r="AA1107" s="4"/>
      <c r="AB1107" s="5"/>
    </row>
    <row r="1108" spans="1:28" x14ac:dyDescent="0.2">
      <c r="A1108" s="4"/>
      <c r="B1108" s="90"/>
      <c r="C1108" s="90"/>
      <c r="D1108" s="90"/>
      <c r="E1108" s="90"/>
      <c r="F1108" s="90"/>
      <c r="G1108" s="90"/>
      <c r="H1108" s="90"/>
      <c r="I1108" s="90"/>
      <c r="J1108" s="90"/>
      <c r="K1108" s="90"/>
      <c r="L1108" s="90"/>
      <c r="M1108" s="90"/>
      <c r="N1108" s="91"/>
      <c r="O1108" s="91"/>
      <c r="P1108" s="91"/>
      <c r="Q1108" s="91"/>
      <c r="R1108" s="91"/>
      <c r="S1108" s="91"/>
      <c r="T1108" s="91"/>
      <c r="U1108" s="91"/>
      <c r="V1108" s="92"/>
      <c r="W1108" s="92"/>
      <c r="X1108" s="93"/>
      <c r="Y1108" s="93"/>
      <c r="Z1108" s="93"/>
      <c r="AA1108" s="4"/>
      <c r="AB1108" s="5"/>
    </row>
    <row r="1109" spans="1:28" x14ac:dyDescent="0.2">
      <c r="A1109" s="4"/>
      <c r="B1109" s="94"/>
      <c r="C1109" s="94"/>
      <c r="D1109" s="94"/>
      <c r="E1109" s="94"/>
      <c r="F1109" s="94"/>
      <c r="G1109" s="94"/>
      <c r="H1109" s="94"/>
      <c r="I1109" s="94"/>
      <c r="J1109" s="94"/>
      <c r="K1109" s="94"/>
      <c r="L1109" s="94"/>
      <c r="M1109" s="94"/>
      <c r="N1109" s="95"/>
      <c r="O1109" s="95"/>
      <c r="P1109" s="95"/>
      <c r="Q1109" s="95"/>
      <c r="R1109" s="95"/>
      <c r="S1109" s="95"/>
      <c r="T1109" s="95"/>
      <c r="U1109" s="95"/>
      <c r="V1109" s="96"/>
      <c r="W1109" s="96"/>
      <c r="X1109" s="97"/>
      <c r="Y1109" s="97"/>
      <c r="Z1109" s="97"/>
      <c r="AA1109" s="4"/>
      <c r="AB1109" s="5"/>
    </row>
    <row r="1110" spans="1:28" x14ac:dyDescent="0.2">
      <c r="A1110" s="4"/>
      <c r="B1110" s="90"/>
      <c r="C1110" s="90"/>
      <c r="D1110" s="90"/>
      <c r="E1110" s="90"/>
      <c r="F1110" s="90"/>
      <c r="G1110" s="90"/>
      <c r="H1110" s="90"/>
      <c r="I1110" s="90"/>
      <c r="J1110" s="90"/>
      <c r="K1110" s="90"/>
      <c r="L1110" s="90"/>
      <c r="M1110" s="90"/>
      <c r="N1110" s="91"/>
      <c r="O1110" s="91"/>
      <c r="P1110" s="91"/>
      <c r="Q1110" s="91"/>
      <c r="R1110" s="91"/>
      <c r="S1110" s="91"/>
      <c r="T1110" s="91"/>
      <c r="U1110" s="91"/>
      <c r="V1110" s="92"/>
      <c r="W1110" s="92"/>
      <c r="X1110" s="93"/>
      <c r="Y1110" s="93"/>
      <c r="Z1110" s="93"/>
      <c r="AA1110" s="4"/>
      <c r="AB1110" s="5"/>
    </row>
    <row r="1111" spans="1:28" x14ac:dyDescent="0.2">
      <c r="A1111" s="4"/>
      <c r="B1111" s="94"/>
      <c r="C1111" s="94"/>
      <c r="D1111" s="94"/>
      <c r="E1111" s="94"/>
      <c r="F1111" s="94"/>
      <c r="G1111" s="94"/>
      <c r="H1111" s="94"/>
      <c r="I1111" s="94"/>
      <c r="J1111" s="94"/>
      <c r="K1111" s="94"/>
      <c r="L1111" s="94"/>
      <c r="M1111" s="94"/>
      <c r="N1111" s="95"/>
      <c r="O1111" s="95"/>
      <c r="P1111" s="95"/>
      <c r="Q1111" s="95"/>
      <c r="R1111" s="95"/>
      <c r="S1111" s="95"/>
      <c r="T1111" s="95"/>
      <c r="U1111" s="95"/>
      <c r="V1111" s="96"/>
      <c r="W1111" s="96"/>
      <c r="X1111" s="97"/>
      <c r="Y1111" s="97"/>
      <c r="Z1111" s="97"/>
      <c r="AA1111" s="4"/>
      <c r="AB1111" s="5"/>
    </row>
    <row r="1112" spans="1:28" x14ac:dyDescent="0.2">
      <c r="A1112" s="4"/>
      <c r="B1112" s="90"/>
      <c r="C1112" s="90"/>
      <c r="D1112" s="90"/>
      <c r="E1112" s="90"/>
      <c r="F1112" s="90"/>
      <c r="G1112" s="90"/>
      <c r="H1112" s="90"/>
      <c r="I1112" s="90"/>
      <c r="J1112" s="90"/>
      <c r="K1112" s="90"/>
      <c r="L1112" s="90"/>
      <c r="M1112" s="90"/>
      <c r="N1112" s="91"/>
      <c r="O1112" s="91"/>
      <c r="P1112" s="91"/>
      <c r="Q1112" s="91"/>
      <c r="R1112" s="91"/>
      <c r="S1112" s="91"/>
      <c r="T1112" s="91"/>
      <c r="U1112" s="91"/>
      <c r="V1112" s="92"/>
      <c r="W1112" s="92"/>
      <c r="X1112" s="93"/>
      <c r="Y1112" s="93"/>
      <c r="Z1112" s="93"/>
      <c r="AA1112" s="4"/>
      <c r="AB1112" s="5"/>
    </row>
    <row r="1113" spans="1:28" x14ac:dyDescent="0.2">
      <c r="A1113" s="4"/>
      <c r="B1113" s="94"/>
      <c r="C1113" s="94"/>
      <c r="D1113" s="94"/>
      <c r="E1113" s="94"/>
      <c r="F1113" s="94"/>
      <c r="G1113" s="94"/>
      <c r="H1113" s="94"/>
      <c r="I1113" s="94"/>
      <c r="J1113" s="94"/>
      <c r="K1113" s="94"/>
      <c r="L1113" s="94"/>
      <c r="M1113" s="94"/>
      <c r="N1113" s="95"/>
      <c r="O1113" s="95"/>
      <c r="P1113" s="95"/>
      <c r="Q1113" s="95"/>
      <c r="R1113" s="95"/>
      <c r="S1113" s="95"/>
      <c r="T1113" s="95"/>
      <c r="U1113" s="95"/>
      <c r="V1113" s="96"/>
      <c r="W1113" s="96"/>
      <c r="X1113" s="97"/>
      <c r="Y1113" s="97"/>
      <c r="Z1113" s="97"/>
      <c r="AA1113" s="4"/>
      <c r="AB1113" s="5"/>
    </row>
    <row r="1114" spans="1:28" x14ac:dyDescent="0.2">
      <c r="A1114" s="4"/>
      <c r="B1114" s="90"/>
      <c r="C1114" s="90"/>
      <c r="D1114" s="90"/>
      <c r="E1114" s="90"/>
      <c r="F1114" s="90"/>
      <c r="G1114" s="90"/>
      <c r="H1114" s="90"/>
      <c r="I1114" s="90"/>
      <c r="J1114" s="90"/>
      <c r="K1114" s="90"/>
      <c r="L1114" s="90"/>
      <c r="M1114" s="90"/>
      <c r="N1114" s="91"/>
      <c r="O1114" s="91"/>
      <c r="P1114" s="91"/>
      <c r="Q1114" s="91"/>
      <c r="R1114" s="91"/>
      <c r="S1114" s="91"/>
      <c r="T1114" s="91"/>
      <c r="U1114" s="91"/>
      <c r="V1114" s="92"/>
      <c r="W1114" s="92"/>
      <c r="X1114" s="93"/>
      <c r="Y1114" s="93"/>
      <c r="Z1114" s="93"/>
      <c r="AA1114" s="4"/>
      <c r="AB1114" s="5"/>
    </row>
    <row r="1115" spans="1:28" x14ac:dyDescent="0.2">
      <c r="A1115" s="4"/>
      <c r="B1115" s="94"/>
      <c r="C1115" s="94"/>
      <c r="D1115" s="94"/>
      <c r="E1115" s="94"/>
      <c r="F1115" s="94"/>
      <c r="G1115" s="94"/>
      <c r="H1115" s="94"/>
      <c r="I1115" s="94"/>
      <c r="J1115" s="94"/>
      <c r="K1115" s="94"/>
      <c r="L1115" s="94"/>
      <c r="M1115" s="94"/>
      <c r="N1115" s="95"/>
      <c r="O1115" s="95"/>
      <c r="P1115" s="95"/>
      <c r="Q1115" s="95"/>
      <c r="R1115" s="95"/>
      <c r="S1115" s="95"/>
      <c r="T1115" s="95"/>
      <c r="U1115" s="95"/>
      <c r="V1115" s="96"/>
      <c r="W1115" s="96"/>
      <c r="X1115" s="97"/>
      <c r="Y1115" s="97"/>
      <c r="Z1115" s="97"/>
      <c r="AA1115" s="4"/>
      <c r="AB1115" s="5"/>
    </row>
    <row r="1116" spans="1:28" x14ac:dyDescent="0.2">
      <c r="A1116" s="4"/>
      <c r="B1116" s="90"/>
      <c r="C1116" s="90"/>
      <c r="D1116" s="90"/>
      <c r="E1116" s="90"/>
      <c r="F1116" s="90"/>
      <c r="G1116" s="90"/>
      <c r="H1116" s="90"/>
      <c r="I1116" s="90"/>
      <c r="J1116" s="90"/>
      <c r="K1116" s="90"/>
      <c r="L1116" s="90"/>
      <c r="M1116" s="90"/>
      <c r="N1116" s="91"/>
      <c r="O1116" s="91"/>
      <c r="P1116" s="91"/>
      <c r="Q1116" s="91"/>
      <c r="R1116" s="91"/>
      <c r="S1116" s="91"/>
      <c r="T1116" s="91"/>
      <c r="U1116" s="91"/>
      <c r="V1116" s="92"/>
      <c r="W1116" s="92"/>
      <c r="X1116" s="93"/>
      <c r="Y1116" s="93"/>
      <c r="Z1116" s="93"/>
      <c r="AA1116" s="4"/>
      <c r="AB1116" s="5"/>
    </row>
    <row r="1117" spans="1:28" x14ac:dyDescent="0.2">
      <c r="A1117" s="4"/>
      <c r="B1117" s="94"/>
      <c r="C1117" s="94"/>
      <c r="D1117" s="94"/>
      <c r="E1117" s="94"/>
      <c r="F1117" s="94"/>
      <c r="G1117" s="94"/>
      <c r="H1117" s="94"/>
      <c r="I1117" s="94"/>
      <c r="J1117" s="94"/>
      <c r="K1117" s="94"/>
      <c r="L1117" s="94"/>
      <c r="M1117" s="94"/>
      <c r="N1117" s="95"/>
      <c r="O1117" s="95"/>
      <c r="P1117" s="95"/>
      <c r="Q1117" s="95"/>
      <c r="R1117" s="95"/>
      <c r="S1117" s="95"/>
      <c r="T1117" s="95"/>
      <c r="U1117" s="95"/>
      <c r="V1117" s="96"/>
      <c r="W1117" s="96"/>
      <c r="X1117" s="97"/>
      <c r="Y1117" s="97"/>
      <c r="Z1117" s="97"/>
      <c r="AA1117" s="4"/>
      <c r="AB1117" s="5"/>
    </row>
    <row r="1118" spans="1:28" x14ac:dyDescent="0.2">
      <c r="A1118" s="4"/>
      <c r="B1118" s="90"/>
      <c r="C1118" s="90"/>
      <c r="D1118" s="90"/>
      <c r="E1118" s="90"/>
      <c r="F1118" s="90"/>
      <c r="G1118" s="90"/>
      <c r="H1118" s="90"/>
      <c r="I1118" s="90"/>
      <c r="J1118" s="90"/>
      <c r="K1118" s="90"/>
      <c r="L1118" s="90"/>
      <c r="M1118" s="90"/>
      <c r="N1118" s="91"/>
      <c r="O1118" s="91"/>
      <c r="P1118" s="91"/>
      <c r="Q1118" s="91"/>
      <c r="R1118" s="91"/>
      <c r="S1118" s="91"/>
      <c r="T1118" s="91"/>
      <c r="U1118" s="91"/>
      <c r="V1118" s="92"/>
      <c r="W1118" s="92"/>
      <c r="X1118" s="93"/>
      <c r="Y1118" s="93"/>
      <c r="Z1118" s="93"/>
      <c r="AA1118" s="4"/>
      <c r="AB1118" s="5"/>
    </row>
    <row r="1119" spans="1:28" x14ac:dyDescent="0.2">
      <c r="A1119" s="4"/>
      <c r="B1119" s="94"/>
      <c r="C1119" s="94"/>
      <c r="D1119" s="94"/>
      <c r="E1119" s="94"/>
      <c r="F1119" s="94"/>
      <c r="G1119" s="94"/>
      <c r="H1119" s="94"/>
      <c r="I1119" s="94"/>
      <c r="J1119" s="94"/>
      <c r="K1119" s="94"/>
      <c r="L1119" s="94"/>
      <c r="M1119" s="94"/>
      <c r="N1119" s="95"/>
      <c r="O1119" s="95"/>
      <c r="P1119" s="95"/>
      <c r="Q1119" s="95"/>
      <c r="R1119" s="95"/>
      <c r="S1119" s="95"/>
      <c r="T1119" s="95"/>
      <c r="U1119" s="95"/>
      <c r="V1119" s="96"/>
      <c r="W1119" s="96"/>
      <c r="X1119" s="97"/>
      <c r="Y1119" s="97"/>
      <c r="Z1119" s="97"/>
      <c r="AA1119" s="4"/>
      <c r="AB1119" s="5"/>
    </row>
    <row r="1120" spans="1:28" x14ac:dyDescent="0.2">
      <c r="A1120" s="4"/>
      <c r="B1120" s="90"/>
      <c r="C1120" s="90"/>
      <c r="D1120" s="90"/>
      <c r="E1120" s="90"/>
      <c r="F1120" s="90"/>
      <c r="G1120" s="90"/>
      <c r="H1120" s="90"/>
      <c r="I1120" s="90"/>
      <c r="J1120" s="90"/>
      <c r="K1120" s="90"/>
      <c r="L1120" s="90"/>
      <c r="M1120" s="90"/>
      <c r="N1120" s="91"/>
      <c r="O1120" s="91"/>
      <c r="P1120" s="91"/>
      <c r="Q1120" s="91"/>
      <c r="R1120" s="91"/>
      <c r="S1120" s="91"/>
      <c r="T1120" s="91"/>
      <c r="U1120" s="91"/>
      <c r="V1120" s="92"/>
      <c r="W1120" s="92"/>
      <c r="X1120" s="93"/>
      <c r="Y1120" s="93"/>
      <c r="Z1120" s="93"/>
      <c r="AA1120" s="4"/>
      <c r="AB1120" s="5"/>
    </row>
    <row r="1121" spans="1:28" x14ac:dyDescent="0.2">
      <c r="A1121" s="4"/>
      <c r="B1121" s="94"/>
      <c r="C1121" s="94"/>
      <c r="D1121" s="94"/>
      <c r="E1121" s="94"/>
      <c r="F1121" s="94"/>
      <c r="G1121" s="94"/>
      <c r="H1121" s="94"/>
      <c r="I1121" s="94"/>
      <c r="J1121" s="94"/>
      <c r="K1121" s="94"/>
      <c r="L1121" s="94"/>
      <c r="M1121" s="94"/>
      <c r="N1121" s="95"/>
      <c r="O1121" s="95"/>
      <c r="P1121" s="95"/>
      <c r="Q1121" s="95"/>
      <c r="R1121" s="95"/>
      <c r="S1121" s="95"/>
      <c r="T1121" s="95"/>
      <c r="U1121" s="95"/>
      <c r="V1121" s="96"/>
      <c r="W1121" s="96"/>
      <c r="X1121" s="97"/>
      <c r="Y1121" s="97"/>
      <c r="Z1121" s="97"/>
      <c r="AA1121" s="4"/>
      <c r="AB1121" s="5"/>
    </row>
    <row r="1122" spans="1:28" x14ac:dyDescent="0.2">
      <c r="A1122" s="4"/>
      <c r="B1122" s="90"/>
      <c r="C1122" s="90"/>
      <c r="D1122" s="90"/>
      <c r="E1122" s="90"/>
      <c r="F1122" s="90"/>
      <c r="G1122" s="90"/>
      <c r="H1122" s="90"/>
      <c r="I1122" s="90"/>
      <c r="J1122" s="90"/>
      <c r="K1122" s="90"/>
      <c r="L1122" s="90"/>
      <c r="M1122" s="90"/>
      <c r="N1122" s="91"/>
      <c r="O1122" s="91"/>
      <c r="P1122" s="91"/>
      <c r="Q1122" s="91"/>
      <c r="R1122" s="91"/>
      <c r="S1122" s="91"/>
      <c r="T1122" s="91"/>
      <c r="U1122" s="91"/>
      <c r="V1122" s="92"/>
      <c r="W1122" s="92"/>
      <c r="X1122" s="93"/>
      <c r="Y1122" s="93"/>
      <c r="Z1122" s="93"/>
      <c r="AA1122" s="4"/>
      <c r="AB1122" s="5"/>
    </row>
    <row r="1123" spans="1:28" x14ac:dyDescent="0.2">
      <c r="A1123" s="4"/>
      <c r="B1123" s="94"/>
      <c r="C1123" s="94"/>
      <c r="D1123" s="94"/>
      <c r="E1123" s="94"/>
      <c r="F1123" s="94"/>
      <c r="G1123" s="94"/>
      <c r="H1123" s="94"/>
      <c r="I1123" s="94"/>
      <c r="J1123" s="94"/>
      <c r="K1123" s="94"/>
      <c r="L1123" s="94"/>
      <c r="M1123" s="94"/>
      <c r="N1123" s="95"/>
      <c r="O1123" s="95"/>
      <c r="P1123" s="95"/>
      <c r="Q1123" s="95"/>
      <c r="R1123" s="95"/>
      <c r="S1123" s="95"/>
      <c r="T1123" s="95"/>
      <c r="U1123" s="95"/>
      <c r="V1123" s="96"/>
      <c r="W1123" s="96"/>
      <c r="X1123" s="97"/>
      <c r="Y1123" s="97"/>
      <c r="Z1123" s="97"/>
      <c r="AA1123" s="4"/>
      <c r="AB1123" s="5"/>
    </row>
    <row r="1124" spans="1:28" x14ac:dyDescent="0.2">
      <c r="A1124" s="4"/>
      <c r="B1124" s="90"/>
      <c r="C1124" s="90"/>
      <c r="D1124" s="90"/>
      <c r="E1124" s="90"/>
      <c r="F1124" s="90"/>
      <c r="G1124" s="90"/>
      <c r="H1124" s="90"/>
      <c r="I1124" s="90"/>
      <c r="J1124" s="90"/>
      <c r="K1124" s="90"/>
      <c r="L1124" s="90"/>
      <c r="M1124" s="90"/>
      <c r="N1124" s="91"/>
      <c r="O1124" s="91"/>
      <c r="P1124" s="91"/>
      <c r="Q1124" s="91"/>
      <c r="R1124" s="91"/>
      <c r="S1124" s="91"/>
      <c r="T1124" s="91"/>
      <c r="U1124" s="91"/>
      <c r="V1124" s="92"/>
      <c r="W1124" s="92"/>
      <c r="X1124" s="93"/>
      <c r="Y1124" s="93"/>
      <c r="Z1124" s="93"/>
      <c r="AA1124" s="4"/>
      <c r="AB1124" s="5"/>
    </row>
    <row r="1125" spans="1:28" x14ac:dyDescent="0.2">
      <c r="A1125" s="4"/>
      <c r="B1125" s="94"/>
      <c r="C1125" s="94"/>
      <c r="D1125" s="94"/>
      <c r="E1125" s="94"/>
      <c r="F1125" s="94"/>
      <c r="G1125" s="94"/>
      <c r="H1125" s="94"/>
      <c r="I1125" s="94"/>
      <c r="J1125" s="94"/>
      <c r="K1125" s="94"/>
      <c r="L1125" s="94"/>
      <c r="M1125" s="94"/>
      <c r="N1125" s="95"/>
      <c r="O1125" s="95"/>
      <c r="P1125" s="95"/>
      <c r="Q1125" s="95"/>
      <c r="R1125" s="95"/>
      <c r="S1125" s="95"/>
      <c r="T1125" s="95"/>
      <c r="U1125" s="95"/>
      <c r="V1125" s="96"/>
      <c r="W1125" s="96"/>
      <c r="X1125" s="97"/>
      <c r="Y1125" s="97"/>
      <c r="Z1125" s="97"/>
      <c r="AA1125" s="4"/>
      <c r="AB1125" s="5"/>
    </row>
    <row r="1126" spans="1:28" x14ac:dyDescent="0.2">
      <c r="A1126" s="4"/>
      <c r="B1126" s="90"/>
      <c r="C1126" s="90"/>
      <c r="D1126" s="90"/>
      <c r="E1126" s="90"/>
      <c r="F1126" s="90"/>
      <c r="G1126" s="90"/>
      <c r="H1126" s="90"/>
      <c r="I1126" s="90"/>
      <c r="J1126" s="90"/>
      <c r="K1126" s="90"/>
      <c r="L1126" s="90"/>
      <c r="M1126" s="90"/>
      <c r="N1126" s="91"/>
      <c r="O1126" s="91"/>
      <c r="P1126" s="91"/>
      <c r="Q1126" s="91"/>
      <c r="R1126" s="91"/>
      <c r="S1126" s="91"/>
      <c r="T1126" s="91"/>
      <c r="U1126" s="91"/>
      <c r="V1126" s="92"/>
      <c r="W1126" s="92"/>
      <c r="X1126" s="93"/>
      <c r="Y1126" s="93"/>
      <c r="Z1126" s="93"/>
      <c r="AA1126" s="4"/>
      <c r="AB1126" s="5"/>
    </row>
    <row r="1127" spans="1:28" x14ac:dyDescent="0.2">
      <c r="A1127" s="4"/>
      <c r="B1127" s="94"/>
      <c r="C1127" s="94"/>
      <c r="D1127" s="94"/>
      <c r="E1127" s="94"/>
      <c r="F1127" s="94"/>
      <c r="G1127" s="94"/>
      <c r="H1127" s="94"/>
      <c r="I1127" s="94"/>
      <c r="J1127" s="94"/>
      <c r="K1127" s="94"/>
      <c r="L1127" s="94"/>
      <c r="M1127" s="94"/>
      <c r="N1127" s="95"/>
      <c r="O1127" s="95"/>
      <c r="P1127" s="95"/>
      <c r="Q1127" s="95"/>
      <c r="R1127" s="95"/>
      <c r="S1127" s="95"/>
      <c r="T1127" s="95"/>
      <c r="U1127" s="95"/>
      <c r="V1127" s="96"/>
      <c r="W1127" s="96"/>
      <c r="X1127" s="97"/>
      <c r="Y1127" s="97"/>
      <c r="Z1127" s="97"/>
      <c r="AA1127" s="4"/>
      <c r="AB1127" s="5"/>
    </row>
    <row r="1128" spans="1:28" x14ac:dyDescent="0.2">
      <c r="A1128" s="4"/>
      <c r="B1128" s="90"/>
      <c r="C1128" s="90"/>
      <c r="D1128" s="90"/>
      <c r="E1128" s="90"/>
      <c r="F1128" s="90"/>
      <c r="G1128" s="90"/>
      <c r="H1128" s="90"/>
      <c r="I1128" s="90"/>
      <c r="J1128" s="90"/>
      <c r="K1128" s="90"/>
      <c r="L1128" s="90"/>
      <c r="M1128" s="90"/>
      <c r="N1128" s="91"/>
      <c r="O1128" s="91"/>
      <c r="P1128" s="91"/>
      <c r="Q1128" s="91"/>
      <c r="R1128" s="91"/>
      <c r="S1128" s="91"/>
      <c r="T1128" s="91"/>
      <c r="U1128" s="91"/>
      <c r="V1128" s="92"/>
      <c r="W1128" s="92"/>
      <c r="X1128" s="93"/>
      <c r="Y1128" s="93"/>
      <c r="Z1128" s="93"/>
      <c r="AA1128" s="4"/>
      <c r="AB1128" s="5"/>
    </row>
    <row r="1129" spans="1:28" x14ac:dyDescent="0.2">
      <c r="A1129" s="4"/>
      <c r="B1129" s="94"/>
      <c r="C1129" s="94"/>
      <c r="D1129" s="94"/>
      <c r="E1129" s="94"/>
      <c r="F1129" s="94"/>
      <c r="G1129" s="94"/>
      <c r="H1129" s="94"/>
      <c r="I1129" s="94"/>
      <c r="J1129" s="94"/>
      <c r="K1129" s="94"/>
      <c r="L1129" s="94"/>
      <c r="M1129" s="94"/>
      <c r="N1129" s="95"/>
      <c r="O1129" s="95"/>
      <c r="P1129" s="95"/>
      <c r="Q1129" s="95"/>
      <c r="R1129" s="95"/>
      <c r="S1129" s="95"/>
      <c r="T1129" s="95"/>
      <c r="U1129" s="95"/>
      <c r="V1129" s="96"/>
      <c r="W1129" s="96"/>
      <c r="X1129" s="97"/>
      <c r="Y1129" s="97"/>
      <c r="Z1129" s="97"/>
      <c r="AA1129" s="4"/>
      <c r="AB1129" s="5"/>
    </row>
    <row r="1130" spans="1:28" x14ac:dyDescent="0.2">
      <c r="A1130" s="4"/>
      <c r="B1130" s="90"/>
      <c r="C1130" s="90"/>
      <c r="D1130" s="90"/>
      <c r="E1130" s="90"/>
      <c r="F1130" s="90"/>
      <c r="G1130" s="90"/>
      <c r="H1130" s="90"/>
      <c r="I1130" s="90"/>
      <c r="J1130" s="90"/>
      <c r="K1130" s="90"/>
      <c r="L1130" s="90"/>
      <c r="M1130" s="90"/>
      <c r="N1130" s="91"/>
      <c r="O1130" s="91"/>
      <c r="P1130" s="91"/>
      <c r="Q1130" s="91"/>
      <c r="R1130" s="91"/>
      <c r="S1130" s="91"/>
      <c r="T1130" s="91"/>
      <c r="U1130" s="91"/>
      <c r="V1130" s="92"/>
      <c r="W1130" s="92"/>
      <c r="X1130" s="93"/>
      <c r="Y1130" s="93"/>
      <c r="Z1130" s="93"/>
      <c r="AA1130" s="4"/>
      <c r="AB1130" s="5"/>
    </row>
    <row r="1131" spans="1:28" x14ac:dyDescent="0.2">
      <c r="A1131" s="4"/>
      <c r="B1131" s="94"/>
      <c r="C1131" s="94"/>
      <c r="D1131" s="94"/>
      <c r="E1131" s="94"/>
      <c r="F1131" s="94"/>
      <c r="G1131" s="94"/>
      <c r="H1131" s="94"/>
      <c r="I1131" s="94"/>
      <c r="J1131" s="94"/>
      <c r="K1131" s="94"/>
      <c r="L1131" s="94"/>
      <c r="M1131" s="94"/>
      <c r="N1131" s="95"/>
      <c r="O1131" s="95"/>
      <c r="P1131" s="95"/>
      <c r="Q1131" s="95"/>
      <c r="R1131" s="95"/>
      <c r="S1131" s="95"/>
      <c r="T1131" s="95"/>
      <c r="U1131" s="95"/>
      <c r="V1131" s="96"/>
      <c r="W1131" s="96"/>
      <c r="X1131" s="97"/>
      <c r="Y1131" s="97"/>
      <c r="Z1131" s="97"/>
      <c r="AA1131" s="4"/>
      <c r="AB1131" s="5"/>
    </row>
    <row r="1132" spans="1:28" x14ac:dyDescent="0.2">
      <c r="A1132" s="4"/>
      <c r="B1132" s="90"/>
      <c r="C1132" s="90"/>
      <c r="D1132" s="90"/>
      <c r="E1132" s="90"/>
      <c r="F1132" s="90"/>
      <c r="G1132" s="90"/>
      <c r="H1132" s="90"/>
      <c r="I1132" s="90"/>
      <c r="J1132" s="90"/>
      <c r="K1132" s="90"/>
      <c r="L1132" s="90"/>
      <c r="M1132" s="90"/>
      <c r="N1132" s="91"/>
      <c r="O1132" s="91"/>
      <c r="P1132" s="91"/>
      <c r="Q1132" s="91"/>
      <c r="R1132" s="91"/>
      <c r="S1132" s="91"/>
      <c r="T1132" s="91"/>
      <c r="U1132" s="91"/>
      <c r="V1132" s="92"/>
      <c r="W1132" s="92"/>
      <c r="X1132" s="93"/>
      <c r="Y1132" s="93"/>
      <c r="Z1132" s="93"/>
      <c r="AA1132" s="4"/>
      <c r="AB1132" s="5"/>
    </row>
    <row r="1133" spans="1:28" x14ac:dyDescent="0.2">
      <c r="A1133" s="4"/>
      <c r="B1133" s="94"/>
      <c r="C1133" s="94"/>
      <c r="D1133" s="94"/>
      <c r="E1133" s="94"/>
      <c r="F1133" s="94"/>
      <c r="G1133" s="94"/>
      <c r="H1133" s="94"/>
      <c r="I1133" s="94"/>
      <c r="J1133" s="94"/>
      <c r="K1133" s="94"/>
      <c r="L1133" s="94"/>
      <c r="M1133" s="94"/>
      <c r="N1133" s="95"/>
      <c r="O1133" s="95"/>
      <c r="P1133" s="95"/>
      <c r="Q1133" s="95"/>
      <c r="R1133" s="95"/>
      <c r="S1133" s="95"/>
      <c r="T1133" s="95"/>
      <c r="U1133" s="95"/>
      <c r="V1133" s="96"/>
      <c r="W1133" s="96"/>
      <c r="X1133" s="97"/>
      <c r="Y1133" s="97"/>
      <c r="Z1133" s="97"/>
      <c r="AA1133" s="4"/>
      <c r="AB1133" s="5"/>
    </row>
    <row r="1134" spans="1:28" x14ac:dyDescent="0.2">
      <c r="A1134" s="4"/>
      <c r="B1134" s="90"/>
      <c r="C1134" s="90"/>
      <c r="D1134" s="90"/>
      <c r="E1134" s="90"/>
      <c r="F1134" s="90"/>
      <c r="G1134" s="90"/>
      <c r="H1134" s="90"/>
      <c r="I1134" s="90"/>
      <c r="J1134" s="90"/>
      <c r="K1134" s="90"/>
      <c r="L1134" s="90"/>
      <c r="M1134" s="90"/>
      <c r="N1134" s="91"/>
      <c r="O1134" s="91"/>
      <c r="P1134" s="91"/>
      <c r="Q1134" s="91"/>
      <c r="R1134" s="91"/>
      <c r="S1134" s="91"/>
      <c r="T1134" s="91"/>
      <c r="U1134" s="91"/>
      <c r="V1134" s="92"/>
      <c r="W1134" s="92"/>
      <c r="X1134" s="93"/>
      <c r="Y1134" s="93"/>
      <c r="Z1134" s="93"/>
      <c r="AA1134" s="4"/>
      <c r="AB1134" s="5"/>
    </row>
    <row r="1135" spans="1:28" x14ac:dyDescent="0.2">
      <c r="A1135" s="4"/>
      <c r="B1135" s="94"/>
      <c r="C1135" s="94"/>
      <c r="D1135" s="94"/>
      <c r="E1135" s="94"/>
      <c r="F1135" s="94"/>
      <c r="G1135" s="94"/>
      <c r="H1135" s="94"/>
      <c r="I1135" s="94"/>
      <c r="J1135" s="94"/>
      <c r="K1135" s="94"/>
      <c r="L1135" s="94"/>
      <c r="M1135" s="94"/>
      <c r="N1135" s="95"/>
      <c r="O1135" s="95"/>
      <c r="P1135" s="95"/>
      <c r="Q1135" s="95"/>
      <c r="R1135" s="95"/>
      <c r="S1135" s="95"/>
      <c r="T1135" s="95"/>
      <c r="U1135" s="95"/>
      <c r="V1135" s="96"/>
      <c r="W1135" s="96"/>
      <c r="X1135" s="97"/>
      <c r="Y1135" s="97"/>
      <c r="Z1135" s="97"/>
      <c r="AA1135" s="4"/>
      <c r="AB1135" s="5"/>
    </row>
    <row r="1136" spans="1:28" x14ac:dyDescent="0.2">
      <c r="A1136" s="4"/>
      <c r="B1136" s="90"/>
      <c r="C1136" s="90"/>
      <c r="D1136" s="90"/>
      <c r="E1136" s="90"/>
      <c r="F1136" s="90"/>
      <c r="G1136" s="90"/>
      <c r="H1136" s="90"/>
      <c r="I1136" s="90"/>
      <c r="J1136" s="90"/>
      <c r="K1136" s="90"/>
      <c r="L1136" s="90"/>
      <c r="M1136" s="90"/>
      <c r="N1136" s="91"/>
      <c r="O1136" s="91"/>
      <c r="P1136" s="91"/>
      <c r="Q1136" s="91"/>
      <c r="R1136" s="91"/>
      <c r="S1136" s="91"/>
      <c r="T1136" s="91"/>
      <c r="U1136" s="91"/>
      <c r="V1136" s="92"/>
      <c r="W1136" s="92"/>
      <c r="X1136" s="93"/>
      <c r="Y1136" s="93"/>
      <c r="Z1136" s="93"/>
      <c r="AA1136" s="4"/>
      <c r="AB1136" s="5"/>
    </row>
    <row r="1137" spans="1:28" x14ac:dyDescent="0.2">
      <c r="A1137" s="4"/>
      <c r="B1137" s="94"/>
      <c r="C1137" s="94"/>
      <c r="D1137" s="94"/>
      <c r="E1137" s="94"/>
      <c r="F1137" s="94"/>
      <c r="G1137" s="94"/>
      <c r="H1137" s="94"/>
      <c r="I1137" s="94"/>
      <c r="J1137" s="94"/>
      <c r="K1137" s="94"/>
      <c r="L1137" s="94"/>
      <c r="M1137" s="94"/>
      <c r="N1137" s="95"/>
      <c r="O1137" s="95"/>
      <c r="P1137" s="95"/>
      <c r="Q1137" s="95"/>
      <c r="R1137" s="95"/>
      <c r="S1137" s="95"/>
      <c r="T1137" s="95"/>
      <c r="U1137" s="95"/>
      <c r="V1137" s="96"/>
      <c r="W1137" s="96"/>
      <c r="X1137" s="97"/>
      <c r="Y1137" s="97"/>
      <c r="Z1137" s="97"/>
      <c r="AA1137" s="4"/>
      <c r="AB1137" s="5"/>
    </row>
    <row r="1138" spans="1:28" x14ac:dyDescent="0.2">
      <c r="A1138" s="4"/>
      <c r="B1138" s="90"/>
      <c r="C1138" s="90"/>
      <c r="D1138" s="90"/>
      <c r="E1138" s="90"/>
      <c r="F1138" s="90"/>
      <c r="G1138" s="90"/>
      <c r="H1138" s="90"/>
      <c r="I1138" s="90"/>
      <c r="J1138" s="90"/>
      <c r="K1138" s="90"/>
      <c r="L1138" s="90"/>
      <c r="M1138" s="90"/>
      <c r="N1138" s="91"/>
      <c r="O1138" s="91"/>
      <c r="P1138" s="91"/>
      <c r="Q1138" s="91"/>
      <c r="R1138" s="91"/>
      <c r="S1138" s="91"/>
      <c r="T1138" s="91"/>
      <c r="U1138" s="91"/>
      <c r="V1138" s="92"/>
      <c r="W1138" s="92"/>
      <c r="X1138" s="93"/>
      <c r="Y1138" s="93"/>
      <c r="Z1138" s="93"/>
      <c r="AA1138" s="4"/>
      <c r="AB1138" s="5"/>
    </row>
    <row r="1139" spans="1:28" x14ac:dyDescent="0.2">
      <c r="A1139" s="4"/>
      <c r="B1139" s="94"/>
      <c r="C1139" s="94"/>
      <c r="D1139" s="94"/>
      <c r="E1139" s="94"/>
      <c r="F1139" s="94"/>
      <c r="G1139" s="94"/>
      <c r="H1139" s="94"/>
      <c r="I1139" s="94"/>
      <c r="J1139" s="94"/>
      <c r="K1139" s="94"/>
      <c r="L1139" s="94"/>
      <c r="M1139" s="94"/>
      <c r="N1139" s="95"/>
      <c r="O1139" s="95"/>
      <c r="P1139" s="95"/>
      <c r="Q1139" s="95"/>
      <c r="R1139" s="95"/>
      <c r="S1139" s="95"/>
      <c r="T1139" s="95"/>
      <c r="U1139" s="95"/>
      <c r="V1139" s="96"/>
      <c r="W1139" s="96"/>
      <c r="X1139" s="97"/>
      <c r="Y1139" s="97"/>
      <c r="Z1139" s="97"/>
      <c r="AA1139" s="4"/>
      <c r="AB1139" s="5"/>
    </row>
    <row r="1140" spans="1:28" x14ac:dyDescent="0.2">
      <c r="A1140" s="4"/>
      <c r="B1140" s="90"/>
      <c r="C1140" s="90"/>
      <c r="D1140" s="90"/>
      <c r="E1140" s="90"/>
      <c r="F1140" s="90"/>
      <c r="G1140" s="90"/>
      <c r="H1140" s="90"/>
      <c r="I1140" s="90"/>
      <c r="J1140" s="90"/>
      <c r="K1140" s="90"/>
      <c r="L1140" s="90"/>
      <c r="M1140" s="90"/>
      <c r="N1140" s="91"/>
      <c r="O1140" s="91"/>
      <c r="P1140" s="91"/>
      <c r="Q1140" s="91"/>
      <c r="R1140" s="91"/>
      <c r="S1140" s="91"/>
      <c r="T1140" s="91"/>
      <c r="U1140" s="91"/>
      <c r="V1140" s="92"/>
      <c r="W1140" s="92"/>
      <c r="X1140" s="93"/>
      <c r="Y1140" s="93"/>
      <c r="Z1140" s="93"/>
      <c r="AA1140" s="4"/>
      <c r="AB1140" s="5"/>
    </row>
    <row r="1141" spans="1:28" x14ac:dyDescent="0.2">
      <c r="A1141" s="4"/>
      <c r="B1141" s="94"/>
      <c r="C1141" s="94"/>
      <c r="D1141" s="94"/>
      <c r="E1141" s="94"/>
      <c r="F1141" s="94"/>
      <c r="G1141" s="94"/>
      <c r="H1141" s="94"/>
      <c r="I1141" s="94"/>
      <c r="J1141" s="94"/>
      <c r="K1141" s="94"/>
      <c r="L1141" s="94"/>
      <c r="M1141" s="94"/>
      <c r="N1141" s="95"/>
      <c r="O1141" s="95"/>
      <c r="P1141" s="95"/>
      <c r="Q1141" s="95"/>
      <c r="R1141" s="95"/>
      <c r="S1141" s="95"/>
      <c r="T1141" s="95"/>
      <c r="U1141" s="95"/>
      <c r="V1141" s="96"/>
      <c r="W1141" s="96"/>
      <c r="X1141" s="97"/>
      <c r="Y1141" s="97"/>
      <c r="Z1141" s="97"/>
      <c r="AA1141" s="4"/>
      <c r="AB1141" s="5"/>
    </row>
    <row r="1142" spans="1:28" x14ac:dyDescent="0.2">
      <c r="A1142" s="4"/>
      <c r="B1142" s="90"/>
      <c r="C1142" s="90"/>
      <c r="D1142" s="90"/>
      <c r="E1142" s="90"/>
      <c r="F1142" s="90"/>
      <c r="G1142" s="90"/>
      <c r="H1142" s="90"/>
      <c r="I1142" s="90"/>
      <c r="J1142" s="90"/>
      <c r="K1142" s="90"/>
      <c r="L1142" s="90"/>
      <c r="M1142" s="90"/>
      <c r="N1142" s="91"/>
      <c r="O1142" s="91"/>
      <c r="P1142" s="91"/>
      <c r="Q1142" s="91"/>
      <c r="R1142" s="91"/>
      <c r="S1142" s="91"/>
      <c r="T1142" s="91"/>
      <c r="U1142" s="91"/>
      <c r="V1142" s="92"/>
      <c r="W1142" s="92"/>
      <c r="X1142" s="93"/>
      <c r="Y1142" s="93"/>
      <c r="Z1142" s="93"/>
      <c r="AA1142" s="4"/>
      <c r="AB1142" s="5"/>
    </row>
    <row r="1143" spans="1:28" x14ac:dyDescent="0.2">
      <c r="A1143" s="4"/>
      <c r="B1143" s="94"/>
      <c r="C1143" s="94"/>
      <c r="D1143" s="94"/>
      <c r="E1143" s="94"/>
      <c r="F1143" s="94"/>
      <c r="G1143" s="94"/>
      <c r="H1143" s="94"/>
      <c r="I1143" s="94"/>
      <c r="J1143" s="94"/>
      <c r="K1143" s="94"/>
      <c r="L1143" s="94"/>
      <c r="M1143" s="94"/>
      <c r="N1143" s="95"/>
      <c r="O1143" s="95"/>
      <c r="P1143" s="95"/>
      <c r="Q1143" s="95"/>
      <c r="R1143" s="95"/>
      <c r="S1143" s="95"/>
      <c r="T1143" s="95"/>
      <c r="U1143" s="95"/>
      <c r="V1143" s="96"/>
      <c r="W1143" s="96"/>
      <c r="X1143" s="97"/>
      <c r="Y1143" s="97"/>
      <c r="Z1143" s="97"/>
      <c r="AA1143" s="4"/>
      <c r="AB1143" s="5"/>
    </row>
    <row r="1144" spans="1:28" x14ac:dyDescent="0.2">
      <c r="A1144" s="4"/>
      <c r="B1144" s="90"/>
      <c r="C1144" s="90"/>
      <c r="D1144" s="90"/>
      <c r="E1144" s="90"/>
      <c r="F1144" s="90"/>
      <c r="G1144" s="90"/>
      <c r="H1144" s="90"/>
      <c r="I1144" s="90"/>
      <c r="J1144" s="90"/>
      <c r="K1144" s="90"/>
      <c r="L1144" s="90"/>
      <c r="M1144" s="90"/>
      <c r="N1144" s="91"/>
      <c r="O1144" s="91"/>
      <c r="P1144" s="91"/>
      <c r="Q1144" s="91"/>
      <c r="R1144" s="91"/>
      <c r="S1144" s="91"/>
      <c r="T1144" s="91"/>
      <c r="U1144" s="91"/>
      <c r="V1144" s="92"/>
      <c r="W1144" s="92"/>
      <c r="X1144" s="93"/>
      <c r="Y1144" s="93"/>
      <c r="Z1144" s="93"/>
      <c r="AA1144" s="4"/>
      <c r="AB1144" s="5"/>
    </row>
    <row r="1145" spans="1:28" x14ac:dyDescent="0.2">
      <c r="A1145" s="4"/>
      <c r="B1145" s="94"/>
      <c r="C1145" s="94"/>
      <c r="D1145" s="94"/>
      <c r="E1145" s="94"/>
      <c r="F1145" s="94"/>
      <c r="G1145" s="94"/>
      <c r="H1145" s="94"/>
      <c r="I1145" s="94"/>
      <c r="J1145" s="94"/>
      <c r="K1145" s="94"/>
      <c r="L1145" s="94"/>
      <c r="M1145" s="94"/>
      <c r="N1145" s="95"/>
      <c r="O1145" s="95"/>
      <c r="P1145" s="95"/>
      <c r="Q1145" s="95"/>
      <c r="R1145" s="95"/>
      <c r="S1145" s="95"/>
      <c r="T1145" s="95"/>
      <c r="U1145" s="95"/>
      <c r="V1145" s="96"/>
      <c r="W1145" s="96"/>
      <c r="X1145" s="97"/>
      <c r="Y1145" s="97"/>
      <c r="Z1145" s="97"/>
      <c r="AA1145" s="4"/>
      <c r="AB1145" s="5"/>
    </row>
    <row r="1146" spans="1:28" x14ac:dyDescent="0.2">
      <c r="A1146" s="4"/>
      <c r="B1146" s="90"/>
      <c r="C1146" s="90"/>
      <c r="D1146" s="90"/>
      <c r="E1146" s="90"/>
      <c r="F1146" s="90"/>
      <c r="G1146" s="90"/>
      <c r="H1146" s="90"/>
      <c r="I1146" s="90"/>
      <c r="J1146" s="90"/>
      <c r="K1146" s="90"/>
      <c r="L1146" s="90"/>
      <c r="M1146" s="90"/>
      <c r="N1146" s="91"/>
      <c r="O1146" s="91"/>
      <c r="P1146" s="91"/>
      <c r="Q1146" s="91"/>
      <c r="R1146" s="91"/>
      <c r="S1146" s="91"/>
      <c r="T1146" s="91"/>
      <c r="U1146" s="91"/>
      <c r="V1146" s="92"/>
      <c r="W1146" s="92"/>
      <c r="X1146" s="93"/>
      <c r="Y1146" s="93"/>
      <c r="Z1146" s="93"/>
      <c r="AA1146" s="4"/>
      <c r="AB1146" s="5"/>
    </row>
    <row r="1147" spans="1:28" x14ac:dyDescent="0.2">
      <c r="A1147" s="4"/>
      <c r="B1147" s="94"/>
      <c r="C1147" s="94"/>
      <c r="D1147" s="94"/>
      <c r="E1147" s="94"/>
      <c r="F1147" s="94"/>
      <c r="G1147" s="94"/>
      <c r="H1147" s="94"/>
      <c r="I1147" s="94"/>
      <c r="J1147" s="94"/>
      <c r="K1147" s="94"/>
      <c r="L1147" s="94"/>
      <c r="M1147" s="94"/>
      <c r="N1147" s="95"/>
      <c r="O1147" s="95"/>
      <c r="P1147" s="95"/>
      <c r="Q1147" s="95"/>
      <c r="R1147" s="95"/>
      <c r="S1147" s="95"/>
      <c r="T1147" s="95"/>
      <c r="U1147" s="95"/>
      <c r="V1147" s="96"/>
      <c r="W1147" s="96"/>
      <c r="X1147" s="97"/>
      <c r="Y1147" s="97"/>
      <c r="Z1147" s="97"/>
      <c r="AA1147" s="4"/>
      <c r="AB1147" s="5"/>
    </row>
    <row r="1148" spans="1:28" x14ac:dyDescent="0.2">
      <c r="A1148" s="4"/>
      <c r="B1148" s="90"/>
      <c r="C1148" s="90"/>
      <c r="D1148" s="90"/>
      <c r="E1148" s="90"/>
      <c r="F1148" s="90"/>
      <c r="G1148" s="90"/>
      <c r="H1148" s="90"/>
      <c r="I1148" s="90"/>
      <c r="J1148" s="90"/>
      <c r="K1148" s="90"/>
      <c r="L1148" s="90"/>
      <c r="M1148" s="90"/>
      <c r="N1148" s="91"/>
      <c r="O1148" s="91"/>
      <c r="P1148" s="91"/>
      <c r="Q1148" s="91"/>
      <c r="R1148" s="91"/>
      <c r="S1148" s="91"/>
      <c r="T1148" s="91"/>
      <c r="U1148" s="91"/>
      <c r="V1148" s="92"/>
      <c r="W1148" s="92"/>
      <c r="X1148" s="93"/>
      <c r="Y1148" s="93"/>
      <c r="Z1148" s="93"/>
      <c r="AA1148" s="4"/>
      <c r="AB1148" s="5"/>
    </row>
    <row r="1149" spans="1:28" x14ac:dyDescent="0.2">
      <c r="A1149" s="4"/>
      <c r="B1149" s="94"/>
      <c r="C1149" s="94"/>
      <c r="D1149" s="94"/>
      <c r="E1149" s="94"/>
      <c r="F1149" s="94"/>
      <c r="G1149" s="94"/>
      <c r="H1149" s="94"/>
      <c r="I1149" s="94"/>
      <c r="J1149" s="94"/>
      <c r="K1149" s="94"/>
      <c r="L1149" s="94"/>
      <c r="M1149" s="94"/>
      <c r="N1149" s="95"/>
      <c r="O1149" s="95"/>
      <c r="P1149" s="95"/>
      <c r="Q1149" s="95"/>
      <c r="R1149" s="95"/>
      <c r="S1149" s="95"/>
      <c r="T1149" s="95"/>
      <c r="U1149" s="95"/>
      <c r="V1149" s="96"/>
      <c r="W1149" s="96"/>
      <c r="X1149" s="97"/>
      <c r="Y1149" s="97"/>
      <c r="Z1149" s="97"/>
      <c r="AA1149" s="4"/>
      <c r="AB1149" s="5"/>
    </row>
    <row r="1150" spans="1:28" x14ac:dyDescent="0.2">
      <c r="A1150" s="4"/>
      <c r="B1150" s="90"/>
      <c r="C1150" s="90"/>
      <c r="D1150" s="90"/>
      <c r="E1150" s="90"/>
      <c r="F1150" s="90"/>
      <c r="G1150" s="90"/>
      <c r="H1150" s="90"/>
      <c r="I1150" s="90"/>
      <c r="J1150" s="90"/>
      <c r="K1150" s="90"/>
      <c r="L1150" s="90"/>
      <c r="M1150" s="90"/>
      <c r="N1150" s="91"/>
      <c r="O1150" s="91"/>
      <c r="P1150" s="91"/>
      <c r="Q1150" s="91"/>
      <c r="R1150" s="91"/>
      <c r="S1150" s="91"/>
      <c r="T1150" s="91"/>
      <c r="U1150" s="91"/>
      <c r="V1150" s="92"/>
      <c r="W1150" s="92"/>
      <c r="X1150" s="93"/>
      <c r="Y1150" s="93"/>
      <c r="Z1150" s="93"/>
      <c r="AA1150" s="4"/>
      <c r="AB1150" s="5"/>
    </row>
    <row r="1151" spans="1:28" x14ac:dyDescent="0.2">
      <c r="A1151" s="4"/>
      <c r="B1151" s="94"/>
      <c r="C1151" s="94"/>
      <c r="D1151" s="94"/>
      <c r="E1151" s="94"/>
      <c r="F1151" s="94"/>
      <c r="G1151" s="94"/>
      <c r="H1151" s="94"/>
      <c r="I1151" s="94"/>
      <c r="J1151" s="94"/>
      <c r="K1151" s="94"/>
      <c r="L1151" s="94"/>
      <c r="M1151" s="94"/>
      <c r="N1151" s="95"/>
      <c r="O1151" s="95"/>
      <c r="P1151" s="95"/>
      <c r="Q1151" s="95"/>
      <c r="R1151" s="95"/>
      <c r="S1151" s="95"/>
      <c r="T1151" s="95"/>
      <c r="U1151" s="95"/>
      <c r="V1151" s="96"/>
      <c r="W1151" s="96"/>
      <c r="X1151" s="97"/>
      <c r="Y1151" s="97"/>
      <c r="Z1151" s="97"/>
      <c r="AA1151" s="4"/>
      <c r="AB1151" s="5"/>
    </row>
    <row r="1152" spans="1:28" x14ac:dyDescent="0.2">
      <c r="A1152" s="4"/>
      <c r="B1152" s="90"/>
      <c r="C1152" s="90"/>
      <c r="D1152" s="90"/>
      <c r="E1152" s="90"/>
      <c r="F1152" s="90"/>
      <c r="G1152" s="90"/>
      <c r="H1152" s="90"/>
      <c r="I1152" s="90"/>
      <c r="J1152" s="90"/>
      <c r="K1152" s="90"/>
      <c r="L1152" s="90"/>
      <c r="M1152" s="90"/>
      <c r="N1152" s="91"/>
      <c r="O1152" s="91"/>
      <c r="P1152" s="91"/>
      <c r="Q1152" s="91"/>
      <c r="R1152" s="91"/>
      <c r="S1152" s="91"/>
      <c r="T1152" s="91"/>
      <c r="U1152" s="91"/>
      <c r="V1152" s="92"/>
      <c r="W1152" s="92"/>
      <c r="X1152" s="93"/>
      <c r="Y1152" s="93"/>
      <c r="Z1152" s="93"/>
      <c r="AA1152" s="4"/>
      <c r="AB1152" s="5"/>
    </row>
    <row r="1153" spans="1:28" x14ac:dyDescent="0.2">
      <c r="A1153" s="4"/>
      <c r="B1153" s="94"/>
      <c r="C1153" s="94"/>
      <c r="D1153" s="94"/>
      <c r="E1153" s="94"/>
      <c r="F1153" s="94"/>
      <c r="G1153" s="94"/>
      <c r="H1153" s="94"/>
      <c r="I1153" s="94"/>
      <c r="J1153" s="94"/>
      <c r="K1153" s="94"/>
      <c r="L1153" s="94"/>
      <c r="M1153" s="94"/>
      <c r="N1153" s="95"/>
      <c r="O1153" s="95"/>
      <c r="P1153" s="95"/>
      <c r="Q1153" s="95"/>
      <c r="R1153" s="95"/>
      <c r="S1153" s="95"/>
      <c r="T1153" s="95"/>
      <c r="U1153" s="95"/>
      <c r="V1153" s="96"/>
      <c r="W1153" s="96"/>
      <c r="X1153" s="97"/>
      <c r="Y1153" s="97"/>
      <c r="Z1153" s="97"/>
      <c r="AA1153" s="4"/>
      <c r="AB1153" s="5"/>
    </row>
    <row r="1154" spans="1:28" x14ac:dyDescent="0.2">
      <c r="A1154" s="4"/>
      <c r="B1154" s="90"/>
      <c r="C1154" s="90"/>
      <c r="D1154" s="90"/>
      <c r="E1154" s="90"/>
      <c r="F1154" s="90"/>
      <c r="G1154" s="90"/>
      <c r="H1154" s="90"/>
      <c r="I1154" s="90"/>
      <c r="J1154" s="90"/>
      <c r="K1154" s="90"/>
      <c r="L1154" s="90"/>
      <c r="M1154" s="90"/>
      <c r="N1154" s="91"/>
      <c r="O1154" s="91"/>
      <c r="P1154" s="91"/>
      <c r="Q1154" s="91"/>
      <c r="R1154" s="91"/>
      <c r="S1154" s="91"/>
      <c r="T1154" s="91"/>
      <c r="U1154" s="91"/>
      <c r="V1154" s="92"/>
      <c r="W1154" s="92"/>
      <c r="X1154" s="93"/>
      <c r="Y1154" s="93"/>
      <c r="Z1154" s="93"/>
      <c r="AA1154" s="4"/>
      <c r="AB1154" s="5"/>
    </row>
    <row r="1155" spans="1:28" x14ac:dyDescent="0.2">
      <c r="A1155" s="4"/>
      <c r="B1155" s="94"/>
      <c r="C1155" s="94"/>
      <c r="D1155" s="94"/>
      <c r="E1155" s="94"/>
      <c r="F1155" s="94"/>
      <c r="G1155" s="94"/>
      <c r="H1155" s="94"/>
      <c r="I1155" s="94"/>
      <c r="J1155" s="94"/>
      <c r="K1155" s="94"/>
      <c r="L1155" s="94"/>
      <c r="M1155" s="94"/>
      <c r="N1155" s="95"/>
      <c r="O1155" s="95"/>
      <c r="P1155" s="95"/>
      <c r="Q1155" s="95"/>
      <c r="R1155" s="95"/>
      <c r="S1155" s="95"/>
      <c r="T1155" s="95"/>
      <c r="U1155" s="95"/>
      <c r="V1155" s="96"/>
      <c r="W1155" s="96"/>
      <c r="X1155" s="97"/>
      <c r="Y1155" s="97"/>
      <c r="Z1155" s="97"/>
      <c r="AA1155" s="4"/>
      <c r="AB1155" s="5"/>
    </row>
    <row r="1156" spans="1:28" x14ac:dyDescent="0.2">
      <c r="A1156" s="4"/>
      <c r="B1156" s="90"/>
      <c r="C1156" s="90"/>
      <c r="D1156" s="90"/>
      <c r="E1156" s="90"/>
      <c r="F1156" s="90"/>
      <c r="G1156" s="90"/>
      <c r="H1156" s="90"/>
      <c r="I1156" s="90"/>
      <c r="J1156" s="90"/>
      <c r="K1156" s="90"/>
      <c r="L1156" s="90"/>
      <c r="M1156" s="90"/>
      <c r="N1156" s="91"/>
      <c r="O1156" s="91"/>
      <c r="P1156" s="91"/>
      <c r="Q1156" s="91"/>
      <c r="R1156" s="91"/>
      <c r="S1156" s="91"/>
      <c r="T1156" s="91"/>
      <c r="U1156" s="91"/>
      <c r="V1156" s="92"/>
      <c r="W1156" s="92"/>
      <c r="X1156" s="93"/>
      <c r="Y1156" s="93"/>
      <c r="Z1156" s="93"/>
      <c r="AA1156" s="4"/>
      <c r="AB1156" s="5"/>
    </row>
    <row r="1157" spans="1:28" x14ac:dyDescent="0.2">
      <c r="A1157" s="4"/>
      <c r="B1157" s="94"/>
      <c r="C1157" s="94"/>
      <c r="D1157" s="94"/>
      <c r="E1157" s="94"/>
      <c r="F1157" s="94"/>
      <c r="G1157" s="94"/>
      <c r="H1157" s="94"/>
      <c r="I1157" s="94"/>
      <c r="J1157" s="94"/>
      <c r="K1157" s="94"/>
      <c r="L1157" s="94"/>
      <c r="M1157" s="94"/>
      <c r="N1157" s="95"/>
      <c r="O1157" s="95"/>
      <c r="P1157" s="95"/>
      <c r="Q1157" s="95"/>
      <c r="R1157" s="95"/>
      <c r="S1157" s="95"/>
      <c r="T1157" s="95"/>
      <c r="U1157" s="95"/>
      <c r="V1157" s="96"/>
      <c r="W1157" s="96"/>
      <c r="X1157" s="97"/>
      <c r="Y1157" s="97"/>
      <c r="Z1157" s="97"/>
      <c r="AA1157" s="4"/>
      <c r="AB1157" s="5"/>
    </row>
    <row r="1158" spans="1:28" x14ac:dyDescent="0.2">
      <c r="A1158" s="4"/>
      <c r="B1158" s="90"/>
      <c r="C1158" s="90"/>
      <c r="D1158" s="90"/>
      <c r="E1158" s="90"/>
      <c r="F1158" s="90"/>
      <c r="G1158" s="90"/>
      <c r="H1158" s="90"/>
      <c r="I1158" s="90"/>
      <c r="J1158" s="90"/>
      <c r="K1158" s="90"/>
      <c r="L1158" s="90"/>
      <c r="M1158" s="90"/>
      <c r="N1158" s="91"/>
      <c r="O1158" s="91"/>
      <c r="P1158" s="91"/>
      <c r="Q1158" s="91"/>
      <c r="R1158" s="91"/>
      <c r="S1158" s="91"/>
      <c r="T1158" s="91"/>
      <c r="U1158" s="91"/>
      <c r="V1158" s="92"/>
      <c r="W1158" s="92"/>
      <c r="X1158" s="93"/>
      <c r="Y1158" s="93"/>
      <c r="Z1158" s="93"/>
      <c r="AA1158" s="4"/>
      <c r="AB1158" s="5"/>
    </row>
    <row r="1159" spans="1:28" x14ac:dyDescent="0.2">
      <c r="A1159" s="4"/>
      <c r="B1159" s="94"/>
      <c r="C1159" s="94"/>
      <c r="D1159" s="94"/>
      <c r="E1159" s="94"/>
      <c r="F1159" s="94"/>
      <c r="G1159" s="94"/>
      <c r="H1159" s="94"/>
      <c r="I1159" s="94"/>
      <c r="J1159" s="94"/>
      <c r="K1159" s="94"/>
      <c r="L1159" s="94"/>
      <c r="M1159" s="94"/>
      <c r="N1159" s="95"/>
      <c r="O1159" s="95"/>
      <c r="P1159" s="95"/>
      <c r="Q1159" s="95"/>
      <c r="R1159" s="95"/>
      <c r="S1159" s="95"/>
      <c r="T1159" s="95"/>
      <c r="U1159" s="95"/>
      <c r="V1159" s="96"/>
      <c r="W1159" s="96"/>
      <c r="X1159" s="97"/>
      <c r="Y1159" s="97"/>
      <c r="Z1159" s="97"/>
      <c r="AA1159" s="4"/>
      <c r="AB1159" s="5"/>
    </row>
    <row r="1160" spans="1:28" x14ac:dyDescent="0.2">
      <c r="A1160" s="4"/>
      <c r="B1160" s="90"/>
      <c r="C1160" s="90"/>
      <c r="D1160" s="90"/>
      <c r="E1160" s="90"/>
      <c r="F1160" s="90"/>
      <c r="G1160" s="90"/>
      <c r="H1160" s="90"/>
      <c r="I1160" s="90"/>
      <c r="J1160" s="90"/>
      <c r="K1160" s="90"/>
      <c r="L1160" s="90"/>
      <c r="M1160" s="90"/>
      <c r="N1160" s="91"/>
      <c r="O1160" s="91"/>
      <c r="P1160" s="91"/>
      <c r="Q1160" s="91"/>
      <c r="R1160" s="91"/>
      <c r="S1160" s="91"/>
      <c r="T1160" s="91"/>
      <c r="U1160" s="91"/>
      <c r="V1160" s="92"/>
      <c r="W1160" s="92"/>
      <c r="X1160" s="93"/>
      <c r="Y1160" s="93"/>
      <c r="Z1160" s="93"/>
      <c r="AA1160" s="4"/>
      <c r="AB1160" s="5"/>
    </row>
    <row r="1161" spans="1:28" x14ac:dyDescent="0.2">
      <c r="A1161" s="4"/>
      <c r="B1161" s="94"/>
      <c r="C1161" s="94"/>
      <c r="D1161" s="94"/>
      <c r="E1161" s="94"/>
      <c r="F1161" s="94"/>
      <c r="G1161" s="94"/>
      <c r="H1161" s="94"/>
      <c r="I1161" s="94"/>
      <c r="J1161" s="94"/>
      <c r="K1161" s="94"/>
      <c r="L1161" s="94"/>
      <c r="M1161" s="94"/>
      <c r="N1161" s="95"/>
      <c r="O1161" s="95"/>
      <c r="P1161" s="95"/>
      <c r="Q1161" s="95"/>
      <c r="R1161" s="95"/>
      <c r="S1161" s="95"/>
      <c r="T1161" s="95"/>
      <c r="U1161" s="95"/>
      <c r="V1161" s="96"/>
      <c r="W1161" s="96"/>
      <c r="X1161" s="97"/>
      <c r="Y1161" s="97"/>
      <c r="Z1161" s="97"/>
      <c r="AA1161" s="4"/>
      <c r="AB1161" s="5"/>
    </row>
    <row r="1162" spans="1:28" x14ac:dyDescent="0.2">
      <c r="A1162" s="4"/>
      <c r="B1162" s="90"/>
      <c r="C1162" s="90"/>
      <c r="D1162" s="90"/>
      <c r="E1162" s="90"/>
      <c r="F1162" s="90"/>
      <c r="G1162" s="90"/>
      <c r="H1162" s="90"/>
      <c r="I1162" s="90"/>
      <c r="J1162" s="90"/>
      <c r="K1162" s="90"/>
      <c r="L1162" s="90"/>
      <c r="M1162" s="90"/>
      <c r="N1162" s="91"/>
      <c r="O1162" s="91"/>
      <c r="P1162" s="91"/>
      <c r="Q1162" s="91"/>
      <c r="R1162" s="91"/>
      <c r="S1162" s="91"/>
      <c r="T1162" s="91"/>
      <c r="U1162" s="91"/>
      <c r="V1162" s="92"/>
      <c r="W1162" s="92"/>
      <c r="X1162" s="93"/>
      <c r="Y1162" s="93"/>
      <c r="Z1162" s="93"/>
      <c r="AA1162" s="4"/>
      <c r="AB1162" s="5"/>
    </row>
    <row r="1163" spans="1:28" x14ac:dyDescent="0.2">
      <c r="A1163" s="4"/>
      <c r="B1163" s="94"/>
      <c r="C1163" s="94"/>
      <c r="D1163" s="94"/>
      <c r="E1163" s="94"/>
      <c r="F1163" s="94"/>
      <c r="G1163" s="94"/>
      <c r="H1163" s="94"/>
      <c r="I1163" s="94"/>
      <c r="J1163" s="94"/>
      <c r="K1163" s="94"/>
      <c r="L1163" s="94"/>
      <c r="M1163" s="94"/>
      <c r="N1163" s="95"/>
      <c r="O1163" s="95"/>
      <c r="P1163" s="95"/>
      <c r="Q1163" s="95"/>
      <c r="R1163" s="95"/>
      <c r="S1163" s="95"/>
      <c r="T1163" s="95"/>
      <c r="U1163" s="95"/>
      <c r="V1163" s="96"/>
      <c r="W1163" s="96"/>
      <c r="X1163" s="97"/>
      <c r="Y1163" s="97"/>
      <c r="Z1163" s="97"/>
      <c r="AA1163" s="4"/>
      <c r="AB1163" s="5"/>
    </row>
    <row r="1164" spans="1:28" x14ac:dyDescent="0.2">
      <c r="A1164" s="4"/>
      <c r="B1164" s="90"/>
      <c r="C1164" s="90"/>
      <c r="D1164" s="90"/>
      <c r="E1164" s="90"/>
      <c r="F1164" s="90"/>
      <c r="G1164" s="90"/>
      <c r="H1164" s="90"/>
      <c r="I1164" s="90"/>
      <c r="J1164" s="90"/>
      <c r="K1164" s="90"/>
      <c r="L1164" s="90"/>
      <c r="M1164" s="90"/>
      <c r="N1164" s="91"/>
      <c r="O1164" s="91"/>
      <c r="P1164" s="91"/>
      <c r="Q1164" s="91"/>
      <c r="R1164" s="91"/>
      <c r="S1164" s="91"/>
      <c r="T1164" s="91"/>
      <c r="U1164" s="91"/>
      <c r="V1164" s="92"/>
      <c r="W1164" s="92"/>
      <c r="X1164" s="93"/>
      <c r="Y1164" s="93"/>
      <c r="Z1164" s="93"/>
      <c r="AA1164" s="4"/>
      <c r="AB1164" s="5"/>
    </row>
    <row r="1165" spans="1:28" x14ac:dyDescent="0.2">
      <c r="A1165" s="4"/>
      <c r="B1165" s="94"/>
      <c r="C1165" s="94"/>
      <c r="D1165" s="94"/>
      <c r="E1165" s="94"/>
      <c r="F1165" s="94"/>
      <c r="G1165" s="94"/>
      <c r="H1165" s="94"/>
      <c r="I1165" s="94"/>
      <c r="J1165" s="94"/>
      <c r="K1165" s="94"/>
      <c r="L1165" s="94"/>
      <c r="M1165" s="94"/>
      <c r="N1165" s="95"/>
      <c r="O1165" s="95"/>
      <c r="P1165" s="95"/>
      <c r="Q1165" s="95"/>
      <c r="R1165" s="95"/>
      <c r="S1165" s="95"/>
      <c r="T1165" s="95"/>
      <c r="U1165" s="95"/>
      <c r="V1165" s="96"/>
      <c r="W1165" s="96"/>
      <c r="X1165" s="97"/>
      <c r="Y1165" s="97"/>
      <c r="Z1165" s="97"/>
      <c r="AA1165" s="4"/>
      <c r="AB1165" s="5"/>
    </row>
    <row r="1166" spans="1:28" x14ac:dyDescent="0.2">
      <c r="A1166" s="4"/>
      <c r="B1166" s="90"/>
      <c r="C1166" s="90"/>
      <c r="D1166" s="90"/>
      <c r="E1166" s="90"/>
      <c r="F1166" s="90"/>
      <c r="G1166" s="90"/>
      <c r="H1166" s="90"/>
      <c r="I1166" s="90"/>
      <c r="J1166" s="90"/>
      <c r="K1166" s="90"/>
      <c r="L1166" s="90"/>
      <c r="M1166" s="90"/>
      <c r="N1166" s="91"/>
      <c r="O1166" s="91"/>
      <c r="P1166" s="91"/>
      <c r="Q1166" s="91"/>
      <c r="R1166" s="91"/>
      <c r="S1166" s="91"/>
      <c r="T1166" s="91"/>
      <c r="U1166" s="91"/>
      <c r="V1166" s="92"/>
      <c r="W1166" s="92"/>
      <c r="X1166" s="93"/>
      <c r="Y1166" s="93"/>
      <c r="Z1166" s="93"/>
      <c r="AA1166" s="4"/>
      <c r="AB1166" s="5"/>
    </row>
    <row r="1167" spans="1:28" x14ac:dyDescent="0.2">
      <c r="A1167" s="4"/>
      <c r="B1167" s="94"/>
      <c r="C1167" s="94"/>
      <c r="D1167" s="94"/>
      <c r="E1167" s="94"/>
      <c r="F1167" s="94"/>
      <c r="G1167" s="94"/>
      <c r="H1167" s="94"/>
      <c r="I1167" s="94"/>
      <c r="J1167" s="94"/>
      <c r="K1167" s="94"/>
      <c r="L1167" s="94"/>
      <c r="M1167" s="94"/>
      <c r="N1167" s="95"/>
      <c r="O1167" s="95"/>
      <c r="P1167" s="95"/>
      <c r="Q1167" s="95"/>
      <c r="R1167" s="95"/>
      <c r="S1167" s="95"/>
      <c r="T1167" s="95"/>
      <c r="U1167" s="95"/>
      <c r="V1167" s="96"/>
      <c r="W1167" s="96"/>
      <c r="X1167" s="97"/>
      <c r="Y1167" s="97"/>
      <c r="Z1167" s="97"/>
      <c r="AA1167" s="4"/>
      <c r="AB1167" s="5"/>
    </row>
    <row r="1168" spans="1:28" x14ac:dyDescent="0.2">
      <c r="A1168" s="4"/>
      <c r="B1168" s="90"/>
      <c r="C1168" s="90"/>
      <c r="D1168" s="90"/>
      <c r="E1168" s="90"/>
      <c r="F1168" s="90"/>
      <c r="G1168" s="90"/>
      <c r="H1168" s="90"/>
      <c r="I1168" s="90"/>
      <c r="J1168" s="90"/>
      <c r="K1168" s="90"/>
      <c r="L1168" s="90"/>
      <c r="M1168" s="90"/>
      <c r="N1168" s="91"/>
      <c r="O1168" s="91"/>
      <c r="P1168" s="91"/>
      <c r="Q1168" s="91"/>
      <c r="R1168" s="91"/>
      <c r="S1168" s="91"/>
      <c r="T1168" s="91"/>
      <c r="U1168" s="91"/>
      <c r="V1168" s="92"/>
      <c r="W1168" s="92"/>
      <c r="X1168" s="93"/>
      <c r="Y1168" s="93"/>
      <c r="Z1168" s="93"/>
      <c r="AA1168" s="4"/>
      <c r="AB1168" s="5"/>
    </row>
    <row r="1169" spans="1:28" x14ac:dyDescent="0.2">
      <c r="A1169" s="4"/>
      <c r="B1169" s="94"/>
      <c r="C1169" s="94"/>
      <c r="D1169" s="94"/>
      <c r="E1169" s="94"/>
      <c r="F1169" s="94"/>
      <c r="G1169" s="94"/>
      <c r="H1169" s="94"/>
      <c r="I1169" s="94"/>
      <c r="J1169" s="94"/>
      <c r="K1169" s="94"/>
      <c r="L1169" s="94"/>
      <c r="M1169" s="94"/>
      <c r="N1169" s="95"/>
      <c r="O1169" s="95"/>
      <c r="P1169" s="95"/>
      <c r="Q1169" s="95"/>
      <c r="R1169" s="95"/>
      <c r="S1169" s="95"/>
      <c r="T1169" s="95"/>
      <c r="U1169" s="95"/>
      <c r="V1169" s="96"/>
      <c r="W1169" s="96"/>
      <c r="X1169" s="97"/>
      <c r="Y1169" s="97"/>
      <c r="Z1169" s="97"/>
      <c r="AA1169" s="4"/>
      <c r="AB1169" s="5"/>
    </row>
    <row r="1170" spans="1:28" x14ac:dyDescent="0.2">
      <c r="A1170" s="4"/>
      <c r="B1170" s="90"/>
      <c r="C1170" s="90"/>
      <c r="D1170" s="90"/>
      <c r="E1170" s="90"/>
      <c r="F1170" s="90"/>
      <c r="G1170" s="90"/>
      <c r="H1170" s="90"/>
      <c r="I1170" s="90"/>
      <c r="J1170" s="90"/>
      <c r="K1170" s="90"/>
      <c r="L1170" s="90"/>
      <c r="M1170" s="90"/>
      <c r="N1170" s="91"/>
      <c r="O1170" s="91"/>
      <c r="P1170" s="91"/>
      <c r="Q1170" s="91"/>
      <c r="R1170" s="91"/>
      <c r="S1170" s="91"/>
      <c r="T1170" s="91"/>
      <c r="U1170" s="91"/>
      <c r="V1170" s="92"/>
      <c r="W1170" s="92"/>
      <c r="X1170" s="93"/>
      <c r="Y1170" s="93"/>
      <c r="Z1170" s="93"/>
      <c r="AA1170" s="4"/>
      <c r="AB1170" s="5"/>
    </row>
    <row r="1171" spans="1:28" x14ac:dyDescent="0.2">
      <c r="A1171" s="4"/>
      <c r="B1171" s="94"/>
      <c r="C1171" s="94"/>
      <c r="D1171" s="94"/>
      <c r="E1171" s="94"/>
      <c r="F1171" s="94"/>
      <c r="G1171" s="94"/>
      <c r="H1171" s="94"/>
      <c r="I1171" s="94"/>
      <c r="J1171" s="94"/>
      <c r="K1171" s="94"/>
      <c r="L1171" s="94"/>
      <c r="M1171" s="94"/>
      <c r="N1171" s="95"/>
      <c r="O1171" s="95"/>
      <c r="P1171" s="95"/>
      <c r="Q1171" s="95"/>
      <c r="R1171" s="95"/>
      <c r="S1171" s="95"/>
      <c r="T1171" s="95"/>
      <c r="U1171" s="95"/>
      <c r="V1171" s="96"/>
      <c r="W1171" s="96"/>
      <c r="X1171" s="97"/>
      <c r="Y1171" s="97"/>
      <c r="Z1171" s="97"/>
      <c r="AA1171" s="4"/>
      <c r="AB1171" s="5"/>
    </row>
    <row r="1172" spans="1:28" x14ac:dyDescent="0.2">
      <c r="A1172" s="4"/>
      <c r="B1172" s="90"/>
      <c r="C1172" s="90"/>
      <c r="D1172" s="90"/>
      <c r="E1172" s="90"/>
      <c r="F1172" s="90"/>
      <c r="G1172" s="90"/>
      <c r="H1172" s="90"/>
      <c r="I1172" s="90"/>
      <c r="J1172" s="90"/>
      <c r="K1172" s="90"/>
      <c r="L1172" s="90"/>
      <c r="M1172" s="90"/>
      <c r="N1172" s="91"/>
      <c r="O1172" s="91"/>
      <c r="P1172" s="91"/>
      <c r="Q1172" s="91"/>
      <c r="R1172" s="91"/>
      <c r="S1172" s="91"/>
      <c r="T1172" s="91"/>
      <c r="U1172" s="91"/>
      <c r="V1172" s="92"/>
      <c r="W1172" s="92"/>
      <c r="X1172" s="93"/>
      <c r="Y1172" s="93"/>
      <c r="Z1172" s="93"/>
      <c r="AA1172" s="4"/>
      <c r="AB1172" s="5"/>
    </row>
    <row r="1173" spans="1:28" x14ac:dyDescent="0.2">
      <c r="A1173" s="4"/>
      <c r="B1173" s="94"/>
      <c r="C1173" s="94"/>
      <c r="D1173" s="94"/>
      <c r="E1173" s="94"/>
      <c r="F1173" s="94"/>
      <c r="G1173" s="94"/>
      <c r="H1173" s="94"/>
      <c r="I1173" s="94"/>
      <c r="J1173" s="94"/>
      <c r="K1173" s="94"/>
      <c r="L1173" s="94"/>
      <c r="M1173" s="94"/>
      <c r="N1173" s="95"/>
      <c r="O1173" s="95"/>
      <c r="P1173" s="95"/>
      <c r="Q1173" s="95"/>
      <c r="R1173" s="95"/>
      <c r="S1173" s="95"/>
      <c r="T1173" s="95"/>
      <c r="U1173" s="95"/>
      <c r="V1173" s="96"/>
      <c r="W1173" s="96"/>
      <c r="X1173" s="97"/>
      <c r="Y1173" s="97"/>
      <c r="Z1173" s="97"/>
      <c r="AA1173" s="4"/>
      <c r="AB1173" s="5"/>
    </row>
    <row r="1174" spans="1:28" x14ac:dyDescent="0.2">
      <c r="A1174" s="4"/>
      <c r="B1174" s="90"/>
      <c r="C1174" s="90"/>
      <c r="D1174" s="90"/>
      <c r="E1174" s="90"/>
      <c r="F1174" s="90"/>
      <c r="G1174" s="90"/>
      <c r="H1174" s="90"/>
      <c r="I1174" s="90"/>
      <c r="J1174" s="90"/>
      <c r="K1174" s="90"/>
      <c r="L1174" s="90"/>
      <c r="M1174" s="90"/>
      <c r="N1174" s="91"/>
      <c r="O1174" s="91"/>
      <c r="P1174" s="91"/>
      <c r="Q1174" s="91"/>
      <c r="R1174" s="91"/>
      <c r="S1174" s="91"/>
      <c r="T1174" s="91"/>
      <c r="U1174" s="91"/>
      <c r="V1174" s="92"/>
      <c r="W1174" s="92"/>
      <c r="X1174" s="93"/>
      <c r="Y1174" s="93"/>
      <c r="Z1174" s="93"/>
      <c r="AA1174" s="4"/>
      <c r="AB1174" s="5"/>
    </row>
    <row r="1175" spans="1:28" x14ac:dyDescent="0.2">
      <c r="A1175" s="4"/>
      <c r="B1175" s="94"/>
      <c r="C1175" s="94"/>
      <c r="D1175" s="94"/>
      <c r="E1175" s="94"/>
      <c r="F1175" s="94"/>
      <c r="G1175" s="94"/>
      <c r="H1175" s="94"/>
      <c r="I1175" s="94"/>
      <c r="J1175" s="94"/>
      <c r="K1175" s="94"/>
      <c r="L1175" s="94"/>
      <c r="M1175" s="94"/>
      <c r="N1175" s="95"/>
      <c r="O1175" s="95"/>
      <c r="P1175" s="95"/>
      <c r="Q1175" s="95"/>
      <c r="R1175" s="95"/>
      <c r="S1175" s="95"/>
      <c r="T1175" s="95"/>
      <c r="U1175" s="95"/>
      <c r="V1175" s="96"/>
      <c r="W1175" s="96"/>
      <c r="X1175" s="97"/>
      <c r="Y1175" s="97"/>
      <c r="Z1175" s="97"/>
      <c r="AA1175" s="4"/>
      <c r="AB1175" s="5"/>
    </row>
    <row r="1176" spans="1:28" x14ac:dyDescent="0.2">
      <c r="A1176" s="4"/>
      <c r="B1176" s="90"/>
      <c r="C1176" s="90"/>
      <c r="D1176" s="90"/>
      <c r="E1176" s="90"/>
      <c r="F1176" s="90"/>
      <c r="G1176" s="90"/>
      <c r="H1176" s="90"/>
      <c r="I1176" s="90"/>
      <c r="J1176" s="90"/>
      <c r="K1176" s="90"/>
      <c r="L1176" s="90"/>
      <c r="M1176" s="90"/>
      <c r="N1176" s="91"/>
      <c r="O1176" s="91"/>
      <c r="P1176" s="91"/>
      <c r="Q1176" s="91"/>
      <c r="R1176" s="91"/>
      <c r="S1176" s="91"/>
      <c r="T1176" s="91"/>
      <c r="U1176" s="91"/>
      <c r="V1176" s="92"/>
      <c r="W1176" s="92"/>
      <c r="X1176" s="93"/>
      <c r="Y1176" s="93"/>
      <c r="Z1176" s="93"/>
      <c r="AA1176" s="4"/>
      <c r="AB1176" s="5"/>
    </row>
    <row r="1177" spans="1:28" x14ac:dyDescent="0.2">
      <c r="A1177" s="4"/>
      <c r="B1177" s="94"/>
      <c r="C1177" s="94"/>
      <c r="D1177" s="94"/>
      <c r="E1177" s="94"/>
      <c r="F1177" s="94"/>
      <c r="G1177" s="94"/>
      <c r="H1177" s="94"/>
      <c r="I1177" s="94"/>
      <c r="J1177" s="94"/>
      <c r="K1177" s="94"/>
      <c r="L1177" s="94"/>
      <c r="M1177" s="94"/>
      <c r="N1177" s="95"/>
      <c r="O1177" s="95"/>
      <c r="P1177" s="95"/>
      <c r="Q1177" s="95"/>
      <c r="R1177" s="95"/>
      <c r="S1177" s="95"/>
      <c r="T1177" s="95"/>
      <c r="U1177" s="95"/>
      <c r="V1177" s="96"/>
      <c r="W1177" s="96"/>
      <c r="X1177" s="97"/>
      <c r="Y1177" s="97"/>
      <c r="Z1177" s="97"/>
      <c r="AA1177" s="4"/>
      <c r="AB1177" s="5"/>
    </row>
    <row r="1178" spans="1:28" x14ac:dyDescent="0.2">
      <c r="A1178" s="4"/>
      <c r="B1178" s="90"/>
      <c r="C1178" s="90"/>
      <c r="D1178" s="90"/>
      <c r="E1178" s="90"/>
      <c r="F1178" s="90"/>
      <c r="G1178" s="90"/>
      <c r="H1178" s="90"/>
      <c r="I1178" s="90"/>
      <c r="J1178" s="90"/>
      <c r="K1178" s="90"/>
      <c r="L1178" s="90"/>
      <c r="M1178" s="90"/>
      <c r="N1178" s="91"/>
      <c r="O1178" s="91"/>
      <c r="P1178" s="91"/>
      <c r="Q1178" s="91"/>
      <c r="R1178" s="91"/>
      <c r="S1178" s="91"/>
      <c r="T1178" s="91"/>
      <c r="U1178" s="91"/>
      <c r="V1178" s="92"/>
      <c r="W1178" s="92"/>
      <c r="X1178" s="93"/>
      <c r="Y1178" s="93"/>
      <c r="Z1178" s="93"/>
      <c r="AA1178" s="4"/>
      <c r="AB1178" s="5"/>
    </row>
    <row r="1179" spans="1:28" x14ac:dyDescent="0.2">
      <c r="A1179" s="4"/>
      <c r="B1179" s="94"/>
      <c r="C1179" s="94"/>
      <c r="D1179" s="94"/>
      <c r="E1179" s="94"/>
      <c r="F1179" s="94"/>
      <c r="G1179" s="94"/>
      <c r="H1179" s="94"/>
      <c r="I1179" s="94"/>
      <c r="J1179" s="94"/>
      <c r="K1179" s="94"/>
      <c r="L1179" s="94"/>
      <c r="M1179" s="94"/>
      <c r="N1179" s="95"/>
      <c r="O1179" s="95"/>
      <c r="P1179" s="95"/>
      <c r="Q1179" s="95"/>
      <c r="R1179" s="95"/>
      <c r="S1179" s="95"/>
      <c r="T1179" s="95"/>
      <c r="U1179" s="95"/>
      <c r="V1179" s="96"/>
      <c r="W1179" s="96"/>
      <c r="X1179" s="97"/>
      <c r="Y1179" s="97"/>
      <c r="Z1179" s="97"/>
      <c r="AA1179" s="4"/>
      <c r="AB1179" s="5"/>
    </row>
    <row r="1180" spans="1:28" x14ac:dyDescent="0.2">
      <c r="A1180" s="4"/>
      <c r="B1180" s="90"/>
      <c r="C1180" s="90"/>
      <c r="D1180" s="90"/>
      <c r="E1180" s="90"/>
      <c r="F1180" s="90"/>
      <c r="G1180" s="90"/>
      <c r="H1180" s="90"/>
      <c r="I1180" s="90"/>
      <c r="J1180" s="90"/>
      <c r="K1180" s="90"/>
      <c r="L1180" s="90"/>
      <c r="M1180" s="90"/>
      <c r="N1180" s="91"/>
      <c r="O1180" s="91"/>
      <c r="P1180" s="91"/>
      <c r="Q1180" s="91"/>
      <c r="R1180" s="91"/>
      <c r="S1180" s="91"/>
      <c r="T1180" s="91"/>
      <c r="U1180" s="91"/>
      <c r="V1180" s="92"/>
      <c r="W1180" s="92"/>
      <c r="X1180" s="93"/>
      <c r="Y1180" s="93"/>
      <c r="Z1180" s="93"/>
      <c r="AA1180" s="4"/>
      <c r="AB1180" s="5"/>
    </row>
    <row r="1181" spans="1:28" x14ac:dyDescent="0.2">
      <c r="A1181" s="4"/>
      <c r="B1181" s="94"/>
      <c r="C1181" s="94"/>
      <c r="D1181" s="94"/>
      <c r="E1181" s="94"/>
      <c r="F1181" s="94"/>
      <c r="G1181" s="94"/>
      <c r="H1181" s="94"/>
      <c r="I1181" s="94"/>
      <c r="J1181" s="94"/>
      <c r="K1181" s="94"/>
      <c r="L1181" s="94"/>
      <c r="M1181" s="94"/>
      <c r="N1181" s="95"/>
      <c r="O1181" s="95"/>
      <c r="P1181" s="95"/>
      <c r="Q1181" s="95"/>
      <c r="R1181" s="95"/>
      <c r="S1181" s="95"/>
      <c r="T1181" s="95"/>
      <c r="U1181" s="95"/>
      <c r="V1181" s="96"/>
      <c r="W1181" s="96"/>
      <c r="X1181" s="97"/>
      <c r="Y1181" s="97"/>
      <c r="Z1181" s="97"/>
      <c r="AA1181" s="4"/>
      <c r="AB1181" s="5"/>
    </row>
    <row r="1182" spans="1:28" x14ac:dyDescent="0.2">
      <c r="A1182" s="4"/>
      <c r="B1182" s="90"/>
      <c r="C1182" s="90"/>
      <c r="D1182" s="90"/>
      <c r="E1182" s="90"/>
      <c r="F1182" s="90"/>
      <c r="G1182" s="90"/>
      <c r="H1182" s="90"/>
      <c r="I1182" s="90"/>
      <c r="J1182" s="90"/>
      <c r="K1182" s="90"/>
      <c r="L1182" s="90"/>
      <c r="M1182" s="90"/>
      <c r="N1182" s="91"/>
      <c r="O1182" s="91"/>
      <c r="P1182" s="91"/>
      <c r="Q1182" s="91"/>
      <c r="R1182" s="91"/>
      <c r="S1182" s="91"/>
      <c r="T1182" s="91"/>
      <c r="U1182" s="91"/>
      <c r="V1182" s="92"/>
      <c r="W1182" s="92"/>
      <c r="X1182" s="93"/>
      <c r="Y1182" s="93"/>
      <c r="Z1182" s="93"/>
      <c r="AA1182" s="4"/>
      <c r="AB1182" s="5"/>
    </row>
    <row r="1183" spans="1:28" x14ac:dyDescent="0.2">
      <c r="A1183" s="4"/>
      <c r="B1183" s="94"/>
      <c r="C1183" s="94"/>
      <c r="D1183" s="94"/>
      <c r="E1183" s="94"/>
      <c r="F1183" s="94"/>
      <c r="G1183" s="94"/>
      <c r="H1183" s="94"/>
      <c r="I1183" s="94"/>
      <c r="J1183" s="94"/>
      <c r="K1183" s="94"/>
      <c r="L1183" s="94"/>
      <c r="M1183" s="94"/>
      <c r="N1183" s="95"/>
      <c r="O1183" s="95"/>
      <c r="P1183" s="95"/>
      <c r="Q1183" s="95"/>
      <c r="R1183" s="95"/>
      <c r="S1183" s="95"/>
      <c r="T1183" s="95"/>
      <c r="U1183" s="95"/>
      <c r="V1183" s="96"/>
      <c r="W1183" s="96"/>
      <c r="X1183" s="97"/>
      <c r="Y1183" s="97"/>
      <c r="Z1183" s="97"/>
      <c r="AA1183" s="4"/>
      <c r="AB1183" s="5"/>
    </row>
    <row r="1184" spans="1:28" x14ac:dyDescent="0.2">
      <c r="A1184" s="4"/>
      <c r="B1184" s="90"/>
      <c r="C1184" s="90"/>
      <c r="D1184" s="90"/>
      <c r="E1184" s="90"/>
      <c r="F1184" s="90"/>
      <c r="G1184" s="90"/>
      <c r="H1184" s="90"/>
      <c r="I1184" s="90"/>
      <c r="J1184" s="90"/>
      <c r="K1184" s="90"/>
      <c r="L1184" s="90"/>
      <c r="M1184" s="90"/>
      <c r="N1184" s="91"/>
      <c r="O1184" s="91"/>
      <c r="P1184" s="91"/>
      <c r="Q1184" s="91"/>
      <c r="R1184" s="91"/>
      <c r="S1184" s="91"/>
      <c r="T1184" s="91"/>
      <c r="U1184" s="91"/>
      <c r="V1184" s="92"/>
      <c r="W1184" s="92"/>
      <c r="X1184" s="93"/>
      <c r="Y1184" s="93"/>
      <c r="Z1184" s="93"/>
      <c r="AA1184" s="4"/>
      <c r="AB1184" s="5"/>
    </row>
    <row r="1185" spans="1:28" x14ac:dyDescent="0.2">
      <c r="A1185" s="4"/>
      <c r="B1185" s="94"/>
      <c r="C1185" s="94"/>
      <c r="D1185" s="94"/>
      <c r="E1185" s="94"/>
      <c r="F1185" s="94"/>
      <c r="G1185" s="94"/>
      <c r="H1185" s="94"/>
      <c r="I1185" s="94"/>
      <c r="J1185" s="94"/>
      <c r="K1185" s="94"/>
      <c r="L1185" s="94"/>
      <c r="M1185" s="94"/>
      <c r="N1185" s="95"/>
      <c r="O1185" s="95"/>
      <c r="P1185" s="95"/>
      <c r="Q1185" s="95"/>
      <c r="R1185" s="95"/>
      <c r="S1185" s="95"/>
      <c r="T1185" s="95"/>
      <c r="U1185" s="95"/>
      <c r="V1185" s="96"/>
      <c r="W1185" s="96"/>
      <c r="X1185" s="97"/>
      <c r="Y1185" s="97"/>
      <c r="Z1185" s="97"/>
      <c r="AA1185" s="4"/>
      <c r="AB1185" s="5"/>
    </row>
    <row r="1186" spans="1:28" x14ac:dyDescent="0.2">
      <c r="A1186" s="4"/>
      <c r="B1186" s="90"/>
      <c r="C1186" s="90"/>
      <c r="D1186" s="90"/>
      <c r="E1186" s="90"/>
      <c r="F1186" s="90"/>
      <c r="G1186" s="90"/>
      <c r="H1186" s="90"/>
      <c r="I1186" s="90"/>
      <c r="J1186" s="90"/>
      <c r="K1186" s="90"/>
      <c r="L1186" s="90"/>
      <c r="M1186" s="90"/>
      <c r="N1186" s="91"/>
      <c r="O1186" s="91"/>
      <c r="P1186" s="91"/>
      <c r="Q1186" s="91"/>
      <c r="R1186" s="91"/>
      <c r="S1186" s="91"/>
      <c r="T1186" s="91"/>
      <c r="U1186" s="91"/>
      <c r="V1186" s="92"/>
      <c r="W1186" s="92"/>
      <c r="X1186" s="93"/>
      <c r="Y1186" s="93"/>
      <c r="Z1186" s="93"/>
      <c r="AA1186" s="4"/>
      <c r="AB1186" s="5"/>
    </row>
    <row r="1187" spans="1:28" x14ac:dyDescent="0.2">
      <c r="A1187" s="4"/>
      <c r="B1187" s="94"/>
      <c r="C1187" s="94"/>
      <c r="D1187" s="94"/>
      <c r="E1187" s="94"/>
      <c r="F1187" s="94"/>
      <c r="G1187" s="94"/>
      <c r="H1187" s="94"/>
      <c r="I1187" s="94"/>
      <c r="J1187" s="94"/>
      <c r="K1187" s="94"/>
      <c r="L1187" s="94"/>
      <c r="M1187" s="94"/>
      <c r="N1187" s="95"/>
      <c r="O1187" s="95"/>
      <c r="P1187" s="95"/>
      <c r="Q1187" s="95"/>
      <c r="R1187" s="95"/>
      <c r="S1187" s="95"/>
      <c r="T1187" s="95"/>
      <c r="U1187" s="95"/>
      <c r="V1187" s="96"/>
      <c r="W1187" s="96"/>
      <c r="X1187" s="97"/>
      <c r="Y1187" s="97"/>
      <c r="Z1187" s="97"/>
      <c r="AA1187" s="4"/>
      <c r="AB1187" s="5"/>
    </row>
    <row r="1188" spans="1:28" x14ac:dyDescent="0.2">
      <c r="A1188" s="4"/>
      <c r="B1188" s="90"/>
      <c r="C1188" s="90"/>
      <c r="D1188" s="90"/>
      <c r="E1188" s="90"/>
      <c r="F1188" s="90"/>
      <c r="G1188" s="90"/>
      <c r="H1188" s="90"/>
      <c r="I1188" s="90"/>
      <c r="J1188" s="90"/>
      <c r="K1188" s="90"/>
      <c r="L1188" s="90"/>
      <c r="M1188" s="90"/>
      <c r="N1188" s="91"/>
      <c r="O1188" s="91"/>
      <c r="P1188" s="91"/>
      <c r="Q1188" s="91"/>
      <c r="R1188" s="91"/>
      <c r="S1188" s="91"/>
      <c r="T1188" s="91"/>
      <c r="U1188" s="91"/>
      <c r="V1188" s="92"/>
      <c r="W1188" s="92"/>
      <c r="X1188" s="93"/>
      <c r="Y1188" s="93"/>
      <c r="Z1188" s="93"/>
      <c r="AA1188" s="4"/>
      <c r="AB1188" s="5"/>
    </row>
    <row r="1189" spans="1:28" x14ac:dyDescent="0.2">
      <c r="A1189" s="4"/>
      <c r="B1189" s="94"/>
      <c r="C1189" s="94"/>
      <c r="D1189" s="94"/>
      <c r="E1189" s="94"/>
      <c r="F1189" s="94"/>
      <c r="G1189" s="94"/>
      <c r="H1189" s="94"/>
      <c r="I1189" s="94"/>
      <c r="J1189" s="94"/>
      <c r="K1189" s="94"/>
      <c r="L1189" s="94"/>
      <c r="M1189" s="94"/>
      <c r="N1189" s="95"/>
      <c r="O1189" s="95"/>
      <c r="P1189" s="95"/>
      <c r="Q1189" s="95"/>
      <c r="R1189" s="95"/>
      <c r="S1189" s="95"/>
      <c r="T1189" s="95"/>
      <c r="U1189" s="95"/>
      <c r="V1189" s="96"/>
      <c r="W1189" s="96"/>
      <c r="X1189" s="97"/>
      <c r="Y1189" s="97"/>
      <c r="Z1189" s="97"/>
      <c r="AA1189" s="4"/>
      <c r="AB1189" s="5"/>
    </row>
    <row r="1190" spans="1:28" x14ac:dyDescent="0.2">
      <c r="A1190" s="4"/>
      <c r="B1190" s="90"/>
      <c r="C1190" s="90"/>
      <c r="D1190" s="90"/>
      <c r="E1190" s="90"/>
      <c r="F1190" s="90"/>
      <c r="G1190" s="90"/>
      <c r="H1190" s="90"/>
      <c r="I1190" s="90"/>
      <c r="J1190" s="90"/>
      <c r="K1190" s="90"/>
      <c r="L1190" s="90"/>
      <c r="M1190" s="90"/>
      <c r="N1190" s="91"/>
      <c r="O1190" s="91"/>
      <c r="P1190" s="91"/>
      <c r="Q1190" s="91"/>
      <c r="R1190" s="91"/>
      <c r="S1190" s="91"/>
      <c r="T1190" s="91"/>
      <c r="U1190" s="91"/>
      <c r="V1190" s="92"/>
      <c r="W1190" s="92"/>
      <c r="X1190" s="93"/>
      <c r="Y1190" s="93"/>
      <c r="Z1190" s="93"/>
      <c r="AA1190" s="4"/>
      <c r="AB1190" s="5"/>
    </row>
    <row r="1191" spans="1:28" x14ac:dyDescent="0.2">
      <c r="A1191" s="4"/>
      <c r="B1191" s="94"/>
      <c r="C1191" s="94"/>
      <c r="D1191" s="94"/>
      <c r="E1191" s="94"/>
      <c r="F1191" s="94"/>
      <c r="G1191" s="94"/>
      <c r="H1191" s="94"/>
      <c r="I1191" s="94"/>
      <c r="J1191" s="94"/>
      <c r="K1191" s="94"/>
      <c r="L1191" s="94"/>
      <c r="M1191" s="94"/>
      <c r="N1191" s="95"/>
      <c r="O1191" s="95"/>
      <c r="P1191" s="95"/>
      <c r="Q1191" s="95"/>
      <c r="R1191" s="95"/>
      <c r="S1191" s="95"/>
      <c r="T1191" s="95"/>
      <c r="U1191" s="95"/>
      <c r="V1191" s="96"/>
      <c r="W1191" s="96"/>
      <c r="X1191" s="97"/>
      <c r="Y1191" s="97"/>
      <c r="Z1191" s="97"/>
      <c r="AA1191" s="4"/>
      <c r="AB1191" s="5"/>
    </row>
    <row r="1192" spans="1:28" x14ac:dyDescent="0.2">
      <c r="A1192" s="4"/>
      <c r="B1192" s="90"/>
      <c r="C1192" s="90"/>
      <c r="D1192" s="90"/>
      <c r="E1192" s="90"/>
      <c r="F1192" s="90"/>
      <c r="G1192" s="90"/>
      <c r="H1192" s="90"/>
      <c r="I1192" s="90"/>
      <c r="J1192" s="90"/>
      <c r="K1192" s="90"/>
      <c r="L1192" s="90"/>
      <c r="M1192" s="90"/>
      <c r="N1192" s="91"/>
      <c r="O1192" s="91"/>
      <c r="P1192" s="91"/>
      <c r="Q1192" s="91"/>
      <c r="R1192" s="91"/>
      <c r="S1192" s="91"/>
      <c r="T1192" s="91"/>
      <c r="U1192" s="91"/>
      <c r="V1192" s="92"/>
      <c r="W1192" s="92"/>
      <c r="X1192" s="93"/>
      <c r="Y1192" s="93"/>
      <c r="Z1192" s="93"/>
      <c r="AA1192" s="4"/>
      <c r="AB1192" s="5"/>
    </row>
    <row r="1193" spans="1:28" x14ac:dyDescent="0.2">
      <c r="A1193" s="4"/>
      <c r="B1193" s="94"/>
      <c r="C1193" s="94"/>
      <c r="D1193" s="94"/>
      <c r="E1193" s="94"/>
      <c r="F1193" s="94"/>
      <c r="G1193" s="94"/>
      <c r="H1193" s="94"/>
      <c r="I1193" s="94"/>
      <c r="J1193" s="94"/>
      <c r="K1193" s="94"/>
      <c r="L1193" s="94"/>
      <c r="M1193" s="94"/>
      <c r="N1193" s="95"/>
      <c r="O1193" s="95"/>
      <c r="P1193" s="95"/>
      <c r="Q1193" s="95"/>
      <c r="R1193" s="95"/>
      <c r="S1193" s="95"/>
      <c r="T1193" s="95"/>
      <c r="U1193" s="95"/>
      <c r="V1193" s="96"/>
      <c r="W1193" s="96"/>
      <c r="X1193" s="97"/>
      <c r="Y1193" s="97"/>
      <c r="Z1193" s="97"/>
      <c r="AA1193" s="4"/>
      <c r="AB1193" s="5"/>
    </row>
    <row r="1194" spans="1:28" x14ac:dyDescent="0.2">
      <c r="A1194" s="4"/>
      <c r="B1194" s="90"/>
      <c r="C1194" s="90"/>
      <c r="D1194" s="90"/>
      <c r="E1194" s="90"/>
      <c r="F1194" s="90"/>
      <c r="G1194" s="90"/>
      <c r="H1194" s="90"/>
      <c r="I1194" s="90"/>
      <c r="J1194" s="90"/>
      <c r="K1194" s="90"/>
      <c r="L1194" s="90"/>
      <c r="M1194" s="90"/>
      <c r="N1194" s="91"/>
      <c r="O1194" s="91"/>
      <c r="P1194" s="91"/>
      <c r="Q1194" s="91"/>
      <c r="R1194" s="91"/>
      <c r="S1194" s="91"/>
      <c r="T1194" s="91"/>
      <c r="U1194" s="91"/>
      <c r="V1194" s="92"/>
      <c r="W1194" s="92"/>
      <c r="X1194" s="93"/>
      <c r="Y1194" s="93"/>
      <c r="Z1194" s="93"/>
      <c r="AA1194" s="4"/>
      <c r="AB1194" s="5"/>
    </row>
    <row r="1195" spans="1:28" x14ac:dyDescent="0.2">
      <c r="A1195" s="4"/>
      <c r="B1195" s="94"/>
      <c r="C1195" s="94"/>
      <c r="D1195" s="94"/>
      <c r="E1195" s="94"/>
      <c r="F1195" s="94"/>
      <c r="G1195" s="94"/>
      <c r="H1195" s="94"/>
      <c r="I1195" s="94"/>
      <c r="J1195" s="94"/>
      <c r="K1195" s="94"/>
      <c r="L1195" s="94"/>
      <c r="M1195" s="94"/>
      <c r="N1195" s="95"/>
      <c r="O1195" s="95"/>
      <c r="P1195" s="95"/>
      <c r="Q1195" s="95"/>
      <c r="R1195" s="95"/>
      <c r="S1195" s="95"/>
      <c r="T1195" s="95"/>
      <c r="U1195" s="95"/>
      <c r="V1195" s="96"/>
      <c r="W1195" s="96"/>
      <c r="X1195" s="97"/>
      <c r="Y1195" s="97"/>
      <c r="Z1195" s="97"/>
      <c r="AA1195" s="4"/>
      <c r="AB1195" s="5"/>
    </row>
    <row r="1196" spans="1:28" x14ac:dyDescent="0.2">
      <c r="A1196" s="4"/>
      <c r="B1196" s="90"/>
      <c r="C1196" s="90"/>
      <c r="D1196" s="90"/>
      <c r="E1196" s="90"/>
      <c r="F1196" s="90"/>
      <c r="G1196" s="90"/>
      <c r="H1196" s="90"/>
      <c r="I1196" s="90"/>
      <c r="J1196" s="90"/>
      <c r="K1196" s="90"/>
      <c r="L1196" s="90"/>
      <c r="M1196" s="90"/>
      <c r="N1196" s="91"/>
      <c r="O1196" s="91"/>
      <c r="P1196" s="91"/>
      <c r="Q1196" s="91"/>
      <c r="R1196" s="91"/>
      <c r="S1196" s="91"/>
      <c r="T1196" s="91"/>
      <c r="U1196" s="91"/>
      <c r="V1196" s="92"/>
      <c r="W1196" s="92"/>
      <c r="X1196" s="93"/>
      <c r="Y1196" s="93"/>
      <c r="Z1196" s="93"/>
      <c r="AA1196" s="4"/>
      <c r="AB1196" s="5"/>
    </row>
    <row r="1197" spans="1:28" x14ac:dyDescent="0.2">
      <c r="A1197" s="4"/>
      <c r="B1197" s="94"/>
      <c r="C1197" s="94"/>
      <c r="D1197" s="94"/>
      <c r="E1197" s="94"/>
      <c r="F1197" s="94"/>
      <c r="G1197" s="94"/>
      <c r="H1197" s="94"/>
      <c r="I1197" s="94"/>
      <c r="J1197" s="94"/>
      <c r="K1197" s="94"/>
      <c r="L1197" s="94"/>
      <c r="M1197" s="94"/>
      <c r="N1197" s="95"/>
      <c r="O1197" s="95"/>
      <c r="P1197" s="95"/>
      <c r="Q1197" s="95"/>
      <c r="R1197" s="95"/>
      <c r="S1197" s="95"/>
      <c r="T1197" s="95"/>
      <c r="U1197" s="95"/>
      <c r="V1197" s="96"/>
      <c r="W1197" s="96"/>
      <c r="X1197" s="97"/>
      <c r="Y1197" s="97"/>
      <c r="Z1197" s="97"/>
      <c r="AA1197" s="4"/>
      <c r="AB1197" s="5"/>
    </row>
    <row r="1198" spans="1:28" x14ac:dyDescent="0.2">
      <c r="A1198" s="4"/>
      <c r="B1198" s="90"/>
      <c r="C1198" s="90"/>
      <c r="D1198" s="90"/>
      <c r="E1198" s="90"/>
      <c r="F1198" s="90"/>
      <c r="G1198" s="90"/>
      <c r="H1198" s="90"/>
      <c r="I1198" s="90"/>
      <c r="J1198" s="90"/>
      <c r="K1198" s="90"/>
      <c r="L1198" s="90"/>
      <c r="M1198" s="90"/>
      <c r="N1198" s="91"/>
      <c r="O1198" s="91"/>
      <c r="P1198" s="91"/>
      <c r="Q1198" s="91"/>
      <c r="R1198" s="91"/>
      <c r="S1198" s="91"/>
      <c r="T1198" s="91"/>
      <c r="U1198" s="91"/>
      <c r="V1198" s="92"/>
      <c r="W1198" s="92"/>
      <c r="X1198" s="93"/>
      <c r="Y1198" s="93"/>
      <c r="Z1198" s="93"/>
      <c r="AA1198" s="4"/>
      <c r="AB1198" s="5"/>
    </row>
    <row r="1199" spans="1:28" x14ac:dyDescent="0.2">
      <c r="A1199" s="4"/>
      <c r="B1199" s="94"/>
      <c r="C1199" s="94"/>
      <c r="D1199" s="94"/>
      <c r="E1199" s="94"/>
      <c r="F1199" s="94"/>
      <c r="G1199" s="94"/>
      <c r="H1199" s="94"/>
      <c r="I1199" s="94"/>
      <c r="J1199" s="94"/>
      <c r="K1199" s="94"/>
      <c r="L1199" s="94"/>
      <c r="M1199" s="94"/>
      <c r="N1199" s="95"/>
      <c r="O1199" s="95"/>
      <c r="P1199" s="95"/>
      <c r="Q1199" s="95"/>
      <c r="R1199" s="95"/>
      <c r="S1199" s="95"/>
      <c r="T1199" s="95"/>
      <c r="U1199" s="95"/>
      <c r="V1199" s="96"/>
      <c r="W1199" s="96"/>
      <c r="X1199" s="97"/>
      <c r="Y1199" s="97"/>
      <c r="Z1199" s="97"/>
      <c r="AA1199" s="4"/>
      <c r="AB1199" s="5"/>
    </row>
    <row r="1200" spans="1:28" x14ac:dyDescent="0.2">
      <c r="A1200" s="4"/>
      <c r="B1200" s="90"/>
      <c r="C1200" s="90"/>
      <c r="D1200" s="90"/>
      <c r="E1200" s="90"/>
      <c r="F1200" s="90"/>
      <c r="G1200" s="90"/>
      <c r="H1200" s="90"/>
      <c r="I1200" s="90"/>
      <c r="J1200" s="90"/>
      <c r="K1200" s="90"/>
      <c r="L1200" s="90"/>
      <c r="M1200" s="90"/>
      <c r="N1200" s="91"/>
      <c r="O1200" s="91"/>
      <c r="P1200" s="91"/>
      <c r="Q1200" s="91"/>
      <c r="R1200" s="91"/>
      <c r="S1200" s="91"/>
      <c r="T1200" s="91"/>
      <c r="U1200" s="91"/>
      <c r="V1200" s="92"/>
      <c r="W1200" s="92"/>
      <c r="X1200" s="93"/>
      <c r="Y1200" s="93"/>
      <c r="Z1200" s="93"/>
      <c r="AA1200" s="4"/>
      <c r="AB1200" s="5"/>
    </row>
    <row r="1201" spans="1:28" x14ac:dyDescent="0.2">
      <c r="A1201" s="4"/>
      <c r="B1201" s="94"/>
      <c r="C1201" s="94"/>
      <c r="D1201" s="94"/>
      <c r="E1201" s="94"/>
      <c r="F1201" s="94"/>
      <c r="G1201" s="94"/>
      <c r="H1201" s="94"/>
      <c r="I1201" s="94"/>
      <c r="J1201" s="94"/>
      <c r="K1201" s="94"/>
      <c r="L1201" s="94"/>
      <c r="M1201" s="94"/>
      <c r="N1201" s="95"/>
      <c r="O1201" s="95"/>
      <c r="P1201" s="95"/>
      <c r="Q1201" s="95"/>
      <c r="R1201" s="95"/>
      <c r="S1201" s="95"/>
      <c r="T1201" s="95"/>
      <c r="U1201" s="95"/>
      <c r="V1201" s="96"/>
      <c r="W1201" s="96"/>
      <c r="X1201" s="97"/>
      <c r="Y1201" s="97"/>
      <c r="Z1201" s="97"/>
      <c r="AA1201" s="4"/>
      <c r="AB1201" s="5"/>
    </row>
    <row r="1202" spans="1:28" x14ac:dyDescent="0.2">
      <c r="A1202" s="4"/>
      <c r="B1202" s="90"/>
      <c r="C1202" s="90"/>
      <c r="D1202" s="90"/>
      <c r="E1202" s="90"/>
      <c r="F1202" s="90"/>
      <c r="G1202" s="90"/>
      <c r="H1202" s="90"/>
      <c r="I1202" s="90"/>
      <c r="J1202" s="90"/>
      <c r="K1202" s="90"/>
      <c r="L1202" s="90"/>
      <c r="M1202" s="90"/>
      <c r="N1202" s="91"/>
      <c r="O1202" s="91"/>
      <c r="P1202" s="91"/>
      <c r="Q1202" s="91"/>
      <c r="R1202" s="91"/>
      <c r="S1202" s="91"/>
      <c r="T1202" s="91"/>
      <c r="U1202" s="91"/>
      <c r="V1202" s="92"/>
      <c r="W1202" s="92"/>
      <c r="X1202" s="93"/>
      <c r="Y1202" s="93"/>
      <c r="Z1202" s="93"/>
      <c r="AA1202" s="4"/>
      <c r="AB1202" s="5"/>
    </row>
    <row r="1203" spans="1:28" x14ac:dyDescent="0.2">
      <c r="A1203" s="4"/>
      <c r="B1203" s="94"/>
      <c r="C1203" s="94"/>
      <c r="D1203" s="94"/>
      <c r="E1203" s="94"/>
      <c r="F1203" s="94"/>
      <c r="G1203" s="94"/>
      <c r="H1203" s="94"/>
      <c r="I1203" s="94"/>
      <c r="J1203" s="94"/>
      <c r="K1203" s="94"/>
      <c r="L1203" s="94"/>
      <c r="M1203" s="94"/>
      <c r="N1203" s="95"/>
      <c r="O1203" s="95"/>
      <c r="P1203" s="95"/>
      <c r="Q1203" s="95"/>
      <c r="R1203" s="95"/>
      <c r="S1203" s="95"/>
      <c r="T1203" s="95"/>
      <c r="U1203" s="95"/>
      <c r="V1203" s="96"/>
      <c r="W1203" s="96"/>
      <c r="X1203" s="97"/>
      <c r="Y1203" s="97"/>
      <c r="Z1203" s="97"/>
      <c r="AA1203" s="4"/>
      <c r="AB1203" s="5"/>
    </row>
    <row r="1204" spans="1:28" x14ac:dyDescent="0.2">
      <c r="A1204" s="4"/>
      <c r="B1204" s="90"/>
      <c r="C1204" s="90"/>
      <c r="D1204" s="90"/>
      <c r="E1204" s="90"/>
      <c r="F1204" s="90"/>
      <c r="G1204" s="90"/>
      <c r="H1204" s="90"/>
      <c r="I1204" s="90"/>
      <c r="J1204" s="90"/>
      <c r="K1204" s="90"/>
      <c r="L1204" s="90"/>
      <c r="M1204" s="90"/>
      <c r="N1204" s="91"/>
      <c r="O1204" s="91"/>
      <c r="P1204" s="91"/>
      <c r="Q1204" s="91"/>
      <c r="R1204" s="91"/>
      <c r="S1204" s="91"/>
      <c r="T1204" s="91"/>
      <c r="U1204" s="91"/>
      <c r="V1204" s="92"/>
      <c r="W1204" s="92"/>
      <c r="X1204" s="93"/>
      <c r="Y1204" s="93"/>
      <c r="Z1204" s="93"/>
      <c r="AA1204" s="4"/>
      <c r="AB1204" s="5"/>
    </row>
    <row r="1205" spans="1:28" x14ac:dyDescent="0.2">
      <c r="A1205" s="4"/>
      <c r="B1205" s="94"/>
      <c r="C1205" s="94"/>
      <c r="D1205" s="94"/>
      <c r="E1205" s="94"/>
      <c r="F1205" s="94"/>
      <c r="G1205" s="94"/>
      <c r="H1205" s="94"/>
      <c r="I1205" s="94"/>
      <c r="J1205" s="94"/>
      <c r="K1205" s="94"/>
      <c r="L1205" s="94"/>
      <c r="M1205" s="94"/>
      <c r="N1205" s="95"/>
      <c r="O1205" s="95"/>
      <c r="P1205" s="95"/>
      <c r="Q1205" s="95"/>
      <c r="R1205" s="95"/>
      <c r="S1205" s="95"/>
      <c r="T1205" s="95"/>
      <c r="U1205" s="95"/>
      <c r="V1205" s="96"/>
      <c r="W1205" s="96"/>
      <c r="X1205" s="97"/>
      <c r="Y1205" s="97"/>
      <c r="Z1205" s="97"/>
      <c r="AA1205" s="4"/>
      <c r="AB1205" s="5"/>
    </row>
    <row r="1206" spans="1:28" x14ac:dyDescent="0.2">
      <c r="A1206" s="4"/>
      <c r="B1206" s="90"/>
      <c r="C1206" s="90"/>
      <c r="D1206" s="90"/>
      <c r="E1206" s="90"/>
      <c r="F1206" s="90"/>
      <c r="G1206" s="90"/>
      <c r="H1206" s="90"/>
      <c r="I1206" s="90"/>
      <c r="J1206" s="90"/>
      <c r="K1206" s="90"/>
      <c r="L1206" s="90"/>
      <c r="M1206" s="90"/>
      <c r="N1206" s="91"/>
      <c r="O1206" s="91"/>
      <c r="P1206" s="91"/>
      <c r="Q1206" s="91"/>
      <c r="R1206" s="91"/>
      <c r="S1206" s="91"/>
      <c r="T1206" s="91"/>
      <c r="U1206" s="91"/>
      <c r="V1206" s="92"/>
      <c r="W1206" s="92"/>
      <c r="X1206" s="93"/>
      <c r="Y1206" s="93"/>
      <c r="Z1206" s="93"/>
      <c r="AA1206" s="4"/>
      <c r="AB1206" s="5"/>
    </row>
    <row r="1207" spans="1:28" x14ac:dyDescent="0.2">
      <c r="A1207" s="4"/>
      <c r="B1207" s="94"/>
      <c r="C1207" s="94"/>
      <c r="D1207" s="94"/>
      <c r="E1207" s="94"/>
      <c r="F1207" s="94"/>
      <c r="G1207" s="94"/>
      <c r="H1207" s="94"/>
      <c r="I1207" s="94"/>
      <c r="J1207" s="94"/>
      <c r="K1207" s="94"/>
      <c r="L1207" s="94"/>
      <c r="M1207" s="94"/>
      <c r="N1207" s="95"/>
      <c r="O1207" s="95"/>
      <c r="P1207" s="95"/>
      <c r="Q1207" s="95"/>
      <c r="R1207" s="95"/>
      <c r="S1207" s="95"/>
      <c r="T1207" s="95"/>
      <c r="U1207" s="95"/>
      <c r="V1207" s="96"/>
      <c r="W1207" s="96"/>
      <c r="X1207" s="97"/>
      <c r="Y1207" s="97"/>
      <c r="Z1207" s="97"/>
      <c r="AA1207" s="4"/>
      <c r="AB1207" s="5"/>
    </row>
    <row r="1208" spans="1:28" x14ac:dyDescent="0.2">
      <c r="A1208" s="4"/>
      <c r="B1208" s="90"/>
      <c r="C1208" s="90"/>
      <c r="D1208" s="90"/>
      <c r="E1208" s="90"/>
      <c r="F1208" s="90"/>
      <c r="G1208" s="90"/>
      <c r="H1208" s="90"/>
      <c r="I1208" s="90"/>
      <c r="J1208" s="90"/>
      <c r="K1208" s="90"/>
      <c r="L1208" s="90"/>
      <c r="M1208" s="90"/>
      <c r="N1208" s="91"/>
      <c r="O1208" s="91"/>
      <c r="P1208" s="91"/>
      <c r="Q1208" s="91"/>
      <c r="R1208" s="91"/>
      <c r="S1208" s="91"/>
      <c r="T1208" s="91"/>
      <c r="U1208" s="91"/>
      <c r="V1208" s="92"/>
      <c r="W1208" s="92"/>
      <c r="X1208" s="93"/>
      <c r="Y1208" s="93"/>
      <c r="Z1208" s="93"/>
      <c r="AA1208" s="4"/>
      <c r="AB1208" s="5"/>
    </row>
    <row r="1209" spans="1:28" x14ac:dyDescent="0.2">
      <c r="A1209" s="4"/>
      <c r="B1209" s="94"/>
      <c r="C1209" s="94"/>
      <c r="D1209" s="94"/>
      <c r="E1209" s="94"/>
      <c r="F1209" s="94"/>
      <c r="G1209" s="94"/>
      <c r="H1209" s="94"/>
      <c r="I1209" s="94"/>
      <c r="J1209" s="94"/>
      <c r="K1209" s="94"/>
      <c r="L1209" s="94"/>
      <c r="M1209" s="94"/>
      <c r="N1209" s="95"/>
      <c r="O1209" s="95"/>
      <c r="P1209" s="95"/>
      <c r="Q1209" s="95"/>
      <c r="R1209" s="95"/>
      <c r="S1209" s="95"/>
      <c r="T1209" s="95"/>
      <c r="U1209" s="95"/>
      <c r="V1209" s="96"/>
      <c r="W1209" s="96"/>
      <c r="X1209" s="97"/>
      <c r="Y1209" s="97"/>
      <c r="Z1209" s="97"/>
      <c r="AA1209" s="4"/>
      <c r="AB1209" s="5"/>
    </row>
    <row r="1210" spans="1:28" x14ac:dyDescent="0.2">
      <c r="A1210" s="4"/>
      <c r="B1210" s="90"/>
      <c r="C1210" s="90"/>
      <c r="D1210" s="90"/>
      <c r="E1210" s="90"/>
      <c r="F1210" s="90"/>
      <c r="G1210" s="90"/>
      <c r="H1210" s="90"/>
      <c r="I1210" s="90"/>
      <c r="J1210" s="90"/>
      <c r="K1210" s="90"/>
      <c r="L1210" s="90"/>
      <c r="M1210" s="90"/>
      <c r="N1210" s="91"/>
      <c r="O1210" s="91"/>
      <c r="P1210" s="91"/>
      <c r="Q1210" s="91"/>
      <c r="R1210" s="91"/>
      <c r="S1210" s="91"/>
      <c r="T1210" s="91"/>
      <c r="U1210" s="91"/>
      <c r="V1210" s="92"/>
      <c r="W1210" s="92"/>
      <c r="X1210" s="93"/>
      <c r="Y1210" s="93"/>
      <c r="Z1210" s="93"/>
      <c r="AA1210" s="4"/>
      <c r="AB1210" s="5"/>
    </row>
    <row r="1211" spans="1:28" x14ac:dyDescent="0.2">
      <c r="A1211" s="4"/>
      <c r="B1211" s="94"/>
      <c r="C1211" s="94"/>
      <c r="D1211" s="94"/>
      <c r="E1211" s="94"/>
      <c r="F1211" s="94"/>
      <c r="G1211" s="94"/>
      <c r="H1211" s="94"/>
      <c r="I1211" s="94"/>
      <c r="J1211" s="94"/>
      <c r="K1211" s="94"/>
      <c r="L1211" s="94"/>
      <c r="M1211" s="94"/>
      <c r="N1211" s="95"/>
      <c r="O1211" s="95"/>
      <c r="P1211" s="95"/>
      <c r="Q1211" s="95"/>
      <c r="R1211" s="95"/>
      <c r="S1211" s="95"/>
      <c r="T1211" s="95"/>
      <c r="U1211" s="95"/>
      <c r="V1211" s="96"/>
      <c r="W1211" s="96"/>
      <c r="X1211" s="97"/>
      <c r="Y1211" s="97"/>
      <c r="Z1211" s="97"/>
      <c r="AA1211" s="4"/>
      <c r="AB1211" s="5"/>
    </row>
    <row r="1212" spans="1:28" x14ac:dyDescent="0.2">
      <c r="A1212" s="4"/>
      <c r="B1212" s="90"/>
      <c r="C1212" s="90"/>
      <c r="D1212" s="90"/>
      <c r="E1212" s="90"/>
      <c r="F1212" s="90"/>
      <c r="G1212" s="90"/>
      <c r="H1212" s="90"/>
      <c r="I1212" s="90"/>
      <c r="J1212" s="90"/>
      <c r="K1212" s="90"/>
      <c r="L1212" s="90"/>
      <c r="M1212" s="90"/>
      <c r="N1212" s="91"/>
      <c r="O1212" s="91"/>
      <c r="P1212" s="91"/>
      <c r="Q1212" s="91"/>
      <c r="R1212" s="91"/>
      <c r="S1212" s="91"/>
      <c r="T1212" s="91"/>
      <c r="U1212" s="91"/>
      <c r="V1212" s="92"/>
      <c r="W1212" s="92"/>
      <c r="X1212" s="93"/>
      <c r="Y1212" s="93"/>
      <c r="Z1212" s="93"/>
      <c r="AA1212" s="4"/>
      <c r="AB1212" s="5"/>
    </row>
    <row r="1213" spans="1:28" x14ac:dyDescent="0.2">
      <c r="A1213" s="4"/>
      <c r="B1213" s="94"/>
      <c r="C1213" s="94"/>
      <c r="D1213" s="94"/>
      <c r="E1213" s="94"/>
      <c r="F1213" s="94"/>
      <c r="G1213" s="94"/>
      <c r="H1213" s="94"/>
      <c r="I1213" s="94"/>
      <c r="J1213" s="94"/>
      <c r="K1213" s="94"/>
      <c r="L1213" s="94"/>
      <c r="M1213" s="94"/>
      <c r="N1213" s="95"/>
      <c r="O1213" s="95"/>
      <c r="P1213" s="95"/>
      <c r="Q1213" s="95"/>
      <c r="R1213" s="95"/>
      <c r="S1213" s="95"/>
      <c r="T1213" s="95"/>
      <c r="U1213" s="95"/>
      <c r="V1213" s="96"/>
      <c r="W1213" s="96"/>
      <c r="X1213" s="97"/>
      <c r="Y1213" s="97"/>
      <c r="Z1213" s="97"/>
      <c r="AA1213" s="4"/>
      <c r="AB1213" s="5"/>
    </row>
    <row r="1214" spans="1:28" x14ac:dyDescent="0.2">
      <c r="A1214" s="4"/>
      <c r="B1214" s="90"/>
      <c r="C1214" s="90"/>
      <c r="D1214" s="90"/>
      <c r="E1214" s="90"/>
      <c r="F1214" s="90"/>
      <c r="G1214" s="90"/>
      <c r="H1214" s="90"/>
      <c r="I1214" s="90"/>
      <c r="J1214" s="90"/>
      <c r="K1214" s="90"/>
      <c r="L1214" s="90"/>
      <c r="M1214" s="90"/>
      <c r="N1214" s="91"/>
      <c r="O1214" s="91"/>
      <c r="P1214" s="91"/>
      <c r="Q1214" s="91"/>
      <c r="R1214" s="91"/>
      <c r="S1214" s="91"/>
      <c r="T1214" s="91"/>
      <c r="U1214" s="91"/>
      <c r="V1214" s="92"/>
      <c r="W1214" s="92"/>
      <c r="X1214" s="93"/>
      <c r="Y1214" s="93"/>
      <c r="Z1214" s="93"/>
      <c r="AA1214" s="4"/>
      <c r="AB1214" s="5"/>
    </row>
    <row r="1215" spans="1:28" x14ac:dyDescent="0.2">
      <c r="A1215" s="4"/>
      <c r="B1215" s="94"/>
      <c r="C1215" s="94"/>
      <c r="D1215" s="94"/>
      <c r="E1215" s="94"/>
      <c r="F1215" s="94"/>
      <c r="G1215" s="94"/>
      <c r="H1215" s="94"/>
      <c r="I1215" s="94"/>
      <c r="J1215" s="94"/>
      <c r="K1215" s="94"/>
      <c r="L1215" s="94"/>
      <c r="M1215" s="94"/>
      <c r="N1215" s="95"/>
      <c r="O1215" s="95"/>
      <c r="P1215" s="95"/>
      <c r="Q1215" s="95"/>
      <c r="R1215" s="95"/>
      <c r="S1215" s="95"/>
      <c r="T1215" s="95"/>
      <c r="U1215" s="95"/>
      <c r="V1215" s="96"/>
      <c r="W1215" s="96"/>
      <c r="X1215" s="97"/>
      <c r="Y1215" s="97"/>
      <c r="Z1215" s="97"/>
      <c r="AA1215" s="4"/>
      <c r="AB1215" s="5"/>
    </row>
    <row r="1216" spans="1:28" x14ac:dyDescent="0.2">
      <c r="A1216" s="4"/>
      <c r="B1216" s="90"/>
      <c r="C1216" s="90"/>
      <c r="D1216" s="90"/>
      <c r="E1216" s="90"/>
      <c r="F1216" s="90"/>
      <c r="G1216" s="90"/>
      <c r="H1216" s="90"/>
      <c r="I1216" s="90"/>
      <c r="J1216" s="90"/>
      <c r="K1216" s="90"/>
      <c r="L1216" s="90"/>
      <c r="M1216" s="90"/>
      <c r="N1216" s="91"/>
      <c r="O1216" s="91"/>
      <c r="P1216" s="91"/>
      <c r="Q1216" s="91"/>
      <c r="R1216" s="91"/>
      <c r="S1216" s="91"/>
      <c r="T1216" s="91"/>
      <c r="U1216" s="91"/>
      <c r="V1216" s="92"/>
      <c r="W1216" s="92"/>
      <c r="X1216" s="93"/>
      <c r="Y1216" s="93"/>
      <c r="Z1216" s="93"/>
      <c r="AA1216" s="4"/>
      <c r="AB1216" s="5"/>
    </row>
    <row r="1217" spans="1:28" x14ac:dyDescent="0.2">
      <c r="A1217" s="4"/>
      <c r="B1217" s="94"/>
      <c r="C1217" s="94"/>
      <c r="D1217" s="94"/>
      <c r="E1217" s="94"/>
      <c r="F1217" s="94"/>
      <c r="G1217" s="94"/>
      <c r="H1217" s="94"/>
      <c r="I1217" s="94"/>
      <c r="J1217" s="94"/>
      <c r="K1217" s="94"/>
      <c r="L1217" s="94"/>
      <c r="M1217" s="94"/>
      <c r="N1217" s="95"/>
      <c r="O1217" s="95"/>
      <c r="P1217" s="95"/>
      <c r="Q1217" s="95"/>
      <c r="R1217" s="95"/>
      <c r="S1217" s="95"/>
      <c r="T1217" s="95"/>
      <c r="U1217" s="95"/>
      <c r="V1217" s="96"/>
      <c r="W1217" s="96"/>
      <c r="X1217" s="97"/>
      <c r="Y1217" s="97"/>
      <c r="Z1217" s="97"/>
      <c r="AA1217" s="4"/>
      <c r="AB1217" s="5"/>
    </row>
    <row r="1218" spans="1:28" x14ac:dyDescent="0.2">
      <c r="A1218" s="4"/>
      <c r="B1218" s="90"/>
      <c r="C1218" s="90"/>
      <c r="D1218" s="90"/>
      <c r="E1218" s="90"/>
      <c r="F1218" s="90"/>
      <c r="G1218" s="90"/>
      <c r="H1218" s="90"/>
      <c r="I1218" s="90"/>
      <c r="J1218" s="90"/>
      <c r="K1218" s="90"/>
      <c r="L1218" s="90"/>
      <c r="M1218" s="90"/>
      <c r="N1218" s="91"/>
      <c r="O1218" s="91"/>
      <c r="P1218" s="91"/>
      <c r="Q1218" s="91"/>
      <c r="R1218" s="91"/>
      <c r="S1218" s="91"/>
      <c r="T1218" s="91"/>
      <c r="U1218" s="91"/>
      <c r="V1218" s="92"/>
      <c r="W1218" s="92"/>
      <c r="X1218" s="93"/>
      <c r="Y1218" s="93"/>
      <c r="Z1218" s="93"/>
      <c r="AA1218" s="4"/>
      <c r="AB1218" s="5"/>
    </row>
    <row r="1219" spans="1:28" x14ac:dyDescent="0.2">
      <c r="A1219" s="4"/>
      <c r="B1219" s="94"/>
      <c r="C1219" s="94"/>
      <c r="D1219" s="94"/>
      <c r="E1219" s="94"/>
      <c r="F1219" s="94"/>
      <c r="G1219" s="94"/>
      <c r="H1219" s="94"/>
      <c r="I1219" s="94"/>
      <c r="J1219" s="94"/>
      <c r="K1219" s="94"/>
      <c r="L1219" s="94"/>
      <c r="M1219" s="94"/>
      <c r="N1219" s="95"/>
      <c r="O1219" s="95"/>
      <c r="P1219" s="95"/>
      <c r="Q1219" s="95"/>
      <c r="R1219" s="95"/>
      <c r="S1219" s="95"/>
      <c r="T1219" s="95"/>
      <c r="U1219" s="95"/>
      <c r="V1219" s="96"/>
      <c r="W1219" s="96"/>
      <c r="X1219" s="97"/>
      <c r="Y1219" s="97"/>
      <c r="Z1219" s="97"/>
      <c r="AA1219" s="4"/>
      <c r="AB1219" s="5"/>
    </row>
    <row r="1220" spans="1:28" x14ac:dyDescent="0.2">
      <c r="A1220" s="4"/>
      <c r="B1220" s="90"/>
      <c r="C1220" s="90"/>
      <c r="D1220" s="90"/>
      <c r="E1220" s="90"/>
      <c r="F1220" s="90"/>
      <c r="G1220" s="90"/>
      <c r="H1220" s="90"/>
      <c r="I1220" s="90"/>
      <c r="J1220" s="90"/>
      <c r="K1220" s="90"/>
      <c r="L1220" s="90"/>
      <c r="M1220" s="90"/>
      <c r="N1220" s="91"/>
      <c r="O1220" s="91"/>
      <c r="P1220" s="91"/>
      <c r="Q1220" s="91"/>
      <c r="R1220" s="91"/>
      <c r="S1220" s="91"/>
      <c r="T1220" s="91"/>
      <c r="U1220" s="91"/>
      <c r="V1220" s="92"/>
      <c r="W1220" s="92"/>
      <c r="X1220" s="93"/>
      <c r="Y1220" s="93"/>
      <c r="Z1220" s="93"/>
      <c r="AA1220" s="4"/>
      <c r="AB1220" s="5"/>
    </row>
    <row r="1221" spans="1:28" x14ac:dyDescent="0.2">
      <c r="A1221" s="4"/>
      <c r="B1221" s="94"/>
      <c r="C1221" s="94"/>
      <c r="D1221" s="94"/>
      <c r="E1221" s="94"/>
      <c r="F1221" s="94"/>
      <c r="G1221" s="94"/>
      <c r="H1221" s="94"/>
      <c r="I1221" s="94"/>
      <c r="J1221" s="94"/>
      <c r="K1221" s="94"/>
      <c r="L1221" s="94"/>
      <c r="M1221" s="94"/>
      <c r="N1221" s="95"/>
      <c r="O1221" s="95"/>
      <c r="P1221" s="95"/>
      <c r="Q1221" s="95"/>
      <c r="R1221" s="95"/>
      <c r="S1221" s="95"/>
      <c r="T1221" s="95"/>
      <c r="U1221" s="95"/>
      <c r="V1221" s="96"/>
      <c r="W1221" s="96"/>
      <c r="X1221" s="97"/>
      <c r="Y1221" s="97"/>
      <c r="Z1221" s="97"/>
      <c r="AA1221" s="4"/>
      <c r="AB1221" s="5"/>
    </row>
    <row r="1222" spans="1:28" x14ac:dyDescent="0.2">
      <c r="A1222" s="4"/>
      <c r="B1222" s="90"/>
      <c r="C1222" s="90"/>
      <c r="D1222" s="90"/>
      <c r="E1222" s="90"/>
      <c r="F1222" s="90"/>
      <c r="G1222" s="90"/>
      <c r="H1222" s="90"/>
      <c r="I1222" s="90"/>
      <c r="J1222" s="90"/>
      <c r="K1222" s="90"/>
      <c r="L1222" s="90"/>
      <c r="M1222" s="90"/>
      <c r="N1222" s="91"/>
      <c r="O1222" s="91"/>
      <c r="P1222" s="91"/>
      <c r="Q1222" s="91"/>
      <c r="R1222" s="91"/>
      <c r="S1222" s="91"/>
      <c r="T1222" s="91"/>
      <c r="U1222" s="91"/>
      <c r="V1222" s="92"/>
      <c r="W1222" s="92"/>
      <c r="X1222" s="93"/>
      <c r="Y1222" s="93"/>
      <c r="Z1222" s="93"/>
      <c r="AA1222" s="4"/>
      <c r="AB1222" s="5"/>
    </row>
    <row r="1223" spans="1:28" x14ac:dyDescent="0.2">
      <c r="A1223" s="4"/>
      <c r="B1223" s="94"/>
      <c r="C1223" s="94"/>
      <c r="D1223" s="94"/>
      <c r="E1223" s="94"/>
      <c r="F1223" s="94"/>
      <c r="G1223" s="94"/>
      <c r="H1223" s="94"/>
      <c r="I1223" s="94"/>
      <c r="J1223" s="94"/>
      <c r="K1223" s="94"/>
      <c r="L1223" s="94"/>
      <c r="M1223" s="94"/>
      <c r="N1223" s="95"/>
      <c r="O1223" s="95"/>
      <c r="P1223" s="95"/>
      <c r="Q1223" s="95"/>
      <c r="R1223" s="95"/>
      <c r="S1223" s="95"/>
      <c r="T1223" s="95"/>
      <c r="U1223" s="95"/>
      <c r="V1223" s="96"/>
      <c r="W1223" s="96"/>
      <c r="X1223" s="97"/>
      <c r="Y1223" s="97"/>
      <c r="Z1223" s="97"/>
      <c r="AA1223" s="4"/>
      <c r="AB1223" s="5"/>
    </row>
    <row r="1224" spans="1:28" x14ac:dyDescent="0.2">
      <c r="A1224" s="4"/>
      <c r="B1224" s="90"/>
      <c r="C1224" s="90"/>
      <c r="D1224" s="90"/>
      <c r="E1224" s="90"/>
      <c r="F1224" s="90"/>
      <c r="G1224" s="90"/>
      <c r="H1224" s="90"/>
      <c r="I1224" s="90"/>
      <c r="J1224" s="90"/>
      <c r="K1224" s="90"/>
      <c r="L1224" s="90"/>
      <c r="M1224" s="90"/>
      <c r="N1224" s="91"/>
      <c r="O1224" s="91"/>
      <c r="P1224" s="91"/>
      <c r="Q1224" s="91"/>
      <c r="R1224" s="91"/>
      <c r="S1224" s="91"/>
      <c r="T1224" s="91"/>
      <c r="U1224" s="91"/>
      <c r="V1224" s="92"/>
      <c r="W1224" s="92"/>
      <c r="X1224" s="93"/>
      <c r="Y1224" s="93"/>
      <c r="Z1224" s="93"/>
      <c r="AA1224" s="4"/>
      <c r="AB1224" s="5"/>
    </row>
    <row r="1225" spans="1:28" x14ac:dyDescent="0.2">
      <c r="A1225" s="4"/>
      <c r="B1225" s="94"/>
      <c r="C1225" s="94"/>
      <c r="D1225" s="94"/>
      <c r="E1225" s="94"/>
      <c r="F1225" s="94"/>
      <c r="G1225" s="94"/>
      <c r="H1225" s="94"/>
      <c r="I1225" s="94"/>
      <c r="J1225" s="94"/>
      <c r="K1225" s="94"/>
      <c r="L1225" s="94"/>
      <c r="M1225" s="94"/>
      <c r="N1225" s="95"/>
      <c r="O1225" s="95"/>
      <c r="P1225" s="95"/>
      <c r="Q1225" s="95"/>
      <c r="R1225" s="95"/>
      <c r="S1225" s="95"/>
      <c r="T1225" s="95"/>
      <c r="U1225" s="95"/>
      <c r="V1225" s="96"/>
      <c r="W1225" s="96"/>
      <c r="X1225" s="97"/>
      <c r="Y1225" s="97"/>
      <c r="Z1225" s="97"/>
      <c r="AA1225" s="4"/>
      <c r="AB1225" s="5"/>
    </row>
    <row r="1226" spans="1:28" x14ac:dyDescent="0.2">
      <c r="A1226" s="4"/>
      <c r="B1226" s="90"/>
      <c r="C1226" s="90"/>
      <c r="D1226" s="90"/>
      <c r="E1226" s="90"/>
      <c r="F1226" s="90"/>
      <c r="G1226" s="90"/>
      <c r="H1226" s="90"/>
      <c r="I1226" s="90"/>
      <c r="J1226" s="90"/>
      <c r="K1226" s="90"/>
      <c r="L1226" s="90"/>
      <c r="M1226" s="90"/>
      <c r="N1226" s="91"/>
      <c r="O1226" s="91"/>
      <c r="P1226" s="91"/>
      <c r="Q1226" s="91"/>
      <c r="R1226" s="91"/>
      <c r="S1226" s="91"/>
      <c r="T1226" s="91"/>
      <c r="U1226" s="91"/>
      <c r="V1226" s="92"/>
      <c r="W1226" s="92"/>
      <c r="X1226" s="93"/>
      <c r="Y1226" s="93"/>
      <c r="Z1226" s="93"/>
      <c r="AA1226" s="4"/>
      <c r="AB1226" s="5"/>
    </row>
    <row r="1227" spans="1:28" x14ac:dyDescent="0.2">
      <c r="A1227" s="4"/>
      <c r="B1227" s="94"/>
      <c r="C1227" s="94"/>
      <c r="D1227" s="94"/>
      <c r="E1227" s="94"/>
      <c r="F1227" s="94"/>
      <c r="G1227" s="94"/>
      <c r="H1227" s="94"/>
      <c r="I1227" s="94"/>
      <c r="J1227" s="94"/>
      <c r="K1227" s="94"/>
      <c r="L1227" s="94"/>
      <c r="M1227" s="94"/>
      <c r="N1227" s="95"/>
      <c r="O1227" s="95"/>
      <c r="P1227" s="95"/>
      <c r="Q1227" s="95"/>
      <c r="R1227" s="95"/>
      <c r="S1227" s="95"/>
      <c r="T1227" s="95"/>
      <c r="U1227" s="95"/>
      <c r="V1227" s="96"/>
      <c r="W1227" s="96"/>
      <c r="X1227" s="97"/>
      <c r="Y1227" s="97"/>
      <c r="Z1227" s="97"/>
      <c r="AA1227" s="4"/>
      <c r="AB1227" s="5"/>
    </row>
    <row r="1228" spans="1:28" x14ac:dyDescent="0.2">
      <c r="A1228" s="4"/>
      <c r="B1228" s="90"/>
      <c r="C1228" s="90"/>
      <c r="D1228" s="90"/>
      <c r="E1228" s="90"/>
      <c r="F1228" s="90"/>
      <c r="G1228" s="90"/>
      <c r="H1228" s="90"/>
      <c r="I1228" s="90"/>
      <c r="J1228" s="90"/>
      <c r="K1228" s="90"/>
      <c r="L1228" s="90"/>
      <c r="M1228" s="90"/>
      <c r="N1228" s="91"/>
      <c r="O1228" s="91"/>
      <c r="P1228" s="91"/>
      <c r="Q1228" s="91"/>
      <c r="R1228" s="91"/>
      <c r="S1228" s="91"/>
      <c r="T1228" s="91"/>
      <c r="U1228" s="91"/>
      <c r="V1228" s="92"/>
      <c r="W1228" s="92"/>
      <c r="X1228" s="93"/>
      <c r="Y1228" s="93"/>
      <c r="Z1228" s="93"/>
      <c r="AA1228" s="4"/>
      <c r="AB1228" s="5"/>
    </row>
    <row r="1229" spans="1:28" x14ac:dyDescent="0.2">
      <c r="A1229" s="4"/>
      <c r="B1229" s="94"/>
      <c r="C1229" s="94"/>
      <c r="D1229" s="94"/>
      <c r="E1229" s="94"/>
      <c r="F1229" s="94"/>
      <c r="G1229" s="94"/>
      <c r="H1229" s="94"/>
      <c r="I1229" s="94"/>
      <c r="J1229" s="94"/>
      <c r="K1229" s="94"/>
      <c r="L1229" s="94"/>
      <c r="M1229" s="94"/>
      <c r="N1229" s="95"/>
      <c r="O1229" s="95"/>
      <c r="P1229" s="95"/>
      <c r="Q1229" s="95"/>
      <c r="R1229" s="95"/>
      <c r="S1229" s="95"/>
      <c r="T1229" s="95"/>
      <c r="U1229" s="95"/>
      <c r="V1229" s="96"/>
      <c r="W1229" s="96"/>
      <c r="X1229" s="97"/>
      <c r="Y1229" s="97"/>
      <c r="Z1229" s="97"/>
      <c r="AA1229" s="4"/>
      <c r="AB1229" s="5"/>
    </row>
    <row r="1230" spans="1:28" x14ac:dyDescent="0.2">
      <c r="A1230" s="4"/>
      <c r="B1230" s="90"/>
      <c r="C1230" s="90"/>
      <c r="D1230" s="90"/>
      <c r="E1230" s="90"/>
      <c r="F1230" s="90"/>
      <c r="G1230" s="90"/>
      <c r="H1230" s="90"/>
      <c r="I1230" s="90"/>
      <c r="J1230" s="90"/>
      <c r="K1230" s="90"/>
      <c r="L1230" s="90"/>
      <c r="M1230" s="90"/>
      <c r="N1230" s="91"/>
      <c r="O1230" s="91"/>
      <c r="P1230" s="91"/>
      <c r="Q1230" s="91"/>
      <c r="R1230" s="91"/>
      <c r="S1230" s="91"/>
      <c r="T1230" s="91"/>
      <c r="U1230" s="91"/>
      <c r="V1230" s="92"/>
      <c r="W1230" s="92"/>
      <c r="X1230" s="93"/>
      <c r="Y1230" s="93"/>
      <c r="Z1230" s="93"/>
      <c r="AA1230" s="4"/>
      <c r="AB1230" s="5"/>
    </row>
    <row r="1231" spans="1:28" x14ac:dyDescent="0.2">
      <c r="A1231" s="4"/>
      <c r="B1231" s="94"/>
      <c r="C1231" s="94"/>
      <c r="D1231" s="94"/>
      <c r="E1231" s="94"/>
      <c r="F1231" s="94"/>
      <c r="G1231" s="94"/>
      <c r="H1231" s="94"/>
      <c r="I1231" s="94"/>
      <c r="J1231" s="94"/>
      <c r="K1231" s="94"/>
      <c r="L1231" s="94"/>
      <c r="M1231" s="94"/>
      <c r="N1231" s="95"/>
      <c r="O1231" s="95"/>
      <c r="P1231" s="95"/>
      <c r="Q1231" s="95"/>
      <c r="R1231" s="95"/>
      <c r="S1231" s="95"/>
      <c r="T1231" s="95"/>
      <c r="U1231" s="95"/>
      <c r="V1231" s="96"/>
      <c r="W1231" s="96"/>
      <c r="X1231" s="97"/>
      <c r="Y1231" s="97"/>
      <c r="Z1231" s="97"/>
      <c r="AA1231" s="4"/>
      <c r="AB1231" s="5"/>
    </row>
    <row r="1232" spans="1:28" x14ac:dyDescent="0.2">
      <c r="A1232" s="4"/>
      <c r="B1232" s="90"/>
      <c r="C1232" s="90"/>
      <c r="D1232" s="90"/>
      <c r="E1232" s="90"/>
      <c r="F1232" s="90"/>
      <c r="G1232" s="90"/>
      <c r="H1232" s="90"/>
      <c r="I1232" s="90"/>
      <c r="J1232" s="90"/>
      <c r="K1232" s="90"/>
      <c r="L1232" s="90"/>
      <c r="M1232" s="90"/>
      <c r="N1232" s="91"/>
      <c r="O1232" s="91"/>
      <c r="P1232" s="91"/>
      <c r="Q1232" s="91"/>
      <c r="R1232" s="91"/>
      <c r="S1232" s="91"/>
      <c r="T1232" s="91"/>
      <c r="U1232" s="91"/>
      <c r="V1232" s="92"/>
      <c r="W1232" s="92"/>
      <c r="X1232" s="93"/>
      <c r="Y1232" s="93"/>
      <c r="Z1232" s="93"/>
      <c r="AA1232" s="4"/>
      <c r="AB1232" s="5"/>
    </row>
    <row r="1233" spans="1:28" x14ac:dyDescent="0.2">
      <c r="A1233" s="4"/>
      <c r="B1233" s="94"/>
      <c r="C1233" s="94"/>
      <c r="D1233" s="94"/>
      <c r="E1233" s="94"/>
      <c r="F1233" s="94"/>
      <c r="G1233" s="94"/>
      <c r="H1233" s="94"/>
      <c r="I1233" s="94"/>
      <c r="J1233" s="94"/>
      <c r="K1233" s="94"/>
      <c r="L1233" s="94"/>
      <c r="M1233" s="94"/>
      <c r="N1233" s="95"/>
      <c r="O1233" s="95"/>
      <c r="P1233" s="95"/>
      <c r="Q1233" s="95"/>
      <c r="R1233" s="95"/>
      <c r="S1233" s="95"/>
      <c r="T1233" s="95"/>
      <c r="U1233" s="95"/>
      <c r="V1233" s="96"/>
      <c r="W1233" s="96"/>
      <c r="X1233" s="97"/>
      <c r="Y1233" s="97"/>
      <c r="Z1233" s="97"/>
      <c r="AA1233" s="4"/>
      <c r="AB1233" s="5"/>
    </row>
    <row r="1234" spans="1:28" x14ac:dyDescent="0.2">
      <c r="A1234" s="4"/>
      <c r="B1234" s="90"/>
      <c r="C1234" s="90"/>
      <c r="D1234" s="90"/>
      <c r="E1234" s="90"/>
      <c r="F1234" s="90"/>
      <c r="G1234" s="90"/>
      <c r="H1234" s="90"/>
      <c r="I1234" s="90"/>
      <c r="J1234" s="90"/>
      <c r="K1234" s="90"/>
      <c r="L1234" s="90"/>
      <c r="M1234" s="90"/>
      <c r="N1234" s="91"/>
      <c r="O1234" s="91"/>
      <c r="P1234" s="91"/>
      <c r="Q1234" s="91"/>
      <c r="R1234" s="91"/>
      <c r="S1234" s="91"/>
      <c r="T1234" s="91"/>
      <c r="U1234" s="91"/>
      <c r="V1234" s="92"/>
      <c r="W1234" s="92"/>
      <c r="X1234" s="93"/>
      <c r="Y1234" s="93"/>
      <c r="Z1234" s="93"/>
      <c r="AA1234" s="4"/>
      <c r="AB1234" s="5"/>
    </row>
    <row r="1235" spans="1:28" x14ac:dyDescent="0.2">
      <c r="A1235" s="4"/>
      <c r="B1235" s="94"/>
      <c r="C1235" s="94"/>
      <c r="D1235" s="94"/>
      <c r="E1235" s="94"/>
      <c r="F1235" s="94"/>
      <c r="G1235" s="94"/>
      <c r="H1235" s="94"/>
      <c r="I1235" s="94"/>
      <c r="J1235" s="94"/>
      <c r="K1235" s="94"/>
      <c r="L1235" s="94"/>
      <c r="M1235" s="94"/>
      <c r="N1235" s="95"/>
      <c r="O1235" s="95"/>
      <c r="P1235" s="95"/>
      <c r="Q1235" s="95"/>
      <c r="R1235" s="95"/>
      <c r="S1235" s="95"/>
      <c r="T1235" s="95"/>
      <c r="U1235" s="95"/>
      <c r="V1235" s="96"/>
      <c r="W1235" s="96"/>
      <c r="X1235" s="97"/>
      <c r="Y1235" s="97"/>
      <c r="Z1235" s="97"/>
      <c r="AA1235" s="4"/>
      <c r="AB1235" s="5"/>
    </row>
    <row r="1236" spans="1:28" x14ac:dyDescent="0.2">
      <c r="A1236" s="4"/>
      <c r="B1236" s="90"/>
      <c r="C1236" s="90"/>
      <c r="D1236" s="90"/>
      <c r="E1236" s="90"/>
      <c r="F1236" s="90"/>
      <c r="G1236" s="90"/>
      <c r="H1236" s="90"/>
      <c r="I1236" s="90"/>
      <c r="J1236" s="90"/>
      <c r="K1236" s="90"/>
      <c r="L1236" s="90"/>
      <c r="M1236" s="90"/>
      <c r="N1236" s="91"/>
      <c r="O1236" s="91"/>
      <c r="P1236" s="91"/>
      <c r="Q1236" s="91"/>
      <c r="R1236" s="91"/>
      <c r="S1236" s="91"/>
      <c r="T1236" s="91"/>
      <c r="U1236" s="91"/>
      <c r="V1236" s="92"/>
      <c r="W1236" s="92"/>
      <c r="X1236" s="93"/>
      <c r="Y1236" s="93"/>
      <c r="Z1236" s="93"/>
      <c r="AA1236" s="4"/>
      <c r="AB1236" s="5"/>
    </row>
    <row r="1237" spans="1:28" x14ac:dyDescent="0.2">
      <c r="A1237" s="4"/>
      <c r="B1237" s="94"/>
      <c r="C1237" s="94"/>
      <c r="D1237" s="94"/>
      <c r="E1237" s="94"/>
      <c r="F1237" s="94"/>
      <c r="G1237" s="94"/>
      <c r="H1237" s="94"/>
      <c r="I1237" s="94"/>
      <c r="J1237" s="94"/>
      <c r="K1237" s="94"/>
      <c r="L1237" s="94"/>
      <c r="M1237" s="94"/>
      <c r="N1237" s="95"/>
      <c r="O1237" s="95"/>
      <c r="P1237" s="95"/>
      <c r="Q1237" s="95"/>
      <c r="R1237" s="95"/>
      <c r="S1237" s="95"/>
      <c r="T1237" s="95"/>
      <c r="U1237" s="95"/>
      <c r="V1237" s="96"/>
      <c r="W1237" s="96"/>
      <c r="X1237" s="97"/>
      <c r="Y1237" s="97"/>
      <c r="Z1237" s="97"/>
      <c r="AA1237" s="4"/>
      <c r="AB1237" s="5"/>
    </row>
    <row r="1238" spans="1:28" x14ac:dyDescent="0.2">
      <c r="A1238" s="4"/>
      <c r="B1238" s="90"/>
      <c r="C1238" s="90"/>
      <c r="D1238" s="90"/>
      <c r="E1238" s="90"/>
      <c r="F1238" s="90"/>
      <c r="G1238" s="90"/>
      <c r="H1238" s="90"/>
      <c r="I1238" s="90"/>
      <c r="J1238" s="90"/>
      <c r="K1238" s="90"/>
      <c r="L1238" s="90"/>
      <c r="M1238" s="90"/>
      <c r="N1238" s="91"/>
      <c r="O1238" s="91"/>
      <c r="P1238" s="91"/>
      <c r="Q1238" s="91"/>
      <c r="R1238" s="91"/>
      <c r="S1238" s="91"/>
      <c r="T1238" s="91"/>
      <c r="U1238" s="91"/>
      <c r="V1238" s="92"/>
      <c r="W1238" s="92"/>
      <c r="X1238" s="93"/>
      <c r="Y1238" s="93"/>
      <c r="Z1238" s="93"/>
      <c r="AA1238" s="4"/>
      <c r="AB1238" s="5"/>
    </row>
    <row r="1239" spans="1:28" x14ac:dyDescent="0.2">
      <c r="A1239" s="4"/>
      <c r="B1239" s="94"/>
      <c r="C1239" s="94"/>
      <c r="D1239" s="94"/>
      <c r="E1239" s="94"/>
      <c r="F1239" s="94"/>
      <c r="G1239" s="94"/>
      <c r="H1239" s="94"/>
      <c r="I1239" s="94"/>
      <c r="J1239" s="94"/>
      <c r="K1239" s="94"/>
      <c r="L1239" s="94"/>
      <c r="M1239" s="94"/>
      <c r="N1239" s="95"/>
      <c r="O1239" s="95"/>
      <c r="P1239" s="95"/>
      <c r="Q1239" s="95"/>
      <c r="R1239" s="95"/>
      <c r="S1239" s="95"/>
      <c r="T1239" s="95"/>
      <c r="U1239" s="95"/>
      <c r="V1239" s="96"/>
      <c r="W1239" s="96"/>
      <c r="X1239" s="97"/>
      <c r="Y1239" s="97"/>
      <c r="Z1239" s="97"/>
      <c r="AA1239" s="4"/>
      <c r="AB1239" s="5"/>
    </row>
    <row r="1240" spans="1:28" x14ac:dyDescent="0.2">
      <c r="A1240" s="4"/>
      <c r="B1240" s="90"/>
      <c r="C1240" s="90"/>
      <c r="D1240" s="90"/>
      <c r="E1240" s="90"/>
      <c r="F1240" s="90"/>
      <c r="G1240" s="90"/>
      <c r="H1240" s="90"/>
      <c r="I1240" s="90"/>
      <c r="J1240" s="90"/>
      <c r="K1240" s="90"/>
      <c r="L1240" s="90"/>
      <c r="M1240" s="90"/>
      <c r="N1240" s="91"/>
      <c r="O1240" s="91"/>
      <c r="P1240" s="91"/>
      <c r="Q1240" s="91"/>
      <c r="R1240" s="91"/>
      <c r="S1240" s="91"/>
      <c r="T1240" s="91"/>
      <c r="U1240" s="91"/>
      <c r="V1240" s="92"/>
      <c r="W1240" s="92"/>
      <c r="X1240" s="93"/>
      <c r="Y1240" s="93"/>
      <c r="Z1240" s="93"/>
      <c r="AA1240" s="4"/>
      <c r="AB1240" s="5"/>
    </row>
    <row r="1241" spans="1:28" x14ac:dyDescent="0.2">
      <c r="A1241" s="4"/>
      <c r="B1241" s="94"/>
      <c r="C1241" s="94"/>
      <c r="D1241" s="94"/>
      <c r="E1241" s="94"/>
      <c r="F1241" s="94"/>
      <c r="G1241" s="94"/>
      <c r="H1241" s="94"/>
      <c r="I1241" s="94"/>
      <c r="J1241" s="94"/>
      <c r="K1241" s="94"/>
      <c r="L1241" s="94"/>
      <c r="M1241" s="94"/>
      <c r="N1241" s="95"/>
      <c r="O1241" s="95"/>
      <c r="P1241" s="95"/>
      <c r="Q1241" s="95"/>
      <c r="R1241" s="95"/>
      <c r="S1241" s="95"/>
      <c r="T1241" s="95"/>
      <c r="U1241" s="95"/>
      <c r="V1241" s="96"/>
      <c r="W1241" s="96"/>
      <c r="X1241" s="97"/>
      <c r="Y1241" s="97"/>
      <c r="Z1241" s="97"/>
      <c r="AA1241" s="4"/>
      <c r="AB1241" s="5"/>
    </row>
    <row r="1242" spans="1:28" x14ac:dyDescent="0.2">
      <c r="A1242" s="4"/>
      <c r="B1242" s="90"/>
      <c r="C1242" s="90"/>
      <c r="D1242" s="90"/>
      <c r="E1242" s="90"/>
      <c r="F1242" s="90"/>
      <c r="G1242" s="90"/>
      <c r="H1242" s="90"/>
      <c r="I1242" s="90"/>
      <c r="J1242" s="90"/>
      <c r="K1242" s="90"/>
      <c r="L1242" s="90"/>
      <c r="M1242" s="90"/>
      <c r="N1242" s="91"/>
      <c r="O1242" s="91"/>
      <c r="P1242" s="91"/>
      <c r="Q1242" s="91"/>
      <c r="R1242" s="91"/>
      <c r="S1242" s="91"/>
      <c r="T1242" s="91"/>
      <c r="U1242" s="91"/>
      <c r="V1242" s="92"/>
      <c r="W1242" s="92"/>
      <c r="X1242" s="93"/>
      <c r="Y1242" s="93"/>
      <c r="Z1242" s="93"/>
      <c r="AA1242" s="4"/>
      <c r="AB1242" s="5"/>
    </row>
    <row r="1243" spans="1:28" x14ac:dyDescent="0.2">
      <c r="A1243" s="4"/>
      <c r="B1243" s="94"/>
      <c r="C1243" s="94"/>
      <c r="D1243" s="94"/>
      <c r="E1243" s="94"/>
      <c r="F1243" s="94"/>
      <c r="G1243" s="94"/>
      <c r="H1243" s="94"/>
      <c r="I1243" s="94"/>
      <c r="J1243" s="94"/>
      <c r="K1243" s="94"/>
      <c r="L1243" s="94"/>
      <c r="M1243" s="94"/>
      <c r="N1243" s="95"/>
      <c r="O1243" s="95"/>
      <c r="P1243" s="95"/>
      <c r="Q1243" s="95"/>
      <c r="R1243" s="95"/>
      <c r="S1243" s="95"/>
      <c r="T1243" s="95"/>
      <c r="U1243" s="95"/>
      <c r="V1243" s="96"/>
      <c r="W1243" s="96"/>
      <c r="X1243" s="97"/>
      <c r="Y1243" s="97"/>
      <c r="Z1243" s="97"/>
      <c r="AA1243" s="4"/>
      <c r="AB1243" s="5"/>
    </row>
    <row r="1244" spans="1:28" x14ac:dyDescent="0.2">
      <c r="A1244" s="4"/>
      <c r="B1244" s="90"/>
      <c r="C1244" s="90"/>
      <c r="D1244" s="90"/>
      <c r="E1244" s="90"/>
      <c r="F1244" s="90"/>
      <c r="G1244" s="90"/>
      <c r="H1244" s="90"/>
      <c r="I1244" s="90"/>
      <c r="J1244" s="90"/>
      <c r="K1244" s="90"/>
      <c r="L1244" s="90"/>
      <c r="M1244" s="90"/>
      <c r="N1244" s="91"/>
      <c r="O1244" s="91"/>
      <c r="P1244" s="91"/>
      <c r="Q1244" s="91"/>
      <c r="R1244" s="91"/>
      <c r="S1244" s="91"/>
      <c r="T1244" s="91"/>
      <c r="U1244" s="91"/>
      <c r="V1244" s="92"/>
      <c r="W1244" s="92"/>
      <c r="X1244" s="93"/>
      <c r="Y1244" s="93"/>
      <c r="Z1244" s="93"/>
      <c r="AA1244" s="4"/>
      <c r="AB1244" s="5"/>
    </row>
    <row r="1245" spans="1:28" x14ac:dyDescent="0.2">
      <c r="A1245" s="4"/>
      <c r="B1245" s="94"/>
      <c r="C1245" s="94"/>
      <c r="D1245" s="94"/>
      <c r="E1245" s="94"/>
      <c r="F1245" s="94"/>
      <c r="G1245" s="94"/>
      <c r="H1245" s="94"/>
      <c r="I1245" s="94"/>
      <c r="J1245" s="94"/>
      <c r="K1245" s="94"/>
      <c r="L1245" s="94"/>
      <c r="M1245" s="94"/>
      <c r="N1245" s="95"/>
      <c r="O1245" s="95"/>
      <c r="P1245" s="95"/>
      <c r="Q1245" s="95"/>
      <c r="R1245" s="95"/>
      <c r="S1245" s="95"/>
      <c r="T1245" s="95"/>
      <c r="U1245" s="95"/>
      <c r="V1245" s="96"/>
      <c r="W1245" s="96"/>
      <c r="X1245" s="97"/>
      <c r="Y1245" s="97"/>
      <c r="Z1245" s="97"/>
      <c r="AA1245" s="4"/>
      <c r="AB1245" s="5"/>
    </row>
    <row r="1246" spans="1:28" x14ac:dyDescent="0.2">
      <c r="A1246" s="4"/>
      <c r="B1246" s="90"/>
      <c r="C1246" s="90"/>
      <c r="D1246" s="90"/>
      <c r="E1246" s="90"/>
      <c r="F1246" s="90"/>
      <c r="G1246" s="90"/>
      <c r="H1246" s="90"/>
      <c r="I1246" s="90"/>
      <c r="J1246" s="90"/>
      <c r="K1246" s="90"/>
      <c r="L1246" s="90"/>
      <c r="M1246" s="90"/>
      <c r="N1246" s="91"/>
      <c r="O1246" s="91"/>
      <c r="P1246" s="91"/>
      <c r="Q1246" s="91"/>
      <c r="R1246" s="91"/>
      <c r="S1246" s="91"/>
      <c r="T1246" s="91"/>
      <c r="U1246" s="91"/>
      <c r="V1246" s="92"/>
      <c r="W1246" s="92"/>
      <c r="X1246" s="93"/>
      <c r="Y1246" s="93"/>
      <c r="Z1246" s="93"/>
      <c r="AA1246" s="4"/>
      <c r="AB1246" s="5"/>
    </row>
    <row r="1247" spans="1:28" x14ac:dyDescent="0.2">
      <c r="A1247" s="4"/>
      <c r="B1247" s="94"/>
      <c r="C1247" s="94"/>
      <c r="D1247" s="94"/>
      <c r="E1247" s="94"/>
      <c r="F1247" s="94"/>
      <c r="G1247" s="94"/>
      <c r="H1247" s="94"/>
      <c r="I1247" s="94"/>
      <c r="J1247" s="94"/>
      <c r="K1247" s="94"/>
      <c r="L1247" s="94"/>
      <c r="M1247" s="94"/>
      <c r="N1247" s="95"/>
      <c r="O1247" s="95"/>
      <c r="P1247" s="95"/>
      <c r="Q1247" s="95"/>
      <c r="R1247" s="95"/>
      <c r="S1247" s="95"/>
      <c r="T1247" s="95"/>
      <c r="U1247" s="95"/>
      <c r="V1247" s="96"/>
      <c r="W1247" s="96"/>
      <c r="X1247" s="97"/>
      <c r="Y1247" s="97"/>
      <c r="Z1247" s="97"/>
      <c r="AA1247" s="4"/>
      <c r="AB1247" s="5"/>
    </row>
    <row r="1248" spans="1:28" x14ac:dyDescent="0.2">
      <c r="A1248" s="4"/>
      <c r="B1248" s="90"/>
      <c r="C1248" s="90"/>
      <c r="D1248" s="90"/>
      <c r="E1248" s="90"/>
      <c r="F1248" s="90"/>
      <c r="G1248" s="90"/>
      <c r="H1248" s="90"/>
      <c r="I1248" s="90"/>
      <c r="J1248" s="90"/>
      <c r="K1248" s="90"/>
      <c r="L1248" s="90"/>
      <c r="M1248" s="90"/>
      <c r="N1248" s="91"/>
      <c r="O1248" s="91"/>
      <c r="P1248" s="91"/>
      <c r="Q1248" s="91"/>
      <c r="R1248" s="91"/>
      <c r="S1248" s="91"/>
      <c r="T1248" s="91"/>
      <c r="U1248" s="91"/>
      <c r="V1248" s="92"/>
      <c r="W1248" s="92"/>
      <c r="X1248" s="93"/>
      <c r="Y1248" s="93"/>
      <c r="Z1248" s="93"/>
      <c r="AA1248" s="4"/>
      <c r="AB1248" s="5"/>
    </row>
    <row r="1249" spans="1:28" x14ac:dyDescent="0.2">
      <c r="A1249" s="4"/>
      <c r="B1249" s="94"/>
      <c r="C1249" s="94"/>
      <c r="D1249" s="94"/>
      <c r="E1249" s="94"/>
      <c r="F1249" s="94"/>
      <c r="G1249" s="94"/>
      <c r="H1249" s="94"/>
      <c r="I1249" s="94"/>
      <c r="J1249" s="94"/>
      <c r="K1249" s="94"/>
      <c r="L1249" s="94"/>
      <c r="M1249" s="94"/>
      <c r="N1249" s="95"/>
      <c r="O1249" s="95"/>
      <c r="P1249" s="95"/>
      <c r="Q1249" s="95"/>
      <c r="R1249" s="95"/>
      <c r="S1249" s="95"/>
      <c r="T1249" s="95"/>
      <c r="U1249" s="95"/>
      <c r="V1249" s="96"/>
      <c r="W1249" s="96"/>
      <c r="X1249" s="97"/>
      <c r="Y1249" s="97"/>
      <c r="Z1249" s="97"/>
      <c r="AA1249" s="4"/>
      <c r="AB1249" s="5"/>
    </row>
    <row r="1250" spans="1:28" x14ac:dyDescent="0.2">
      <c r="A1250" s="4"/>
      <c r="B1250" s="90"/>
      <c r="C1250" s="90"/>
      <c r="D1250" s="90"/>
      <c r="E1250" s="90"/>
      <c r="F1250" s="90"/>
      <c r="G1250" s="90"/>
      <c r="H1250" s="90"/>
      <c r="I1250" s="90"/>
      <c r="J1250" s="90"/>
      <c r="K1250" s="90"/>
      <c r="L1250" s="90"/>
      <c r="M1250" s="90"/>
      <c r="N1250" s="91"/>
      <c r="O1250" s="91"/>
      <c r="P1250" s="91"/>
      <c r="Q1250" s="91"/>
      <c r="R1250" s="91"/>
      <c r="S1250" s="91"/>
      <c r="T1250" s="91"/>
      <c r="U1250" s="91"/>
      <c r="V1250" s="92"/>
      <c r="W1250" s="92"/>
      <c r="X1250" s="93"/>
      <c r="Y1250" s="93"/>
      <c r="Z1250" s="93"/>
      <c r="AA1250" s="4"/>
      <c r="AB1250" s="5"/>
    </row>
    <row r="1251" spans="1:28" x14ac:dyDescent="0.2">
      <c r="A1251" s="4"/>
      <c r="B1251" s="94"/>
      <c r="C1251" s="94"/>
      <c r="D1251" s="94"/>
      <c r="E1251" s="94"/>
      <c r="F1251" s="94"/>
      <c r="G1251" s="94"/>
      <c r="H1251" s="94"/>
      <c r="I1251" s="94"/>
      <c r="J1251" s="94"/>
      <c r="K1251" s="94"/>
      <c r="L1251" s="94"/>
      <c r="M1251" s="94"/>
      <c r="N1251" s="95"/>
      <c r="O1251" s="95"/>
      <c r="P1251" s="95"/>
      <c r="Q1251" s="95"/>
      <c r="R1251" s="95"/>
      <c r="S1251" s="95"/>
      <c r="T1251" s="95"/>
      <c r="U1251" s="95"/>
      <c r="V1251" s="96"/>
      <c r="W1251" s="96"/>
      <c r="X1251" s="97"/>
      <c r="Y1251" s="97"/>
      <c r="Z1251" s="97"/>
      <c r="AA1251" s="4"/>
      <c r="AB1251" s="5"/>
    </row>
    <row r="1252" spans="1:28" x14ac:dyDescent="0.2">
      <c r="A1252" s="4"/>
      <c r="B1252" s="90"/>
      <c r="C1252" s="90"/>
      <c r="D1252" s="90"/>
      <c r="E1252" s="90"/>
      <c r="F1252" s="90"/>
      <c r="G1252" s="90"/>
      <c r="H1252" s="90"/>
      <c r="I1252" s="90"/>
      <c r="J1252" s="90"/>
      <c r="K1252" s="90"/>
      <c r="L1252" s="90"/>
      <c r="M1252" s="90"/>
      <c r="N1252" s="91"/>
      <c r="O1252" s="91"/>
      <c r="P1252" s="91"/>
      <c r="Q1252" s="91"/>
      <c r="R1252" s="91"/>
      <c r="S1252" s="91"/>
      <c r="T1252" s="91"/>
      <c r="U1252" s="91"/>
      <c r="V1252" s="92"/>
      <c r="W1252" s="92"/>
      <c r="X1252" s="93"/>
      <c r="Y1252" s="93"/>
      <c r="Z1252" s="93"/>
      <c r="AA1252" s="4"/>
      <c r="AB1252" s="5"/>
    </row>
    <row r="1253" spans="1:28" x14ac:dyDescent="0.2">
      <c r="A1253" s="4"/>
      <c r="B1253" s="94"/>
      <c r="C1253" s="94"/>
      <c r="D1253" s="94"/>
      <c r="E1253" s="94"/>
      <c r="F1253" s="94"/>
      <c r="G1253" s="94"/>
      <c r="H1253" s="94"/>
      <c r="I1253" s="94"/>
      <c r="J1253" s="94"/>
      <c r="K1253" s="94"/>
      <c r="L1253" s="94"/>
      <c r="M1253" s="94"/>
      <c r="N1253" s="95"/>
      <c r="O1253" s="95"/>
      <c r="P1253" s="95"/>
      <c r="Q1253" s="95"/>
      <c r="R1253" s="95"/>
      <c r="S1253" s="95"/>
      <c r="T1253" s="95"/>
      <c r="U1253" s="95"/>
      <c r="V1253" s="96"/>
      <c r="W1253" s="96"/>
      <c r="X1253" s="97"/>
      <c r="Y1253" s="97"/>
      <c r="Z1253" s="97"/>
      <c r="AA1253" s="4"/>
      <c r="AB1253" s="5"/>
    </row>
    <row r="1254" spans="1:28" x14ac:dyDescent="0.2">
      <c r="A1254" s="4"/>
      <c r="B1254" s="90"/>
      <c r="C1254" s="90"/>
      <c r="D1254" s="90"/>
      <c r="E1254" s="90"/>
      <c r="F1254" s="90"/>
      <c r="G1254" s="90"/>
      <c r="H1254" s="90"/>
      <c r="I1254" s="90"/>
      <c r="J1254" s="90"/>
      <c r="K1254" s="90"/>
      <c r="L1254" s="90"/>
      <c r="M1254" s="90"/>
      <c r="N1254" s="91"/>
      <c r="O1254" s="91"/>
      <c r="P1254" s="91"/>
      <c r="Q1254" s="91"/>
      <c r="R1254" s="91"/>
      <c r="S1254" s="91"/>
      <c r="T1254" s="91"/>
      <c r="U1254" s="91"/>
      <c r="V1254" s="92"/>
      <c r="W1254" s="92"/>
      <c r="X1254" s="93"/>
      <c r="Y1254" s="93"/>
      <c r="Z1254" s="93"/>
      <c r="AA1254" s="4"/>
      <c r="AB1254" s="5"/>
    </row>
    <row r="1255" spans="1:28" x14ac:dyDescent="0.2">
      <c r="A1255" s="4"/>
      <c r="B1255" s="94"/>
      <c r="C1255" s="94"/>
      <c r="D1255" s="94"/>
      <c r="E1255" s="94"/>
      <c r="F1255" s="94"/>
      <c r="G1255" s="94"/>
      <c r="H1255" s="94"/>
      <c r="I1255" s="94"/>
      <c r="J1255" s="94"/>
      <c r="K1255" s="94"/>
      <c r="L1255" s="94"/>
      <c r="M1255" s="94"/>
      <c r="N1255" s="95"/>
      <c r="O1255" s="95"/>
      <c r="P1255" s="95"/>
      <c r="Q1255" s="95"/>
      <c r="R1255" s="95"/>
      <c r="S1255" s="95"/>
      <c r="T1255" s="95"/>
      <c r="U1255" s="95"/>
      <c r="V1255" s="96"/>
      <c r="W1255" s="96"/>
      <c r="X1255" s="97"/>
      <c r="Y1255" s="97"/>
      <c r="Z1255" s="97"/>
      <c r="AA1255" s="4"/>
      <c r="AB1255" s="5"/>
    </row>
    <row r="1256" spans="1:28" x14ac:dyDescent="0.2">
      <c r="A1256" s="4"/>
      <c r="B1256" s="90"/>
      <c r="C1256" s="90"/>
      <c r="D1256" s="90"/>
      <c r="E1256" s="90"/>
      <c r="F1256" s="90"/>
      <c r="G1256" s="90"/>
      <c r="H1256" s="90"/>
      <c r="I1256" s="90"/>
      <c r="J1256" s="90"/>
      <c r="K1256" s="90"/>
      <c r="L1256" s="90"/>
      <c r="M1256" s="90"/>
      <c r="N1256" s="91"/>
      <c r="O1256" s="91"/>
      <c r="P1256" s="91"/>
      <c r="Q1256" s="91"/>
      <c r="R1256" s="91"/>
      <c r="S1256" s="91"/>
      <c r="T1256" s="91"/>
      <c r="U1256" s="91"/>
      <c r="V1256" s="92"/>
      <c r="W1256" s="92"/>
      <c r="X1256" s="93"/>
      <c r="Y1256" s="93"/>
      <c r="Z1256" s="93"/>
      <c r="AA1256" s="4"/>
      <c r="AB1256" s="5"/>
    </row>
    <row r="1257" spans="1:28" x14ac:dyDescent="0.2">
      <c r="A1257" s="4"/>
      <c r="B1257" s="94"/>
      <c r="C1257" s="94"/>
      <c r="D1257" s="94"/>
      <c r="E1257" s="94"/>
      <c r="F1257" s="94"/>
      <c r="G1257" s="94"/>
      <c r="H1257" s="94"/>
      <c r="I1257" s="94"/>
      <c r="J1257" s="94"/>
      <c r="K1257" s="94"/>
      <c r="L1257" s="94"/>
      <c r="M1257" s="94"/>
      <c r="N1257" s="95"/>
      <c r="O1257" s="95"/>
      <c r="P1257" s="95"/>
      <c r="Q1257" s="95"/>
      <c r="R1257" s="95"/>
      <c r="S1257" s="95"/>
      <c r="T1257" s="95"/>
      <c r="U1257" s="95"/>
      <c r="V1257" s="96"/>
      <c r="W1257" s="96"/>
      <c r="X1257" s="97"/>
      <c r="Y1257" s="97"/>
      <c r="Z1257" s="97"/>
      <c r="AA1257" s="4"/>
      <c r="AB1257" s="5"/>
    </row>
    <row r="1258" spans="1:28" x14ac:dyDescent="0.2">
      <c r="A1258" s="4"/>
      <c r="B1258" s="90"/>
      <c r="C1258" s="90"/>
      <c r="D1258" s="90"/>
      <c r="E1258" s="90"/>
      <c r="F1258" s="90"/>
      <c r="G1258" s="90"/>
      <c r="H1258" s="90"/>
      <c r="I1258" s="90"/>
      <c r="J1258" s="90"/>
      <c r="K1258" s="90"/>
      <c r="L1258" s="90"/>
      <c r="M1258" s="90"/>
      <c r="N1258" s="91"/>
      <c r="O1258" s="91"/>
      <c r="P1258" s="91"/>
      <c r="Q1258" s="91"/>
      <c r="R1258" s="91"/>
      <c r="S1258" s="91"/>
      <c r="T1258" s="91"/>
      <c r="U1258" s="91"/>
      <c r="V1258" s="92"/>
      <c r="W1258" s="92"/>
      <c r="X1258" s="93"/>
      <c r="Y1258" s="93"/>
      <c r="Z1258" s="93"/>
      <c r="AA1258" s="4"/>
      <c r="AB1258" s="5"/>
    </row>
    <row r="1259" spans="1:28" x14ac:dyDescent="0.2">
      <c r="A1259" s="4"/>
      <c r="B1259" s="94"/>
      <c r="C1259" s="94"/>
      <c r="D1259" s="94"/>
      <c r="E1259" s="94"/>
      <c r="F1259" s="94"/>
      <c r="G1259" s="94"/>
      <c r="H1259" s="94"/>
      <c r="I1259" s="94"/>
      <c r="J1259" s="94"/>
      <c r="K1259" s="94"/>
      <c r="L1259" s="94"/>
      <c r="M1259" s="94"/>
      <c r="N1259" s="95"/>
      <c r="O1259" s="95"/>
      <c r="P1259" s="95"/>
      <c r="Q1259" s="95"/>
      <c r="R1259" s="95"/>
      <c r="S1259" s="95"/>
      <c r="T1259" s="95"/>
      <c r="U1259" s="95"/>
      <c r="V1259" s="96"/>
      <c r="W1259" s="96"/>
      <c r="X1259" s="97"/>
      <c r="Y1259" s="97"/>
      <c r="Z1259" s="97"/>
      <c r="AA1259" s="4"/>
      <c r="AB1259" s="5"/>
    </row>
    <row r="1260" spans="1:28" x14ac:dyDescent="0.2">
      <c r="A1260" s="4"/>
      <c r="B1260" s="90"/>
      <c r="C1260" s="90"/>
      <c r="D1260" s="90"/>
      <c r="E1260" s="90"/>
      <c r="F1260" s="90"/>
      <c r="G1260" s="90"/>
      <c r="H1260" s="90"/>
      <c r="I1260" s="90"/>
      <c r="J1260" s="90"/>
      <c r="K1260" s="90"/>
      <c r="L1260" s="90"/>
      <c r="M1260" s="90"/>
      <c r="N1260" s="91"/>
      <c r="O1260" s="91"/>
      <c r="P1260" s="91"/>
      <c r="Q1260" s="91"/>
      <c r="R1260" s="91"/>
      <c r="S1260" s="91"/>
      <c r="T1260" s="91"/>
      <c r="U1260" s="91"/>
      <c r="V1260" s="92"/>
      <c r="W1260" s="92"/>
      <c r="X1260" s="93"/>
      <c r="Y1260" s="93"/>
      <c r="Z1260" s="93"/>
      <c r="AA1260" s="4"/>
      <c r="AB1260" s="5"/>
    </row>
    <row r="1261" spans="1:28" x14ac:dyDescent="0.2">
      <c r="A1261" s="4"/>
      <c r="B1261" s="94"/>
      <c r="C1261" s="94"/>
      <c r="D1261" s="94"/>
      <c r="E1261" s="94"/>
      <c r="F1261" s="94"/>
      <c r="G1261" s="94"/>
      <c r="H1261" s="94"/>
      <c r="I1261" s="94"/>
      <c r="J1261" s="94"/>
      <c r="K1261" s="94"/>
      <c r="L1261" s="94"/>
      <c r="M1261" s="94"/>
      <c r="N1261" s="95"/>
      <c r="O1261" s="95"/>
      <c r="P1261" s="95"/>
      <c r="Q1261" s="95"/>
      <c r="R1261" s="95"/>
      <c r="S1261" s="95"/>
      <c r="T1261" s="95"/>
      <c r="U1261" s="95"/>
      <c r="V1261" s="96"/>
      <c r="W1261" s="96"/>
      <c r="X1261" s="97"/>
      <c r="Y1261" s="97"/>
      <c r="Z1261" s="97"/>
      <c r="AA1261" s="4"/>
      <c r="AB1261" s="5"/>
    </row>
    <row r="1262" spans="1:28" x14ac:dyDescent="0.2">
      <c r="A1262" s="4"/>
      <c r="B1262" s="90"/>
      <c r="C1262" s="90"/>
      <c r="D1262" s="90"/>
      <c r="E1262" s="90"/>
      <c r="F1262" s="90"/>
      <c r="G1262" s="90"/>
      <c r="H1262" s="90"/>
      <c r="I1262" s="90"/>
      <c r="J1262" s="90"/>
      <c r="K1262" s="90"/>
      <c r="L1262" s="90"/>
      <c r="M1262" s="90"/>
      <c r="N1262" s="91"/>
      <c r="O1262" s="91"/>
      <c r="P1262" s="91"/>
      <c r="Q1262" s="91"/>
      <c r="R1262" s="91"/>
      <c r="S1262" s="91"/>
      <c r="T1262" s="91"/>
      <c r="U1262" s="91"/>
      <c r="V1262" s="92"/>
      <c r="W1262" s="92"/>
      <c r="X1262" s="93"/>
      <c r="Y1262" s="93"/>
      <c r="Z1262" s="93"/>
      <c r="AA1262" s="4"/>
      <c r="AB1262" s="5"/>
    </row>
    <row r="1263" spans="1:28" x14ac:dyDescent="0.2">
      <c r="A1263" s="4"/>
      <c r="B1263" s="94"/>
      <c r="C1263" s="94"/>
      <c r="D1263" s="94"/>
      <c r="E1263" s="94"/>
      <c r="F1263" s="94"/>
      <c r="G1263" s="94"/>
      <c r="H1263" s="94"/>
      <c r="I1263" s="94"/>
      <c r="J1263" s="94"/>
      <c r="K1263" s="94"/>
      <c r="L1263" s="94"/>
      <c r="M1263" s="94"/>
      <c r="N1263" s="95"/>
      <c r="O1263" s="95"/>
      <c r="P1263" s="95"/>
      <c r="Q1263" s="95"/>
      <c r="R1263" s="95"/>
      <c r="S1263" s="95"/>
      <c r="T1263" s="95"/>
      <c r="U1263" s="95"/>
      <c r="V1263" s="96"/>
      <c r="W1263" s="96"/>
      <c r="X1263" s="97"/>
      <c r="Y1263" s="97"/>
      <c r="Z1263" s="97"/>
      <c r="AA1263" s="4"/>
      <c r="AB1263" s="5"/>
    </row>
    <row r="1264" spans="1:28" x14ac:dyDescent="0.2">
      <c r="A1264" s="4"/>
      <c r="B1264" s="90"/>
      <c r="C1264" s="90"/>
      <c r="D1264" s="90"/>
      <c r="E1264" s="90"/>
      <c r="F1264" s="90"/>
      <c r="G1264" s="90"/>
      <c r="H1264" s="90"/>
      <c r="I1264" s="90"/>
      <c r="J1264" s="90"/>
      <c r="K1264" s="90"/>
      <c r="L1264" s="90"/>
      <c r="M1264" s="90"/>
      <c r="N1264" s="91"/>
      <c r="O1264" s="91"/>
      <c r="P1264" s="91"/>
      <c r="Q1264" s="91"/>
      <c r="R1264" s="91"/>
      <c r="S1264" s="91"/>
      <c r="T1264" s="91"/>
      <c r="U1264" s="91"/>
      <c r="V1264" s="92"/>
      <c r="W1264" s="92"/>
      <c r="X1264" s="93"/>
      <c r="Y1264" s="93"/>
      <c r="Z1264" s="93"/>
      <c r="AA1264" s="4"/>
      <c r="AB1264" s="5"/>
    </row>
    <row r="1265" spans="1:28" x14ac:dyDescent="0.2">
      <c r="A1265" s="4"/>
      <c r="B1265" s="94"/>
      <c r="C1265" s="94"/>
      <c r="D1265" s="94"/>
      <c r="E1265" s="94"/>
      <c r="F1265" s="94"/>
      <c r="G1265" s="94"/>
      <c r="H1265" s="94"/>
      <c r="I1265" s="94"/>
      <c r="J1265" s="94"/>
      <c r="K1265" s="94"/>
      <c r="L1265" s="94"/>
      <c r="M1265" s="94"/>
      <c r="N1265" s="95"/>
      <c r="O1265" s="95"/>
      <c r="P1265" s="95"/>
      <c r="Q1265" s="95"/>
      <c r="R1265" s="95"/>
      <c r="S1265" s="95"/>
      <c r="T1265" s="95"/>
      <c r="U1265" s="95"/>
      <c r="V1265" s="96"/>
      <c r="W1265" s="96"/>
      <c r="X1265" s="97"/>
      <c r="Y1265" s="97"/>
      <c r="Z1265" s="97"/>
      <c r="AA1265" s="4"/>
      <c r="AB1265" s="5"/>
    </row>
    <row r="1266" spans="1:28" x14ac:dyDescent="0.2">
      <c r="A1266" s="4"/>
      <c r="B1266" s="90"/>
      <c r="C1266" s="90"/>
      <c r="D1266" s="90"/>
      <c r="E1266" s="90"/>
      <c r="F1266" s="90"/>
      <c r="G1266" s="90"/>
      <c r="H1266" s="90"/>
      <c r="I1266" s="90"/>
      <c r="J1266" s="90"/>
      <c r="K1266" s="90"/>
      <c r="L1266" s="90"/>
      <c r="M1266" s="90"/>
      <c r="N1266" s="91"/>
      <c r="O1266" s="91"/>
      <c r="P1266" s="91"/>
      <c r="Q1266" s="91"/>
      <c r="R1266" s="91"/>
      <c r="S1266" s="91"/>
      <c r="T1266" s="91"/>
      <c r="U1266" s="91"/>
      <c r="V1266" s="92"/>
      <c r="W1266" s="92"/>
      <c r="X1266" s="93"/>
      <c r="Y1266" s="93"/>
      <c r="Z1266" s="93"/>
      <c r="AA1266" s="4"/>
      <c r="AB1266" s="5"/>
    </row>
    <row r="1267" spans="1:28" x14ac:dyDescent="0.2">
      <c r="A1267" s="4"/>
      <c r="B1267" s="94"/>
      <c r="C1267" s="94"/>
      <c r="D1267" s="94"/>
      <c r="E1267" s="94"/>
      <c r="F1267" s="94"/>
      <c r="G1267" s="94"/>
      <c r="H1267" s="94"/>
      <c r="I1267" s="94"/>
      <c r="J1267" s="94"/>
      <c r="K1267" s="94"/>
      <c r="L1267" s="94"/>
      <c r="M1267" s="94"/>
      <c r="N1267" s="95"/>
      <c r="O1267" s="95"/>
      <c r="P1267" s="95"/>
      <c r="Q1267" s="95"/>
      <c r="R1267" s="95"/>
      <c r="S1267" s="95"/>
      <c r="T1267" s="95"/>
      <c r="U1267" s="95"/>
      <c r="V1267" s="96"/>
      <c r="W1267" s="96"/>
      <c r="X1267" s="97"/>
      <c r="Y1267" s="97"/>
      <c r="Z1267" s="97"/>
      <c r="AA1267" s="4"/>
      <c r="AB1267" s="5"/>
    </row>
    <row r="1268" spans="1:28" x14ac:dyDescent="0.2">
      <c r="A1268" s="4"/>
      <c r="B1268" s="90"/>
      <c r="C1268" s="90"/>
      <c r="D1268" s="90"/>
      <c r="E1268" s="90"/>
      <c r="F1268" s="90"/>
      <c r="G1268" s="90"/>
      <c r="H1268" s="90"/>
      <c r="I1268" s="90"/>
      <c r="J1268" s="90"/>
      <c r="K1268" s="90"/>
      <c r="L1268" s="90"/>
      <c r="M1268" s="90"/>
      <c r="N1268" s="91"/>
      <c r="O1268" s="91"/>
      <c r="P1268" s="91"/>
      <c r="Q1268" s="91"/>
      <c r="R1268" s="91"/>
      <c r="S1268" s="91"/>
      <c r="T1268" s="91"/>
      <c r="U1268" s="91"/>
      <c r="V1268" s="92"/>
      <c r="W1268" s="92"/>
      <c r="X1268" s="93"/>
      <c r="Y1268" s="93"/>
      <c r="Z1268" s="93"/>
      <c r="AA1268" s="4"/>
      <c r="AB1268" s="5"/>
    </row>
    <row r="1269" spans="1:28" x14ac:dyDescent="0.2">
      <c r="A1269" s="4"/>
      <c r="B1269" s="94"/>
      <c r="C1269" s="94"/>
      <c r="D1269" s="94"/>
      <c r="E1269" s="94"/>
      <c r="F1269" s="94"/>
      <c r="G1269" s="94"/>
      <c r="H1269" s="94"/>
      <c r="I1269" s="94"/>
      <c r="J1269" s="94"/>
      <c r="K1269" s="94"/>
      <c r="L1269" s="94"/>
      <c r="M1269" s="94"/>
      <c r="N1269" s="95"/>
      <c r="O1269" s="95"/>
      <c r="P1269" s="95"/>
      <c r="Q1269" s="95"/>
      <c r="R1269" s="95"/>
      <c r="S1269" s="95"/>
      <c r="T1269" s="95"/>
      <c r="U1269" s="95"/>
      <c r="V1269" s="96"/>
      <c r="W1269" s="96"/>
      <c r="X1269" s="97"/>
      <c r="Y1269" s="97"/>
      <c r="Z1269" s="97"/>
      <c r="AA1269" s="4"/>
      <c r="AB1269" s="5"/>
    </row>
    <row r="1270" spans="1:28" x14ac:dyDescent="0.2">
      <c r="A1270" s="4"/>
      <c r="B1270" s="90"/>
      <c r="C1270" s="90"/>
      <c r="D1270" s="90"/>
      <c r="E1270" s="90"/>
      <c r="F1270" s="90"/>
      <c r="G1270" s="90"/>
      <c r="H1270" s="90"/>
      <c r="I1270" s="90"/>
      <c r="J1270" s="90"/>
      <c r="K1270" s="90"/>
      <c r="L1270" s="90"/>
      <c r="M1270" s="90"/>
      <c r="N1270" s="91"/>
      <c r="O1270" s="91"/>
      <c r="P1270" s="91"/>
      <c r="Q1270" s="91"/>
      <c r="R1270" s="91"/>
      <c r="S1270" s="91"/>
      <c r="T1270" s="91"/>
      <c r="U1270" s="91"/>
      <c r="V1270" s="92"/>
      <c r="W1270" s="92"/>
      <c r="X1270" s="93"/>
      <c r="Y1270" s="93"/>
      <c r="Z1270" s="93"/>
      <c r="AA1270" s="4"/>
      <c r="AB1270" s="5"/>
    </row>
    <row r="1271" spans="1:28" x14ac:dyDescent="0.2">
      <c r="A1271" s="4"/>
      <c r="B1271" s="94"/>
      <c r="C1271" s="94"/>
      <c r="D1271" s="94"/>
      <c r="E1271" s="94"/>
      <c r="F1271" s="94"/>
      <c r="G1271" s="94"/>
      <c r="H1271" s="94"/>
      <c r="I1271" s="94"/>
      <c r="J1271" s="94"/>
      <c r="K1271" s="94"/>
      <c r="L1271" s="94"/>
      <c r="M1271" s="94"/>
      <c r="N1271" s="95"/>
      <c r="O1271" s="95"/>
      <c r="P1271" s="95"/>
      <c r="Q1271" s="95"/>
      <c r="R1271" s="95"/>
      <c r="S1271" s="95"/>
      <c r="T1271" s="95"/>
      <c r="U1271" s="95"/>
      <c r="V1271" s="96"/>
      <c r="W1271" s="96"/>
      <c r="X1271" s="97"/>
      <c r="Y1271" s="97"/>
      <c r="Z1271" s="97"/>
      <c r="AA1271" s="4"/>
      <c r="AB1271" s="5"/>
    </row>
    <row r="1272" spans="1:28" x14ac:dyDescent="0.2">
      <c r="A1272" s="4"/>
      <c r="B1272" s="90"/>
      <c r="C1272" s="90"/>
      <c r="D1272" s="90"/>
      <c r="E1272" s="90"/>
      <c r="F1272" s="90"/>
      <c r="G1272" s="90"/>
      <c r="H1272" s="90"/>
      <c r="I1272" s="90"/>
      <c r="J1272" s="90"/>
      <c r="K1272" s="90"/>
      <c r="L1272" s="90"/>
      <c r="M1272" s="90"/>
      <c r="N1272" s="91"/>
      <c r="O1272" s="91"/>
      <c r="P1272" s="91"/>
      <c r="Q1272" s="91"/>
      <c r="R1272" s="91"/>
      <c r="S1272" s="91"/>
      <c r="T1272" s="91"/>
      <c r="U1272" s="91"/>
      <c r="V1272" s="92"/>
      <c r="W1272" s="92"/>
      <c r="X1272" s="93"/>
      <c r="Y1272" s="93"/>
      <c r="Z1272" s="93"/>
      <c r="AA1272" s="4"/>
      <c r="AB1272" s="5"/>
    </row>
    <row r="1273" spans="1:28" x14ac:dyDescent="0.2">
      <c r="A1273" s="4"/>
      <c r="B1273" s="94"/>
      <c r="C1273" s="94"/>
      <c r="D1273" s="94"/>
      <c r="E1273" s="94"/>
      <c r="F1273" s="94"/>
      <c r="G1273" s="94"/>
      <c r="H1273" s="94"/>
      <c r="I1273" s="94"/>
      <c r="J1273" s="94"/>
      <c r="K1273" s="94"/>
      <c r="L1273" s="94"/>
      <c r="M1273" s="94"/>
      <c r="N1273" s="95"/>
      <c r="O1273" s="95"/>
      <c r="P1273" s="95"/>
      <c r="Q1273" s="95"/>
      <c r="R1273" s="95"/>
      <c r="S1273" s="95"/>
      <c r="T1273" s="95"/>
      <c r="U1273" s="95"/>
      <c r="V1273" s="96"/>
      <c r="W1273" s="96"/>
      <c r="X1273" s="97"/>
      <c r="Y1273" s="97"/>
      <c r="Z1273" s="97"/>
      <c r="AA1273" s="4"/>
      <c r="AB1273" s="5"/>
    </row>
    <row r="1274" spans="1:28" x14ac:dyDescent="0.2">
      <c r="A1274" s="4"/>
      <c r="B1274" s="90"/>
      <c r="C1274" s="90"/>
      <c r="D1274" s="90"/>
      <c r="E1274" s="90"/>
      <c r="F1274" s="90"/>
      <c r="G1274" s="90"/>
      <c r="H1274" s="90"/>
      <c r="I1274" s="90"/>
      <c r="J1274" s="90"/>
      <c r="K1274" s="90"/>
      <c r="L1274" s="90"/>
      <c r="M1274" s="90"/>
      <c r="N1274" s="91"/>
      <c r="O1274" s="91"/>
      <c r="P1274" s="91"/>
      <c r="Q1274" s="91"/>
      <c r="R1274" s="91"/>
      <c r="S1274" s="91"/>
      <c r="T1274" s="91"/>
      <c r="U1274" s="91"/>
      <c r="V1274" s="92"/>
      <c r="W1274" s="92"/>
      <c r="X1274" s="93"/>
      <c r="Y1274" s="93"/>
      <c r="Z1274" s="93"/>
      <c r="AA1274" s="4"/>
      <c r="AB1274" s="5"/>
    </row>
    <row r="1275" spans="1:28" x14ac:dyDescent="0.2">
      <c r="A1275" s="4"/>
      <c r="B1275" s="94"/>
      <c r="C1275" s="94"/>
      <c r="D1275" s="94"/>
      <c r="E1275" s="94"/>
      <c r="F1275" s="94"/>
      <c r="G1275" s="94"/>
      <c r="H1275" s="94"/>
      <c r="I1275" s="94"/>
      <c r="J1275" s="94"/>
      <c r="K1275" s="94"/>
      <c r="L1275" s="94"/>
      <c r="M1275" s="94"/>
      <c r="N1275" s="95"/>
      <c r="O1275" s="95"/>
      <c r="P1275" s="95"/>
      <c r="Q1275" s="95"/>
      <c r="R1275" s="95"/>
      <c r="S1275" s="95"/>
      <c r="T1275" s="95"/>
      <c r="U1275" s="95"/>
      <c r="V1275" s="96"/>
      <c r="W1275" s="96"/>
      <c r="X1275" s="97"/>
      <c r="Y1275" s="97"/>
      <c r="Z1275" s="97"/>
      <c r="AA1275" s="4"/>
      <c r="AB1275" s="5"/>
    </row>
    <row r="1276" spans="1:28" x14ac:dyDescent="0.2">
      <c r="A1276" s="4"/>
      <c r="B1276" s="90"/>
      <c r="C1276" s="90"/>
      <c r="D1276" s="90"/>
      <c r="E1276" s="90"/>
      <c r="F1276" s="90"/>
      <c r="G1276" s="90"/>
      <c r="H1276" s="90"/>
      <c r="I1276" s="90"/>
      <c r="J1276" s="90"/>
      <c r="K1276" s="90"/>
      <c r="L1276" s="90"/>
      <c r="M1276" s="90"/>
      <c r="N1276" s="91"/>
      <c r="O1276" s="91"/>
      <c r="P1276" s="91"/>
      <c r="Q1276" s="91"/>
      <c r="R1276" s="91"/>
      <c r="S1276" s="91"/>
      <c r="T1276" s="91"/>
      <c r="U1276" s="91"/>
      <c r="V1276" s="92"/>
      <c r="W1276" s="92"/>
      <c r="X1276" s="93"/>
      <c r="Y1276" s="93"/>
      <c r="Z1276" s="93"/>
      <c r="AA1276" s="4"/>
      <c r="AB1276" s="5"/>
    </row>
    <row r="1277" spans="1:28" x14ac:dyDescent="0.2">
      <c r="A1277" s="4"/>
      <c r="B1277" s="94"/>
      <c r="C1277" s="94"/>
      <c r="D1277" s="94"/>
      <c r="E1277" s="94"/>
      <c r="F1277" s="94"/>
      <c r="G1277" s="94"/>
      <c r="H1277" s="94"/>
      <c r="I1277" s="94"/>
      <c r="J1277" s="94"/>
      <c r="K1277" s="94"/>
      <c r="L1277" s="94"/>
      <c r="M1277" s="94"/>
      <c r="N1277" s="95"/>
      <c r="O1277" s="95"/>
      <c r="P1277" s="95"/>
      <c r="Q1277" s="95"/>
      <c r="R1277" s="95"/>
      <c r="S1277" s="95"/>
      <c r="T1277" s="95"/>
      <c r="U1277" s="95"/>
      <c r="V1277" s="96"/>
      <c r="W1277" s="96"/>
      <c r="X1277" s="97"/>
      <c r="Y1277" s="97"/>
      <c r="Z1277" s="97"/>
      <c r="AA1277" s="4"/>
      <c r="AB1277" s="5"/>
    </row>
    <row r="1278" spans="1:28" x14ac:dyDescent="0.2">
      <c r="A1278" s="4"/>
      <c r="B1278" s="90"/>
      <c r="C1278" s="90"/>
      <c r="D1278" s="90"/>
      <c r="E1278" s="90"/>
      <c r="F1278" s="90"/>
      <c r="G1278" s="90"/>
      <c r="H1278" s="90"/>
      <c r="I1278" s="90"/>
      <c r="J1278" s="90"/>
      <c r="K1278" s="90"/>
      <c r="L1278" s="90"/>
      <c r="M1278" s="90"/>
      <c r="N1278" s="91"/>
      <c r="O1278" s="91"/>
      <c r="P1278" s="91"/>
      <c r="Q1278" s="91"/>
      <c r="R1278" s="91"/>
      <c r="S1278" s="91"/>
      <c r="T1278" s="91"/>
      <c r="U1278" s="91"/>
      <c r="V1278" s="92"/>
      <c r="W1278" s="92"/>
      <c r="X1278" s="93"/>
      <c r="Y1278" s="93"/>
      <c r="Z1278" s="93"/>
      <c r="AA1278" s="4"/>
      <c r="AB1278" s="5"/>
    </row>
    <row r="1279" spans="1:28" x14ac:dyDescent="0.2">
      <c r="A1279" s="4"/>
      <c r="B1279" s="94"/>
      <c r="C1279" s="94"/>
      <c r="D1279" s="94"/>
      <c r="E1279" s="94"/>
      <c r="F1279" s="94"/>
      <c r="G1279" s="94"/>
      <c r="H1279" s="94"/>
      <c r="I1279" s="94"/>
      <c r="J1279" s="94"/>
      <c r="K1279" s="94"/>
      <c r="L1279" s="94"/>
      <c r="M1279" s="94"/>
      <c r="N1279" s="95"/>
      <c r="O1279" s="95"/>
      <c r="P1279" s="95"/>
      <c r="Q1279" s="95"/>
      <c r="R1279" s="95"/>
      <c r="S1279" s="95"/>
      <c r="T1279" s="95"/>
      <c r="U1279" s="95"/>
      <c r="V1279" s="96"/>
      <c r="W1279" s="96"/>
      <c r="X1279" s="97"/>
      <c r="Y1279" s="97"/>
      <c r="Z1279" s="97"/>
      <c r="AA1279" s="4"/>
      <c r="AB1279" s="5"/>
    </row>
    <row r="1280" spans="1:28" x14ac:dyDescent="0.2">
      <c r="A1280" s="4"/>
      <c r="B1280" s="90"/>
      <c r="C1280" s="90"/>
      <c r="D1280" s="90"/>
      <c r="E1280" s="90"/>
      <c r="F1280" s="90"/>
      <c r="G1280" s="90"/>
      <c r="H1280" s="90"/>
      <c r="I1280" s="90"/>
      <c r="J1280" s="90"/>
      <c r="K1280" s="90"/>
      <c r="L1280" s="90"/>
      <c r="M1280" s="90"/>
      <c r="N1280" s="91"/>
      <c r="O1280" s="91"/>
      <c r="P1280" s="91"/>
      <c r="Q1280" s="91"/>
      <c r="R1280" s="91"/>
      <c r="S1280" s="91"/>
      <c r="T1280" s="91"/>
      <c r="U1280" s="91"/>
      <c r="V1280" s="92"/>
      <c r="W1280" s="92"/>
      <c r="X1280" s="93"/>
      <c r="Y1280" s="93"/>
      <c r="Z1280" s="93"/>
      <c r="AA1280" s="4"/>
      <c r="AB1280" s="5"/>
    </row>
    <row r="1281" spans="1:28" x14ac:dyDescent="0.2">
      <c r="A1281" s="4"/>
      <c r="B1281" s="94"/>
      <c r="C1281" s="94"/>
      <c r="D1281" s="94"/>
      <c r="E1281" s="94"/>
      <c r="F1281" s="94"/>
      <c r="G1281" s="94"/>
      <c r="H1281" s="94"/>
      <c r="I1281" s="94"/>
      <c r="J1281" s="94"/>
      <c r="K1281" s="94"/>
      <c r="L1281" s="94"/>
      <c r="M1281" s="94"/>
      <c r="N1281" s="95"/>
      <c r="O1281" s="95"/>
      <c r="P1281" s="95"/>
      <c r="Q1281" s="95"/>
      <c r="R1281" s="95"/>
      <c r="S1281" s="95"/>
      <c r="T1281" s="95"/>
      <c r="U1281" s="95"/>
      <c r="V1281" s="96"/>
      <c r="W1281" s="96"/>
      <c r="X1281" s="97"/>
      <c r="Y1281" s="97"/>
      <c r="Z1281" s="97"/>
      <c r="AA1281" s="4"/>
      <c r="AB1281" s="5"/>
    </row>
    <row r="1282" spans="1:28" x14ac:dyDescent="0.2">
      <c r="A1282" s="4"/>
      <c r="B1282" s="90"/>
      <c r="C1282" s="90"/>
      <c r="D1282" s="90"/>
      <c r="E1282" s="90"/>
      <c r="F1282" s="90"/>
      <c r="G1282" s="90"/>
      <c r="H1282" s="90"/>
      <c r="I1282" s="90"/>
      <c r="J1282" s="90"/>
      <c r="K1282" s="90"/>
      <c r="L1282" s="90"/>
      <c r="M1282" s="90"/>
      <c r="N1282" s="91"/>
      <c r="O1282" s="91"/>
      <c r="P1282" s="91"/>
      <c r="Q1282" s="91"/>
      <c r="R1282" s="91"/>
      <c r="S1282" s="91"/>
      <c r="T1282" s="91"/>
      <c r="U1282" s="91"/>
      <c r="V1282" s="92"/>
      <c r="W1282" s="92"/>
      <c r="X1282" s="93"/>
      <c r="Y1282" s="93"/>
      <c r="Z1282" s="93"/>
      <c r="AA1282" s="4"/>
      <c r="AB1282" s="5"/>
    </row>
    <row r="1283" spans="1:28" x14ac:dyDescent="0.2">
      <c r="A1283" s="4"/>
      <c r="B1283" s="94"/>
      <c r="C1283" s="94"/>
      <c r="D1283" s="94"/>
      <c r="E1283" s="94"/>
      <c r="F1283" s="94"/>
      <c r="G1283" s="94"/>
      <c r="H1283" s="94"/>
      <c r="I1283" s="94"/>
      <c r="J1283" s="94"/>
      <c r="K1283" s="94"/>
      <c r="L1283" s="94"/>
      <c r="M1283" s="94"/>
      <c r="N1283" s="95"/>
      <c r="O1283" s="95"/>
      <c r="P1283" s="95"/>
      <c r="Q1283" s="95"/>
      <c r="R1283" s="95"/>
      <c r="S1283" s="95"/>
      <c r="T1283" s="95"/>
      <c r="U1283" s="95"/>
      <c r="V1283" s="96"/>
      <c r="W1283" s="96"/>
      <c r="X1283" s="97"/>
      <c r="Y1283" s="97"/>
      <c r="Z1283" s="97"/>
      <c r="AA1283" s="4"/>
      <c r="AB1283" s="5"/>
    </row>
    <row r="1284" spans="1:28" x14ac:dyDescent="0.2">
      <c r="A1284" s="4"/>
      <c r="B1284" s="90"/>
      <c r="C1284" s="90"/>
      <c r="D1284" s="90"/>
      <c r="E1284" s="90"/>
      <c r="F1284" s="90"/>
      <c r="G1284" s="90"/>
      <c r="H1284" s="90"/>
      <c r="I1284" s="90"/>
      <c r="J1284" s="90"/>
      <c r="K1284" s="90"/>
      <c r="L1284" s="90"/>
      <c r="M1284" s="90"/>
      <c r="N1284" s="91"/>
      <c r="O1284" s="91"/>
      <c r="P1284" s="91"/>
      <c r="Q1284" s="91"/>
      <c r="R1284" s="91"/>
      <c r="S1284" s="91"/>
      <c r="T1284" s="91"/>
      <c r="U1284" s="91"/>
      <c r="V1284" s="92"/>
      <c r="W1284" s="92"/>
      <c r="X1284" s="93"/>
      <c r="Y1284" s="93"/>
      <c r="Z1284" s="93"/>
      <c r="AA1284" s="4"/>
      <c r="AB1284" s="5"/>
    </row>
    <row r="1285" spans="1:28" x14ac:dyDescent="0.2">
      <c r="A1285" s="4"/>
      <c r="B1285" s="94"/>
      <c r="C1285" s="94"/>
      <c r="D1285" s="94"/>
      <c r="E1285" s="94"/>
      <c r="F1285" s="94"/>
      <c r="G1285" s="94"/>
      <c r="H1285" s="94"/>
      <c r="I1285" s="94"/>
      <c r="J1285" s="94"/>
      <c r="K1285" s="94"/>
      <c r="L1285" s="94"/>
      <c r="M1285" s="94"/>
      <c r="N1285" s="95"/>
      <c r="O1285" s="95"/>
      <c r="P1285" s="95"/>
      <c r="Q1285" s="95"/>
      <c r="R1285" s="95"/>
      <c r="S1285" s="95"/>
      <c r="T1285" s="95"/>
      <c r="U1285" s="95"/>
      <c r="V1285" s="96"/>
      <c r="W1285" s="96"/>
      <c r="X1285" s="97"/>
      <c r="Y1285" s="97"/>
      <c r="Z1285" s="97"/>
      <c r="AA1285" s="4"/>
      <c r="AB1285" s="5"/>
    </row>
    <row r="1286" spans="1:28" x14ac:dyDescent="0.2">
      <c r="A1286" s="4"/>
      <c r="B1286" s="90"/>
      <c r="C1286" s="90"/>
      <c r="D1286" s="90"/>
      <c r="E1286" s="90"/>
      <c r="F1286" s="90"/>
      <c r="G1286" s="90"/>
      <c r="H1286" s="90"/>
      <c r="I1286" s="90"/>
      <c r="J1286" s="90"/>
      <c r="K1286" s="90"/>
      <c r="L1286" s="90"/>
      <c r="M1286" s="90"/>
      <c r="N1286" s="91"/>
      <c r="O1286" s="91"/>
      <c r="P1286" s="91"/>
      <c r="Q1286" s="91"/>
      <c r="R1286" s="91"/>
      <c r="S1286" s="91"/>
      <c r="T1286" s="91"/>
      <c r="U1286" s="91"/>
      <c r="V1286" s="92"/>
      <c r="W1286" s="92"/>
      <c r="X1286" s="93"/>
      <c r="Y1286" s="93"/>
      <c r="Z1286" s="93"/>
      <c r="AA1286" s="4"/>
      <c r="AB1286" s="5"/>
    </row>
    <row r="1287" spans="1:28" x14ac:dyDescent="0.2">
      <c r="A1287" s="4"/>
      <c r="B1287" s="94"/>
      <c r="C1287" s="94"/>
      <c r="D1287" s="94"/>
      <c r="E1287" s="94"/>
      <c r="F1287" s="94"/>
      <c r="G1287" s="94"/>
      <c r="H1287" s="94"/>
      <c r="I1287" s="94"/>
      <c r="J1287" s="94"/>
      <c r="K1287" s="94"/>
      <c r="L1287" s="94"/>
      <c r="M1287" s="94"/>
      <c r="N1287" s="95"/>
      <c r="O1287" s="95"/>
      <c r="P1287" s="95"/>
      <c r="Q1287" s="95"/>
      <c r="R1287" s="95"/>
      <c r="S1287" s="95"/>
      <c r="T1287" s="95"/>
      <c r="U1287" s="95"/>
      <c r="V1287" s="96"/>
      <c r="W1287" s="96"/>
      <c r="X1287" s="97"/>
      <c r="Y1287" s="97"/>
      <c r="Z1287" s="97"/>
      <c r="AA1287" s="4"/>
      <c r="AB1287" s="5"/>
    </row>
    <row r="1288" spans="1:28" x14ac:dyDescent="0.2">
      <c r="A1288" s="4"/>
      <c r="B1288" s="90"/>
      <c r="C1288" s="90"/>
      <c r="D1288" s="90"/>
      <c r="E1288" s="90"/>
      <c r="F1288" s="90"/>
      <c r="G1288" s="90"/>
      <c r="H1288" s="90"/>
      <c r="I1288" s="90"/>
      <c r="J1288" s="90"/>
      <c r="K1288" s="90"/>
      <c r="L1288" s="90"/>
      <c r="M1288" s="90"/>
      <c r="N1288" s="91"/>
      <c r="O1288" s="91"/>
      <c r="P1288" s="91"/>
      <c r="Q1288" s="91"/>
      <c r="R1288" s="91"/>
      <c r="S1288" s="91"/>
      <c r="T1288" s="91"/>
      <c r="U1288" s="91"/>
      <c r="V1288" s="92"/>
      <c r="W1288" s="92"/>
      <c r="X1288" s="93"/>
      <c r="Y1288" s="93"/>
      <c r="Z1288" s="93"/>
      <c r="AA1288" s="4"/>
      <c r="AB1288" s="5"/>
    </row>
    <row r="1289" spans="1:28" x14ac:dyDescent="0.2">
      <c r="A1289" s="4"/>
      <c r="B1289" s="94"/>
      <c r="C1289" s="94"/>
      <c r="D1289" s="94"/>
      <c r="E1289" s="94"/>
      <c r="F1289" s="94"/>
      <c r="G1289" s="94"/>
      <c r="H1289" s="94"/>
      <c r="I1289" s="94"/>
      <c r="J1289" s="94"/>
      <c r="K1289" s="94"/>
      <c r="L1289" s="94"/>
      <c r="M1289" s="94"/>
      <c r="N1289" s="95"/>
      <c r="O1289" s="95"/>
      <c r="P1289" s="95"/>
      <c r="Q1289" s="95"/>
      <c r="R1289" s="95"/>
      <c r="S1289" s="95"/>
      <c r="T1289" s="95"/>
      <c r="U1289" s="95"/>
      <c r="V1289" s="96"/>
      <c r="W1289" s="96"/>
      <c r="X1289" s="97"/>
      <c r="Y1289" s="97"/>
      <c r="Z1289" s="97"/>
      <c r="AA1289" s="4"/>
      <c r="AB1289" s="5"/>
    </row>
    <row r="1290" spans="1:28" x14ac:dyDescent="0.2">
      <c r="A1290" s="4"/>
      <c r="B1290" s="90"/>
      <c r="C1290" s="90"/>
      <c r="D1290" s="90"/>
      <c r="E1290" s="90"/>
      <c r="F1290" s="90"/>
      <c r="G1290" s="90"/>
      <c r="H1290" s="90"/>
      <c r="I1290" s="90"/>
      <c r="J1290" s="90"/>
      <c r="K1290" s="90"/>
      <c r="L1290" s="90"/>
      <c r="M1290" s="90"/>
      <c r="N1290" s="91"/>
      <c r="O1290" s="91"/>
      <c r="P1290" s="91"/>
      <c r="Q1290" s="91"/>
      <c r="R1290" s="91"/>
      <c r="S1290" s="91"/>
      <c r="T1290" s="91"/>
      <c r="U1290" s="91"/>
      <c r="V1290" s="92"/>
      <c r="W1290" s="92"/>
      <c r="X1290" s="93"/>
      <c r="Y1290" s="93"/>
      <c r="Z1290" s="93"/>
      <c r="AA1290" s="4"/>
      <c r="AB1290" s="5"/>
    </row>
    <row r="1291" spans="1:28" x14ac:dyDescent="0.2">
      <c r="A1291" s="4"/>
      <c r="B1291" s="94"/>
      <c r="C1291" s="94"/>
      <c r="D1291" s="94"/>
      <c r="E1291" s="94"/>
      <c r="F1291" s="94"/>
      <c r="G1291" s="94"/>
      <c r="H1291" s="94"/>
      <c r="I1291" s="94"/>
      <c r="J1291" s="94"/>
      <c r="K1291" s="94"/>
      <c r="L1291" s="94"/>
      <c r="M1291" s="94"/>
      <c r="N1291" s="95"/>
      <c r="O1291" s="95"/>
      <c r="P1291" s="95"/>
      <c r="Q1291" s="95"/>
      <c r="R1291" s="95"/>
      <c r="S1291" s="95"/>
      <c r="T1291" s="95"/>
      <c r="U1291" s="95"/>
      <c r="V1291" s="96"/>
      <c r="W1291" s="96"/>
      <c r="X1291" s="97"/>
      <c r="Y1291" s="97"/>
      <c r="Z1291" s="97"/>
      <c r="AA1291" s="4"/>
      <c r="AB1291" s="5"/>
    </row>
    <row r="1292" spans="1:28" x14ac:dyDescent="0.2">
      <c r="A1292" s="4"/>
      <c r="B1292" s="90"/>
      <c r="C1292" s="90"/>
      <c r="D1292" s="90"/>
      <c r="E1292" s="90"/>
      <c r="F1292" s="90"/>
      <c r="G1292" s="90"/>
      <c r="H1292" s="90"/>
      <c r="I1292" s="90"/>
      <c r="J1292" s="90"/>
      <c r="K1292" s="90"/>
      <c r="L1292" s="90"/>
      <c r="M1292" s="90"/>
      <c r="N1292" s="91"/>
      <c r="O1292" s="91"/>
      <c r="P1292" s="91"/>
      <c r="Q1292" s="91"/>
      <c r="R1292" s="91"/>
      <c r="S1292" s="91"/>
      <c r="T1292" s="91"/>
      <c r="U1292" s="91"/>
      <c r="V1292" s="92"/>
      <c r="W1292" s="92"/>
      <c r="X1292" s="93"/>
      <c r="Y1292" s="93"/>
      <c r="Z1292" s="93"/>
      <c r="AA1292" s="4"/>
      <c r="AB1292" s="5"/>
    </row>
    <row r="1293" spans="1:28" x14ac:dyDescent="0.2">
      <c r="A1293" s="4"/>
      <c r="B1293" s="94"/>
      <c r="C1293" s="94"/>
      <c r="D1293" s="94"/>
      <c r="E1293" s="94"/>
      <c r="F1293" s="94"/>
      <c r="G1293" s="94"/>
      <c r="H1293" s="94"/>
      <c r="I1293" s="94"/>
      <c r="J1293" s="94"/>
      <c r="K1293" s="94"/>
      <c r="L1293" s="94"/>
      <c r="M1293" s="94"/>
      <c r="N1293" s="95"/>
      <c r="O1293" s="95"/>
      <c r="P1293" s="95"/>
      <c r="Q1293" s="95"/>
      <c r="R1293" s="95"/>
      <c r="S1293" s="95"/>
      <c r="T1293" s="95"/>
      <c r="U1293" s="95"/>
      <c r="V1293" s="96"/>
      <c r="W1293" s="96"/>
      <c r="X1293" s="97"/>
      <c r="Y1293" s="97"/>
      <c r="Z1293" s="97"/>
      <c r="AA1293" s="4"/>
      <c r="AB1293" s="5"/>
    </row>
    <row r="1294" spans="1:28" x14ac:dyDescent="0.2">
      <c r="A1294" s="4"/>
      <c r="B1294" s="90"/>
      <c r="C1294" s="90"/>
      <c r="D1294" s="90"/>
      <c r="E1294" s="90"/>
      <c r="F1294" s="90"/>
      <c r="G1294" s="90"/>
      <c r="H1294" s="90"/>
      <c r="I1294" s="90"/>
      <c r="J1294" s="90"/>
      <c r="K1294" s="90"/>
      <c r="L1294" s="90"/>
      <c r="M1294" s="90"/>
      <c r="N1294" s="91"/>
      <c r="O1294" s="91"/>
      <c r="P1294" s="91"/>
      <c r="Q1294" s="91"/>
      <c r="R1294" s="91"/>
      <c r="S1294" s="91"/>
      <c r="T1294" s="91"/>
      <c r="U1294" s="91"/>
      <c r="V1294" s="92"/>
      <c r="W1294" s="92"/>
      <c r="X1294" s="93"/>
      <c r="Y1294" s="93"/>
      <c r="Z1294" s="93"/>
      <c r="AA1294" s="4"/>
      <c r="AB1294" s="5"/>
    </row>
    <row r="1295" spans="1:28" x14ac:dyDescent="0.2">
      <c r="A1295" s="4"/>
      <c r="B1295" s="94"/>
      <c r="C1295" s="94"/>
      <c r="D1295" s="94"/>
      <c r="E1295" s="94"/>
      <c r="F1295" s="94"/>
      <c r="G1295" s="94"/>
      <c r="H1295" s="94"/>
      <c r="I1295" s="94"/>
      <c r="J1295" s="94"/>
      <c r="K1295" s="94"/>
      <c r="L1295" s="94"/>
      <c r="M1295" s="94"/>
      <c r="N1295" s="95"/>
      <c r="O1295" s="95"/>
      <c r="P1295" s="95"/>
      <c r="Q1295" s="95"/>
      <c r="R1295" s="95"/>
      <c r="S1295" s="95"/>
      <c r="T1295" s="95"/>
      <c r="U1295" s="95"/>
      <c r="V1295" s="96"/>
      <c r="W1295" s="96"/>
      <c r="X1295" s="97"/>
      <c r="Y1295" s="97"/>
      <c r="Z1295" s="97"/>
      <c r="AA1295" s="4"/>
      <c r="AB1295" s="5"/>
    </row>
    <row r="1296" spans="1:28" x14ac:dyDescent="0.2">
      <c r="A1296" s="4"/>
      <c r="B1296" s="90"/>
      <c r="C1296" s="90"/>
      <c r="D1296" s="90"/>
      <c r="E1296" s="90"/>
      <c r="F1296" s="90"/>
      <c r="G1296" s="90"/>
      <c r="H1296" s="90"/>
      <c r="I1296" s="90"/>
      <c r="J1296" s="90"/>
      <c r="K1296" s="90"/>
      <c r="L1296" s="90"/>
      <c r="M1296" s="90"/>
      <c r="N1296" s="91"/>
      <c r="O1296" s="91"/>
      <c r="P1296" s="91"/>
      <c r="Q1296" s="91"/>
      <c r="R1296" s="91"/>
      <c r="S1296" s="91"/>
      <c r="T1296" s="91"/>
      <c r="U1296" s="91"/>
      <c r="V1296" s="92"/>
      <c r="W1296" s="92"/>
      <c r="X1296" s="93"/>
      <c r="Y1296" s="93"/>
      <c r="Z1296" s="93"/>
      <c r="AA1296" s="4"/>
      <c r="AB1296" s="5"/>
    </row>
    <row r="1297" spans="1:28" x14ac:dyDescent="0.2">
      <c r="A1297" s="4"/>
      <c r="B1297" s="94"/>
      <c r="C1297" s="94"/>
      <c r="D1297" s="94"/>
      <c r="E1297" s="94"/>
      <c r="F1297" s="94"/>
      <c r="G1297" s="94"/>
      <c r="H1297" s="94"/>
      <c r="I1297" s="94"/>
      <c r="J1297" s="94"/>
      <c r="K1297" s="94"/>
      <c r="L1297" s="94"/>
      <c r="M1297" s="94"/>
      <c r="N1297" s="95"/>
      <c r="O1297" s="95"/>
      <c r="P1297" s="95"/>
      <c r="Q1297" s="95"/>
      <c r="R1297" s="95"/>
      <c r="S1297" s="95"/>
      <c r="T1297" s="95"/>
      <c r="U1297" s="95"/>
      <c r="V1297" s="96"/>
      <c r="W1297" s="96"/>
      <c r="X1297" s="97"/>
      <c r="Y1297" s="97"/>
      <c r="Z1297" s="97"/>
      <c r="AA1297" s="4"/>
      <c r="AB1297" s="5"/>
    </row>
    <row r="1298" spans="1:28" x14ac:dyDescent="0.2">
      <c r="A1298" s="4"/>
      <c r="B1298" s="90"/>
      <c r="C1298" s="90"/>
      <c r="D1298" s="90"/>
      <c r="E1298" s="90"/>
      <c r="F1298" s="90"/>
      <c r="G1298" s="90"/>
      <c r="H1298" s="90"/>
      <c r="I1298" s="90"/>
      <c r="J1298" s="90"/>
      <c r="K1298" s="90"/>
      <c r="L1298" s="90"/>
      <c r="M1298" s="90"/>
      <c r="N1298" s="91"/>
      <c r="O1298" s="91"/>
      <c r="P1298" s="91"/>
      <c r="Q1298" s="91"/>
      <c r="R1298" s="91"/>
      <c r="S1298" s="91"/>
      <c r="T1298" s="91"/>
      <c r="U1298" s="91"/>
      <c r="V1298" s="92"/>
      <c r="W1298" s="92"/>
      <c r="X1298" s="93"/>
      <c r="Y1298" s="93"/>
      <c r="Z1298" s="93"/>
      <c r="AA1298" s="4"/>
      <c r="AB1298" s="5"/>
    </row>
    <row r="1299" spans="1:28" x14ac:dyDescent="0.2">
      <c r="A1299" s="4"/>
      <c r="B1299" s="94"/>
      <c r="C1299" s="94"/>
      <c r="D1299" s="94"/>
      <c r="E1299" s="94"/>
      <c r="F1299" s="94"/>
      <c r="G1299" s="94"/>
      <c r="H1299" s="94"/>
      <c r="I1299" s="94"/>
      <c r="J1299" s="94"/>
      <c r="K1299" s="94"/>
      <c r="L1299" s="94"/>
      <c r="M1299" s="94"/>
      <c r="N1299" s="95"/>
      <c r="O1299" s="95"/>
      <c r="P1299" s="95"/>
      <c r="Q1299" s="95"/>
      <c r="R1299" s="95"/>
      <c r="S1299" s="95"/>
      <c r="T1299" s="95"/>
      <c r="U1299" s="95"/>
      <c r="V1299" s="96"/>
      <c r="W1299" s="96"/>
      <c r="X1299" s="97"/>
      <c r="Y1299" s="97"/>
      <c r="Z1299" s="97"/>
      <c r="AA1299" s="4"/>
      <c r="AB1299" s="5"/>
    </row>
    <row r="1300" spans="1:28" x14ac:dyDescent="0.2">
      <c r="A1300" s="4"/>
      <c r="B1300" s="90"/>
      <c r="C1300" s="90"/>
      <c r="D1300" s="90"/>
      <c r="E1300" s="90"/>
      <c r="F1300" s="90"/>
      <c r="G1300" s="90"/>
      <c r="H1300" s="90"/>
      <c r="I1300" s="90"/>
      <c r="J1300" s="90"/>
      <c r="K1300" s="90"/>
      <c r="L1300" s="90"/>
      <c r="M1300" s="90"/>
      <c r="N1300" s="91"/>
      <c r="O1300" s="91"/>
      <c r="P1300" s="91"/>
      <c r="Q1300" s="91"/>
      <c r="R1300" s="91"/>
      <c r="S1300" s="91"/>
      <c r="T1300" s="91"/>
      <c r="U1300" s="91"/>
      <c r="V1300" s="92"/>
      <c r="W1300" s="92"/>
      <c r="X1300" s="93"/>
      <c r="Y1300" s="93"/>
      <c r="Z1300" s="93"/>
      <c r="AA1300" s="4"/>
      <c r="AB1300" s="5"/>
    </row>
    <row r="1301" spans="1:28" x14ac:dyDescent="0.2">
      <c r="A1301" s="4"/>
      <c r="B1301" s="94"/>
      <c r="C1301" s="94"/>
      <c r="D1301" s="94"/>
      <c r="E1301" s="94"/>
      <c r="F1301" s="94"/>
      <c r="G1301" s="94"/>
      <c r="H1301" s="94"/>
      <c r="I1301" s="94"/>
      <c r="J1301" s="94"/>
      <c r="K1301" s="94"/>
      <c r="L1301" s="94"/>
      <c r="M1301" s="94"/>
      <c r="N1301" s="95"/>
      <c r="O1301" s="95"/>
      <c r="P1301" s="95"/>
      <c r="Q1301" s="95"/>
      <c r="R1301" s="95"/>
      <c r="S1301" s="95"/>
      <c r="T1301" s="95"/>
      <c r="U1301" s="95"/>
      <c r="V1301" s="96"/>
      <c r="W1301" s="96"/>
      <c r="X1301" s="97"/>
      <c r="Y1301" s="97"/>
      <c r="Z1301" s="97"/>
      <c r="AA1301" s="4"/>
      <c r="AB1301" s="5"/>
    </row>
    <row r="1302" spans="1:28" x14ac:dyDescent="0.2">
      <c r="A1302" s="4"/>
      <c r="B1302" s="90"/>
      <c r="C1302" s="90"/>
      <c r="D1302" s="90"/>
      <c r="E1302" s="90"/>
      <c r="F1302" s="90"/>
      <c r="G1302" s="90"/>
      <c r="H1302" s="90"/>
      <c r="I1302" s="90"/>
      <c r="J1302" s="90"/>
      <c r="K1302" s="90"/>
      <c r="L1302" s="90"/>
      <c r="M1302" s="90"/>
      <c r="N1302" s="91"/>
      <c r="O1302" s="91"/>
      <c r="P1302" s="91"/>
      <c r="Q1302" s="91"/>
      <c r="R1302" s="91"/>
      <c r="S1302" s="91"/>
      <c r="T1302" s="91"/>
      <c r="U1302" s="91"/>
      <c r="V1302" s="92"/>
      <c r="W1302" s="92"/>
      <c r="X1302" s="93"/>
      <c r="Y1302" s="93"/>
      <c r="Z1302" s="93"/>
      <c r="AA1302" s="4"/>
      <c r="AB1302" s="5"/>
    </row>
    <row r="1303" spans="1:28" x14ac:dyDescent="0.2">
      <c r="A1303" s="4"/>
      <c r="B1303" s="94"/>
      <c r="C1303" s="94"/>
      <c r="D1303" s="94"/>
      <c r="E1303" s="94"/>
      <c r="F1303" s="94"/>
      <c r="G1303" s="94"/>
      <c r="H1303" s="94"/>
      <c r="I1303" s="94"/>
      <c r="J1303" s="94"/>
      <c r="K1303" s="94"/>
      <c r="L1303" s="94"/>
      <c r="M1303" s="94"/>
      <c r="N1303" s="95"/>
      <c r="O1303" s="95"/>
      <c r="P1303" s="95"/>
      <c r="Q1303" s="95"/>
      <c r="R1303" s="95"/>
      <c r="S1303" s="95"/>
      <c r="T1303" s="95"/>
      <c r="U1303" s="95"/>
      <c r="V1303" s="96"/>
      <c r="W1303" s="96"/>
      <c r="X1303" s="97"/>
      <c r="Y1303" s="97"/>
      <c r="Z1303" s="97"/>
      <c r="AA1303" s="4"/>
      <c r="AB1303" s="5"/>
    </row>
    <row r="1304" spans="1:28" x14ac:dyDescent="0.2">
      <c r="A1304" s="4"/>
      <c r="B1304" s="90"/>
      <c r="C1304" s="90"/>
      <c r="D1304" s="90"/>
      <c r="E1304" s="90"/>
      <c r="F1304" s="90"/>
      <c r="G1304" s="90"/>
      <c r="H1304" s="90"/>
      <c r="I1304" s="90"/>
      <c r="J1304" s="90"/>
      <c r="K1304" s="90"/>
      <c r="L1304" s="90"/>
      <c r="M1304" s="90"/>
      <c r="N1304" s="91"/>
      <c r="O1304" s="91"/>
      <c r="P1304" s="91"/>
      <c r="Q1304" s="91"/>
      <c r="R1304" s="91"/>
      <c r="S1304" s="91"/>
      <c r="T1304" s="91"/>
      <c r="U1304" s="91"/>
      <c r="V1304" s="92"/>
      <c r="W1304" s="92"/>
      <c r="X1304" s="93"/>
      <c r="Y1304" s="93"/>
      <c r="Z1304" s="93"/>
      <c r="AA1304" s="4"/>
      <c r="AB1304" s="5"/>
    </row>
    <row r="1305" spans="1:28" x14ac:dyDescent="0.2">
      <c r="A1305" s="4"/>
      <c r="B1305" s="94"/>
      <c r="C1305" s="94"/>
      <c r="D1305" s="94"/>
      <c r="E1305" s="94"/>
      <c r="F1305" s="94"/>
      <c r="G1305" s="94"/>
      <c r="H1305" s="94"/>
      <c r="I1305" s="94"/>
      <c r="J1305" s="94"/>
      <c r="K1305" s="94"/>
      <c r="L1305" s="94"/>
      <c r="M1305" s="94"/>
      <c r="N1305" s="95"/>
      <c r="O1305" s="95"/>
      <c r="P1305" s="95"/>
      <c r="Q1305" s="95"/>
      <c r="R1305" s="95"/>
      <c r="S1305" s="95"/>
      <c r="T1305" s="95"/>
      <c r="U1305" s="95"/>
      <c r="V1305" s="96"/>
      <c r="W1305" s="96"/>
      <c r="X1305" s="97"/>
      <c r="Y1305" s="97"/>
      <c r="Z1305" s="97"/>
      <c r="AA1305" s="4"/>
      <c r="AB1305" s="5"/>
    </row>
    <row r="1306" spans="1:28" x14ac:dyDescent="0.2">
      <c r="A1306" s="4"/>
      <c r="B1306" s="90"/>
      <c r="C1306" s="90"/>
      <c r="D1306" s="90"/>
      <c r="E1306" s="90"/>
      <c r="F1306" s="90"/>
      <c r="G1306" s="90"/>
      <c r="H1306" s="90"/>
      <c r="I1306" s="90"/>
      <c r="J1306" s="90"/>
      <c r="K1306" s="90"/>
      <c r="L1306" s="90"/>
      <c r="M1306" s="90"/>
      <c r="N1306" s="91"/>
      <c r="O1306" s="91"/>
      <c r="P1306" s="91"/>
      <c r="Q1306" s="91"/>
      <c r="R1306" s="91"/>
      <c r="S1306" s="91"/>
      <c r="T1306" s="91"/>
      <c r="U1306" s="91"/>
      <c r="V1306" s="92"/>
      <c r="W1306" s="92"/>
      <c r="X1306" s="93"/>
      <c r="Y1306" s="93"/>
      <c r="Z1306" s="93"/>
      <c r="AA1306" s="4"/>
      <c r="AB1306" s="5"/>
    </row>
    <row r="1307" spans="1:28" x14ac:dyDescent="0.2">
      <c r="A1307" s="4"/>
      <c r="B1307" s="94"/>
      <c r="C1307" s="94"/>
      <c r="D1307" s="94"/>
      <c r="E1307" s="94"/>
      <c r="F1307" s="94"/>
      <c r="G1307" s="94"/>
      <c r="H1307" s="94"/>
      <c r="I1307" s="94"/>
      <c r="J1307" s="94"/>
      <c r="K1307" s="94"/>
      <c r="L1307" s="94"/>
      <c r="M1307" s="94"/>
      <c r="N1307" s="95"/>
      <c r="O1307" s="95"/>
      <c r="P1307" s="95"/>
      <c r="Q1307" s="95"/>
      <c r="R1307" s="95"/>
      <c r="S1307" s="95"/>
      <c r="T1307" s="95"/>
      <c r="U1307" s="95"/>
      <c r="V1307" s="96"/>
      <c r="W1307" s="96"/>
      <c r="X1307" s="97"/>
      <c r="Y1307" s="97"/>
      <c r="Z1307" s="97"/>
      <c r="AA1307" s="4"/>
      <c r="AB1307" s="5"/>
    </row>
    <row r="1308" spans="1:28" x14ac:dyDescent="0.2">
      <c r="A1308" s="4"/>
      <c r="B1308" s="90"/>
      <c r="C1308" s="90"/>
      <c r="D1308" s="90"/>
      <c r="E1308" s="90"/>
      <c r="F1308" s="90"/>
      <c r="G1308" s="90"/>
      <c r="H1308" s="90"/>
      <c r="I1308" s="90"/>
      <c r="J1308" s="90"/>
      <c r="K1308" s="90"/>
      <c r="L1308" s="90"/>
      <c r="M1308" s="90"/>
      <c r="N1308" s="91"/>
      <c r="O1308" s="91"/>
      <c r="P1308" s="91"/>
      <c r="Q1308" s="91"/>
      <c r="R1308" s="91"/>
      <c r="S1308" s="91"/>
      <c r="T1308" s="91"/>
      <c r="U1308" s="91"/>
      <c r="V1308" s="92"/>
      <c r="W1308" s="92"/>
      <c r="X1308" s="93"/>
      <c r="Y1308" s="93"/>
      <c r="Z1308" s="93"/>
      <c r="AA1308" s="4"/>
      <c r="AB1308" s="5"/>
    </row>
    <row r="1309" spans="1:28" x14ac:dyDescent="0.2">
      <c r="A1309" s="4"/>
      <c r="B1309" s="94"/>
      <c r="C1309" s="94"/>
      <c r="D1309" s="94"/>
      <c r="E1309" s="94"/>
      <c r="F1309" s="94"/>
      <c r="G1309" s="94"/>
      <c r="H1309" s="94"/>
      <c r="I1309" s="94"/>
      <c r="J1309" s="94"/>
      <c r="K1309" s="94"/>
      <c r="L1309" s="94"/>
      <c r="M1309" s="94"/>
      <c r="N1309" s="95"/>
      <c r="O1309" s="95"/>
      <c r="P1309" s="95"/>
      <c r="Q1309" s="95"/>
      <c r="R1309" s="95"/>
      <c r="S1309" s="95"/>
      <c r="T1309" s="95"/>
      <c r="U1309" s="95"/>
      <c r="V1309" s="96"/>
      <c r="W1309" s="96"/>
      <c r="X1309" s="97"/>
      <c r="Y1309" s="97"/>
      <c r="Z1309" s="97"/>
      <c r="AA1309" s="4"/>
      <c r="AB1309" s="5"/>
    </row>
    <row r="1310" spans="1:28" x14ac:dyDescent="0.2">
      <c r="A1310" s="4"/>
      <c r="B1310" s="90"/>
      <c r="C1310" s="90"/>
      <c r="D1310" s="90"/>
      <c r="E1310" s="90"/>
      <c r="F1310" s="90"/>
      <c r="G1310" s="90"/>
      <c r="H1310" s="90"/>
      <c r="I1310" s="90"/>
      <c r="J1310" s="90"/>
      <c r="K1310" s="90"/>
      <c r="L1310" s="90"/>
      <c r="M1310" s="90"/>
      <c r="N1310" s="91"/>
      <c r="O1310" s="91"/>
      <c r="P1310" s="91"/>
      <c r="Q1310" s="91"/>
      <c r="R1310" s="91"/>
      <c r="S1310" s="91"/>
      <c r="T1310" s="91"/>
      <c r="U1310" s="91"/>
      <c r="V1310" s="92"/>
      <c r="W1310" s="92"/>
      <c r="X1310" s="93"/>
      <c r="Y1310" s="93"/>
      <c r="Z1310" s="93"/>
      <c r="AA1310" s="4"/>
      <c r="AB1310" s="5"/>
    </row>
    <row r="1311" spans="1:28" x14ac:dyDescent="0.2">
      <c r="A1311" s="4"/>
      <c r="B1311" s="94"/>
      <c r="C1311" s="94"/>
      <c r="D1311" s="94"/>
      <c r="E1311" s="94"/>
      <c r="F1311" s="94"/>
      <c r="G1311" s="94"/>
      <c r="H1311" s="94"/>
      <c r="I1311" s="94"/>
      <c r="J1311" s="94"/>
      <c r="K1311" s="94"/>
      <c r="L1311" s="94"/>
      <c r="M1311" s="94"/>
      <c r="N1311" s="95"/>
      <c r="O1311" s="95"/>
      <c r="P1311" s="95"/>
      <c r="Q1311" s="95"/>
      <c r="R1311" s="95"/>
      <c r="S1311" s="95"/>
      <c r="T1311" s="95"/>
      <c r="U1311" s="95"/>
      <c r="V1311" s="96"/>
      <c r="W1311" s="96"/>
      <c r="X1311" s="97"/>
      <c r="Y1311" s="97"/>
      <c r="Z1311" s="97"/>
      <c r="AA1311" s="4"/>
      <c r="AB1311" s="5"/>
    </row>
    <row r="1312" spans="1:28" x14ac:dyDescent="0.2">
      <c r="A1312" s="4"/>
      <c r="B1312" s="90"/>
      <c r="C1312" s="90"/>
      <c r="D1312" s="90"/>
      <c r="E1312" s="90"/>
      <c r="F1312" s="90"/>
      <c r="G1312" s="90"/>
      <c r="H1312" s="90"/>
      <c r="I1312" s="90"/>
      <c r="J1312" s="90"/>
      <c r="K1312" s="90"/>
      <c r="L1312" s="90"/>
      <c r="M1312" s="90"/>
      <c r="N1312" s="91"/>
      <c r="O1312" s="91"/>
      <c r="P1312" s="91"/>
      <c r="Q1312" s="91"/>
      <c r="R1312" s="91"/>
      <c r="S1312" s="91"/>
      <c r="T1312" s="91"/>
      <c r="U1312" s="91"/>
      <c r="V1312" s="92"/>
      <c r="W1312" s="92"/>
      <c r="X1312" s="93"/>
      <c r="Y1312" s="93"/>
      <c r="Z1312" s="93"/>
      <c r="AA1312" s="4"/>
      <c r="AB1312" s="5"/>
    </row>
    <row r="1313" spans="1:28" x14ac:dyDescent="0.2">
      <c r="A1313" s="4"/>
      <c r="B1313" s="94"/>
      <c r="C1313" s="94"/>
      <c r="D1313" s="94"/>
      <c r="E1313" s="94"/>
      <c r="F1313" s="94"/>
      <c r="G1313" s="94"/>
      <c r="H1313" s="94"/>
      <c r="I1313" s="94"/>
      <c r="J1313" s="94"/>
      <c r="K1313" s="94"/>
      <c r="L1313" s="94"/>
      <c r="M1313" s="94"/>
      <c r="N1313" s="95"/>
      <c r="O1313" s="95"/>
      <c r="P1313" s="95"/>
      <c r="Q1313" s="95"/>
      <c r="R1313" s="95"/>
      <c r="S1313" s="95"/>
      <c r="T1313" s="95"/>
      <c r="U1313" s="95"/>
      <c r="V1313" s="96"/>
      <c r="W1313" s="96"/>
      <c r="X1313" s="97"/>
      <c r="Y1313" s="97"/>
      <c r="Z1313" s="97"/>
      <c r="AA1313" s="4"/>
      <c r="AB1313" s="5"/>
    </row>
    <row r="1314" spans="1:28" x14ac:dyDescent="0.2">
      <c r="A1314" s="4"/>
      <c r="B1314" s="90"/>
      <c r="C1314" s="90"/>
      <c r="D1314" s="90"/>
      <c r="E1314" s="90"/>
      <c r="F1314" s="90"/>
      <c r="G1314" s="90"/>
      <c r="H1314" s="90"/>
      <c r="I1314" s="90"/>
      <c r="J1314" s="90"/>
      <c r="K1314" s="90"/>
      <c r="L1314" s="90"/>
      <c r="M1314" s="90"/>
      <c r="N1314" s="91"/>
      <c r="O1314" s="91"/>
      <c r="P1314" s="91"/>
      <c r="Q1314" s="91"/>
      <c r="R1314" s="91"/>
      <c r="S1314" s="91"/>
      <c r="T1314" s="91"/>
      <c r="U1314" s="91"/>
      <c r="V1314" s="92"/>
      <c r="W1314" s="92"/>
      <c r="X1314" s="93"/>
      <c r="Y1314" s="93"/>
      <c r="Z1314" s="93"/>
      <c r="AA1314" s="4"/>
      <c r="AB1314" s="5"/>
    </row>
    <row r="1315" spans="1:28" x14ac:dyDescent="0.2">
      <c r="A1315" s="4"/>
      <c r="B1315" s="94"/>
      <c r="C1315" s="94"/>
      <c r="D1315" s="94"/>
      <c r="E1315" s="94"/>
      <c r="F1315" s="94"/>
      <c r="G1315" s="94"/>
      <c r="H1315" s="94"/>
      <c r="I1315" s="94"/>
      <c r="J1315" s="94"/>
      <c r="K1315" s="94"/>
      <c r="L1315" s="94"/>
      <c r="M1315" s="94"/>
      <c r="N1315" s="95"/>
      <c r="O1315" s="95"/>
      <c r="P1315" s="95"/>
      <c r="Q1315" s="95"/>
      <c r="R1315" s="95"/>
      <c r="S1315" s="95"/>
      <c r="T1315" s="95"/>
      <c r="U1315" s="95"/>
      <c r="V1315" s="96"/>
      <c r="W1315" s="96"/>
      <c r="X1315" s="97"/>
      <c r="Y1315" s="97"/>
      <c r="Z1315" s="97"/>
      <c r="AA1315" s="4"/>
      <c r="AB1315" s="5"/>
    </row>
    <row r="1316" spans="1:28" x14ac:dyDescent="0.2">
      <c r="A1316" s="4"/>
      <c r="B1316" s="90"/>
      <c r="C1316" s="90"/>
      <c r="D1316" s="90"/>
      <c r="E1316" s="90"/>
      <c r="F1316" s="90"/>
      <c r="G1316" s="90"/>
      <c r="H1316" s="90"/>
      <c r="I1316" s="90"/>
      <c r="J1316" s="90"/>
      <c r="K1316" s="90"/>
      <c r="L1316" s="90"/>
      <c r="M1316" s="90"/>
      <c r="N1316" s="91"/>
      <c r="O1316" s="91"/>
      <c r="P1316" s="91"/>
      <c r="Q1316" s="91"/>
      <c r="R1316" s="91"/>
      <c r="S1316" s="91"/>
      <c r="T1316" s="91"/>
      <c r="U1316" s="91"/>
      <c r="V1316" s="92"/>
      <c r="W1316" s="92"/>
      <c r="X1316" s="93"/>
      <c r="Y1316" s="93"/>
      <c r="Z1316" s="93"/>
      <c r="AA1316" s="4"/>
      <c r="AB1316" s="5"/>
    </row>
    <row r="1317" spans="1:28" x14ac:dyDescent="0.2">
      <c r="A1317" s="4"/>
      <c r="B1317" s="94"/>
      <c r="C1317" s="94"/>
      <c r="D1317" s="94"/>
      <c r="E1317" s="94"/>
      <c r="F1317" s="94"/>
      <c r="G1317" s="94"/>
      <c r="H1317" s="94"/>
      <c r="I1317" s="94"/>
      <c r="J1317" s="94"/>
      <c r="K1317" s="94"/>
      <c r="L1317" s="94"/>
      <c r="M1317" s="94"/>
      <c r="N1317" s="95"/>
      <c r="O1317" s="95"/>
      <c r="P1317" s="95"/>
      <c r="Q1317" s="95"/>
      <c r="R1317" s="95"/>
      <c r="S1317" s="95"/>
      <c r="T1317" s="95"/>
      <c r="U1317" s="95"/>
      <c r="V1317" s="96"/>
      <c r="W1317" s="96"/>
      <c r="X1317" s="97"/>
      <c r="Y1317" s="97"/>
      <c r="Z1317" s="97"/>
      <c r="AA1317" s="4"/>
      <c r="AB1317" s="5"/>
    </row>
    <row r="1318" spans="1:28" x14ac:dyDescent="0.2">
      <c r="A1318" s="4"/>
      <c r="B1318" s="90"/>
      <c r="C1318" s="90"/>
      <c r="D1318" s="90"/>
      <c r="E1318" s="90"/>
      <c r="F1318" s="90"/>
      <c r="G1318" s="90"/>
      <c r="H1318" s="90"/>
      <c r="I1318" s="90"/>
      <c r="J1318" s="90"/>
      <c r="K1318" s="90"/>
      <c r="L1318" s="90"/>
      <c r="M1318" s="90"/>
      <c r="N1318" s="91"/>
      <c r="O1318" s="91"/>
      <c r="P1318" s="91"/>
      <c r="Q1318" s="91"/>
      <c r="R1318" s="91"/>
      <c r="S1318" s="91"/>
      <c r="T1318" s="91"/>
      <c r="U1318" s="91"/>
      <c r="V1318" s="92"/>
      <c r="W1318" s="92"/>
      <c r="X1318" s="93"/>
      <c r="Y1318" s="93"/>
      <c r="Z1318" s="93"/>
      <c r="AA1318" s="4"/>
      <c r="AB1318" s="5"/>
    </row>
    <row r="1319" spans="1:28" x14ac:dyDescent="0.2">
      <c r="A1319" s="4"/>
      <c r="B1319" s="94"/>
      <c r="C1319" s="94"/>
      <c r="D1319" s="94"/>
      <c r="E1319" s="94"/>
      <c r="F1319" s="94"/>
      <c r="G1319" s="94"/>
      <c r="H1319" s="94"/>
      <c r="I1319" s="94"/>
      <c r="J1319" s="94"/>
      <c r="K1319" s="94"/>
      <c r="L1319" s="94"/>
      <c r="M1319" s="94"/>
      <c r="N1319" s="95"/>
      <c r="O1319" s="95"/>
      <c r="P1319" s="95"/>
      <c r="Q1319" s="95"/>
      <c r="R1319" s="95"/>
      <c r="S1319" s="95"/>
      <c r="T1319" s="95"/>
      <c r="U1319" s="95"/>
      <c r="V1319" s="96"/>
      <c r="W1319" s="96"/>
      <c r="X1319" s="97"/>
      <c r="Y1319" s="97"/>
      <c r="Z1319" s="97"/>
      <c r="AA1319" s="4"/>
      <c r="AB1319" s="5"/>
    </row>
    <row r="1320" spans="1:28" x14ac:dyDescent="0.2">
      <c r="A1320" s="4"/>
      <c r="B1320" s="90"/>
      <c r="C1320" s="90"/>
      <c r="D1320" s="90"/>
      <c r="E1320" s="90"/>
      <c r="F1320" s="90"/>
      <c r="G1320" s="90"/>
      <c r="H1320" s="90"/>
      <c r="I1320" s="90"/>
      <c r="J1320" s="90"/>
      <c r="K1320" s="90"/>
      <c r="L1320" s="90"/>
      <c r="M1320" s="90"/>
      <c r="N1320" s="91"/>
      <c r="O1320" s="91"/>
      <c r="P1320" s="91"/>
      <c r="Q1320" s="91"/>
      <c r="R1320" s="91"/>
      <c r="S1320" s="91"/>
      <c r="T1320" s="91"/>
      <c r="U1320" s="91"/>
      <c r="V1320" s="92"/>
      <c r="W1320" s="92"/>
      <c r="X1320" s="93"/>
      <c r="Y1320" s="93"/>
      <c r="Z1320" s="93"/>
      <c r="AA1320" s="4"/>
      <c r="AB1320" s="5"/>
    </row>
    <row r="1321" spans="1:28" x14ac:dyDescent="0.2">
      <c r="A1321" s="4"/>
      <c r="B1321" s="94"/>
      <c r="C1321" s="94"/>
      <c r="D1321" s="94"/>
      <c r="E1321" s="94"/>
      <c r="F1321" s="94"/>
      <c r="G1321" s="94"/>
      <c r="H1321" s="94"/>
      <c r="I1321" s="94"/>
      <c r="J1321" s="94"/>
      <c r="K1321" s="94"/>
      <c r="L1321" s="94"/>
      <c r="M1321" s="94"/>
      <c r="N1321" s="95"/>
      <c r="O1321" s="95"/>
      <c r="P1321" s="95"/>
      <c r="Q1321" s="95"/>
      <c r="R1321" s="95"/>
      <c r="S1321" s="95"/>
      <c r="T1321" s="95"/>
      <c r="U1321" s="95"/>
      <c r="V1321" s="96"/>
      <c r="W1321" s="96"/>
      <c r="X1321" s="97"/>
      <c r="Y1321" s="97"/>
      <c r="Z1321" s="97"/>
      <c r="AA1321" s="4"/>
      <c r="AB1321" s="5"/>
    </row>
    <row r="1322" spans="1:28" x14ac:dyDescent="0.2">
      <c r="A1322" s="4"/>
      <c r="B1322" s="90"/>
      <c r="C1322" s="90"/>
      <c r="D1322" s="90"/>
      <c r="E1322" s="90"/>
      <c r="F1322" s="90"/>
      <c r="G1322" s="90"/>
      <c r="H1322" s="90"/>
      <c r="I1322" s="90"/>
      <c r="J1322" s="90"/>
      <c r="K1322" s="90"/>
      <c r="L1322" s="90"/>
      <c r="M1322" s="90"/>
      <c r="N1322" s="91"/>
      <c r="O1322" s="91"/>
      <c r="P1322" s="91"/>
      <c r="Q1322" s="91"/>
      <c r="R1322" s="91"/>
      <c r="S1322" s="91"/>
      <c r="T1322" s="91"/>
      <c r="U1322" s="91"/>
      <c r="V1322" s="92"/>
      <c r="W1322" s="92"/>
      <c r="X1322" s="93"/>
      <c r="Y1322" s="93"/>
      <c r="Z1322" s="93"/>
      <c r="AA1322" s="4"/>
      <c r="AB1322" s="5"/>
    </row>
    <row r="1323" spans="1:28" x14ac:dyDescent="0.2">
      <c r="A1323" s="4"/>
      <c r="B1323" s="94"/>
      <c r="C1323" s="94"/>
      <c r="D1323" s="94"/>
      <c r="E1323" s="94"/>
      <c r="F1323" s="94"/>
      <c r="G1323" s="94"/>
      <c r="H1323" s="94"/>
      <c r="I1323" s="94"/>
      <c r="J1323" s="94"/>
      <c r="K1323" s="94"/>
      <c r="L1323" s="94"/>
      <c r="M1323" s="94"/>
      <c r="N1323" s="95"/>
      <c r="O1323" s="95"/>
      <c r="P1323" s="95"/>
      <c r="Q1323" s="95"/>
      <c r="R1323" s="95"/>
      <c r="S1323" s="95"/>
      <c r="T1323" s="95"/>
      <c r="U1323" s="95"/>
      <c r="V1323" s="96"/>
      <c r="W1323" s="96"/>
      <c r="X1323" s="97"/>
      <c r="Y1323" s="97"/>
      <c r="Z1323" s="97"/>
      <c r="AA1323" s="4"/>
      <c r="AB1323" s="5"/>
    </row>
    <row r="1324" spans="1:28" x14ac:dyDescent="0.2">
      <c r="A1324" s="4"/>
      <c r="B1324" s="90"/>
      <c r="C1324" s="90"/>
      <c r="D1324" s="90"/>
      <c r="E1324" s="90"/>
      <c r="F1324" s="90"/>
      <c r="G1324" s="90"/>
      <c r="H1324" s="90"/>
      <c r="I1324" s="90"/>
      <c r="J1324" s="90"/>
      <c r="K1324" s="90"/>
      <c r="L1324" s="90"/>
      <c r="M1324" s="90"/>
      <c r="N1324" s="91"/>
      <c r="O1324" s="91"/>
      <c r="P1324" s="91"/>
      <c r="Q1324" s="91"/>
      <c r="R1324" s="91"/>
      <c r="S1324" s="91"/>
      <c r="T1324" s="91"/>
      <c r="U1324" s="91"/>
      <c r="V1324" s="92"/>
      <c r="W1324" s="92"/>
      <c r="X1324" s="93"/>
      <c r="Y1324" s="93"/>
      <c r="Z1324" s="93"/>
      <c r="AA1324" s="4"/>
      <c r="AB1324" s="5"/>
    </row>
    <row r="1325" spans="1:28" x14ac:dyDescent="0.2">
      <c r="A1325" s="4"/>
      <c r="B1325" s="94"/>
      <c r="C1325" s="94"/>
      <c r="D1325" s="94"/>
      <c r="E1325" s="94"/>
      <c r="F1325" s="94"/>
      <c r="G1325" s="94"/>
      <c r="H1325" s="94"/>
      <c r="I1325" s="94"/>
      <c r="J1325" s="94"/>
      <c r="K1325" s="94"/>
      <c r="L1325" s="94"/>
      <c r="M1325" s="94"/>
      <c r="N1325" s="95"/>
      <c r="O1325" s="95"/>
      <c r="P1325" s="95"/>
      <c r="Q1325" s="95"/>
      <c r="R1325" s="95"/>
      <c r="S1325" s="95"/>
      <c r="T1325" s="95"/>
      <c r="U1325" s="95"/>
      <c r="V1325" s="96"/>
      <c r="W1325" s="96"/>
      <c r="X1325" s="97"/>
      <c r="Y1325" s="97"/>
      <c r="Z1325" s="97"/>
      <c r="AA1325" s="4"/>
      <c r="AB1325" s="5"/>
    </row>
    <row r="1326" spans="1:28" x14ac:dyDescent="0.2">
      <c r="A1326" s="4"/>
      <c r="B1326" s="90"/>
      <c r="C1326" s="90"/>
      <c r="D1326" s="90"/>
      <c r="E1326" s="90"/>
      <c r="F1326" s="90"/>
      <c r="G1326" s="90"/>
      <c r="H1326" s="90"/>
      <c r="I1326" s="90"/>
      <c r="J1326" s="90"/>
      <c r="K1326" s="90"/>
      <c r="L1326" s="90"/>
      <c r="M1326" s="90"/>
      <c r="N1326" s="91"/>
      <c r="O1326" s="91"/>
      <c r="P1326" s="91"/>
      <c r="Q1326" s="91"/>
      <c r="R1326" s="91"/>
      <c r="S1326" s="91"/>
      <c r="T1326" s="91"/>
      <c r="U1326" s="91"/>
      <c r="V1326" s="92"/>
      <c r="W1326" s="92"/>
      <c r="X1326" s="93"/>
      <c r="Y1326" s="93"/>
      <c r="Z1326" s="93"/>
      <c r="AA1326" s="4"/>
      <c r="AB1326" s="5"/>
    </row>
    <row r="1327" spans="1:28" x14ac:dyDescent="0.2">
      <c r="A1327" s="4"/>
      <c r="B1327" s="94"/>
      <c r="C1327" s="94"/>
      <c r="D1327" s="94"/>
      <c r="E1327" s="94"/>
      <c r="F1327" s="94"/>
      <c r="G1327" s="94"/>
      <c r="H1327" s="94"/>
      <c r="I1327" s="94"/>
      <c r="J1327" s="94"/>
      <c r="K1327" s="94"/>
      <c r="L1327" s="94"/>
      <c r="M1327" s="94"/>
      <c r="N1327" s="95"/>
      <c r="O1327" s="95"/>
      <c r="P1327" s="95"/>
      <c r="Q1327" s="95"/>
      <c r="R1327" s="95"/>
      <c r="S1327" s="95"/>
      <c r="T1327" s="95"/>
      <c r="U1327" s="95"/>
      <c r="V1327" s="96"/>
      <c r="W1327" s="96"/>
      <c r="X1327" s="97"/>
      <c r="Y1327" s="97"/>
      <c r="Z1327" s="97"/>
      <c r="AA1327" s="4"/>
      <c r="AB1327" s="5"/>
    </row>
    <row r="1328" spans="1:28" x14ac:dyDescent="0.2">
      <c r="A1328" s="4"/>
      <c r="B1328" s="90"/>
      <c r="C1328" s="90"/>
      <c r="D1328" s="90"/>
      <c r="E1328" s="90"/>
      <c r="F1328" s="90"/>
      <c r="G1328" s="90"/>
      <c r="H1328" s="90"/>
      <c r="I1328" s="90"/>
      <c r="J1328" s="90"/>
      <c r="K1328" s="90"/>
      <c r="L1328" s="90"/>
      <c r="M1328" s="90"/>
      <c r="N1328" s="91"/>
      <c r="O1328" s="91"/>
      <c r="P1328" s="91"/>
      <c r="Q1328" s="91"/>
      <c r="R1328" s="91"/>
      <c r="S1328" s="91"/>
      <c r="T1328" s="91"/>
      <c r="U1328" s="91"/>
      <c r="V1328" s="92"/>
      <c r="W1328" s="92"/>
      <c r="X1328" s="93"/>
      <c r="Y1328" s="93"/>
      <c r="Z1328" s="93"/>
      <c r="AA1328" s="4"/>
      <c r="AB1328" s="5"/>
    </row>
    <row r="1329" spans="1:28" x14ac:dyDescent="0.2">
      <c r="A1329" s="4"/>
      <c r="B1329" s="94"/>
      <c r="C1329" s="94"/>
      <c r="D1329" s="94"/>
      <c r="E1329" s="94"/>
      <c r="F1329" s="94"/>
      <c r="G1329" s="94"/>
      <c r="H1329" s="94"/>
      <c r="I1329" s="94"/>
      <c r="J1329" s="94"/>
      <c r="K1329" s="94"/>
      <c r="L1329" s="94"/>
      <c r="M1329" s="94"/>
      <c r="N1329" s="95"/>
      <c r="O1329" s="95"/>
      <c r="P1329" s="95"/>
      <c r="Q1329" s="95"/>
      <c r="R1329" s="95"/>
      <c r="S1329" s="95"/>
      <c r="T1329" s="95"/>
      <c r="U1329" s="95"/>
      <c r="V1329" s="96"/>
      <c r="W1329" s="96"/>
      <c r="X1329" s="97"/>
      <c r="Y1329" s="97"/>
      <c r="Z1329" s="97"/>
      <c r="AA1329" s="4"/>
      <c r="AB1329" s="5"/>
    </row>
    <row r="1330" spans="1:28" x14ac:dyDescent="0.2">
      <c r="A1330" s="4"/>
      <c r="B1330" s="90"/>
      <c r="C1330" s="90"/>
      <c r="D1330" s="90"/>
      <c r="E1330" s="90"/>
      <c r="F1330" s="90"/>
      <c r="G1330" s="90"/>
      <c r="H1330" s="90"/>
      <c r="I1330" s="90"/>
      <c r="J1330" s="90"/>
      <c r="K1330" s="90"/>
      <c r="L1330" s="90"/>
      <c r="M1330" s="90"/>
      <c r="N1330" s="91"/>
      <c r="O1330" s="91"/>
      <c r="P1330" s="91"/>
      <c r="Q1330" s="91"/>
      <c r="R1330" s="91"/>
      <c r="S1330" s="91"/>
      <c r="T1330" s="91"/>
      <c r="U1330" s="91"/>
      <c r="V1330" s="92"/>
      <c r="W1330" s="92"/>
      <c r="X1330" s="93"/>
      <c r="Y1330" s="93"/>
      <c r="Z1330" s="93"/>
      <c r="AA1330" s="4"/>
      <c r="AB1330" s="5"/>
    </row>
    <row r="1331" spans="1:28" x14ac:dyDescent="0.2">
      <c r="A1331" s="4"/>
      <c r="B1331" s="94"/>
      <c r="C1331" s="94"/>
      <c r="D1331" s="94"/>
      <c r="E1331" s="94"/>
      <c r="F1331" s="94"/>
      <c r="G1331" s="94"/>
      <c r="H1331" s="94"/>
      <c r="I1331" s="94"/>
      <c r="J1331" s="94"/>
      <c r="K1331" s="94"/>
      <c r="L1331" s="94"/>
      <c r="M1331" s="94"/>
      <c r="N1331" s="95"/>
      <c r="O1331" s="95"/>
      <c r="P1331" s="95"/>
      <c r="Q1331" s="95"/>
      <c r="R1331" s="95"/>
      <c r="S1331" s="95"/>
      <c r="T1331" s="95"/>
      <c r="U1331" s="95"/>
      <c r="V1331" s="96"/>
      <c r="W1331" s="96"/>
      <c r="X1331" s="97"/>
      <c r="Y1331" s="97"/>
      <c r="Z1331" s="97"/>
      <c r="AA1331" s="4"/>
      <c r="AB1331" s="5"/>
    </row>
    <row r="1332" spans="1:28" x14ac:dyDescent="0.2">
      <c r="A1332" s="4"/>
      <c r="B1332" s="90"/>
      <c r="C1332" s="90"/>
      <c r="D1332" s="90"/>
      <c r="E1332" s="90"/>
      <c r="F1332" s="90"/>
      <c r="G1332" s="90"/>
      <c r="H1332" s="90"/>
      <c r="I1332" s="90"/>
      <c r="J1332" s="90"/>
      <c r="K1332" s="90"/>
      <c r="L1332" s="90"/>
      <c r="M1332" s="90"/>
      <c r="N1332" s="91"/>
      <c r="O1332" s="91"/>
      <c r="P1332" s="91"/>
      <c r="Q1332" s="91"/>
      <c r="R1332" s="91"/>
      <c r="S1332" s="91"/>
      <c r="T1332" s="91"/>
      <c r="U1332" s="91"/>
      <c r="V1332" s="92"/>
      <c r="W1332" s="92"/>
      <c r="X1332" s="93"/>
      <c r="Y1332" s="93"/>
      <c r="Z1332" s="93"/>
      <c r="AA1332" s="4"/>
      <c r="AB1332" s="5"/>
    </row>
    <row r="1333" spans="1:28" x14ac:dyDescent="0.2">
      <c r="A1333" s="4"/>
      <c r="B1333" s="94"/>
      <c r="C1333" s="94"/>
      <c r="D1333" s="94"/>
      <c r="E1333" s="94"/>
      <c r="F1333" s="94"/>
      <c r="G1333" s="94"/>
      <c r="H1333" s="94"/>
      <c r="I1333" s="94"/>
      <c r="J1333" s="94"/>
      <c r="K1333" s="94"/>
      <c r="L1333" s="94"/>
      <c r="M1333" s="94"/>
      <c r="N1333" s="95"/>
      <c r="O1333" s="95"/>
      <c r="P1333" s="95"/>
      <c r="Q1333" s="95"/>
      <c r="R1333" s="95"/>
      <c r="S1333" s="95"/>
      <c r="T1333" s="95"/>
      <c r="U1333" s="95"/>
      <c r="V1333" s="96"/>
      <c r="W1333" s="96"/>
      <c r="X1333" s="97"/>
      <c r="Y1333" s="97"/>
      <c r="Z1333" s="97"/>
      <c r="AA1333" s="4"/>
      <c r="AB1333" s="5"/>
    </row>
    <row r="1334" spans="1:28" x14ac:dyDescent="0.2">
      <c r="A1334" s="4"/>
      <c r="B1334" s="90"/>
      <c r="C1334" s="90"/>
      <c r="D1334" s="90"/>
      <c r="E1334" s="90"/>
      <c r="F1334" s="90"/>
      <c r="G1334" s="90"/>
      <c r="H1334" s="90"/>
      <c r="I1334" s="90"/>
      <c r="J1334" s="90"/>
      <c r="K1334" s="90"/>
      <c r="L1334" s="90"/>
      <c r="M1334" s="90"/>
      <c r="N1334" s="91"/>
      <c r="O1334" s="91"/>
      <c r="P1334" s="91"/>
      <c r="Q1334" s="91"/>
      <c r="R1334" s="91"/>
      <c r="S1334" s="91"/>
      <c r="T1334" s="91"/>
      <c r="U1334" s="91"/>
      <c r="V1334" s="92"/>
      <c r="W1334" s="92"/>
      <c r="X1334" s="93"/>
      <c r="Y1334" s="93"/>
      <c r="Z1334" s="93"/>
      <c r="AA1334" s="4"/>
      <c r="AB1334" s="5"/>
    </row>
    <row r="1335" spans="1:28" x14ac:dyDescent="0.2">
      <c r="A1335" s="4"/>
      <c r="B1335" s="94"/>
      <c r="C1335" s="94"/>
      <c r="D1335" s="94"/>
      <c r="E1335" s="94"/>
      <c r="F1335" s="94"/>
      <c r="G1335" s="94"/>
      <c r="H1335" s="94"/>
      <c r="I1335" s="94"/>
      <c r="J1335" s="94"/>
      <c r="K1335" s="94"/>
      <c r="L1335" s="94"/>
      <c r="M1335" s="94"/>
      <c r="N1335" s="95"/>
      <c r="O1335" s="95"/>
      <c r="P1335" s="95"/>
      <c r="Q1335" s="95"/>
      <c r="R1335" s="95"/>
      <c r="S1335" s="95"/>
      <c r="T1335" s="95"/>
      <c r="U1335" s="95"/>
      <c r="V1335" s="96"/>
      <c r="W1335" s="96"/>
      <c r="X1335" s="97"/>
      <c r="Y1335" s="97"/>
      <c r="Z1335" s="97"/>
      <c r="AA1335" s="4"/>
      <c r="AB1335" s="5"/>
    </row>
    <row r="1336" spans="1:28" x14ac:dyDescent="0.2">
      <c r="A1336" s="4"/>
      <c r="B1336" s="90"/>
      <c r="C1336" s="90"/>
      <c r="D1336" s="90"/>
      <c r="E1336" s="90"/>
      <c r="F1336" s="90"/>
      <c r="G1336" s="90"/>
      <c r="H1336" s="90"/>
      <c r="I1336" s="90"/>
      <c r="J1336" s="90"/>
      <c r="K1336" s="90"/>
      <c r="L1336" s="90"/>
      <c r="M1336" s="90"/>
      <c r="N1336" s="91"/>
      <c r="O1336" s="91"/>
      <c r="P1336" s="91"/>
      <c r="Q1336" s="91"/>
      <c r="R1336" s="91"/>
      <c r="S1336" s="91"/>
      <c r="T1336" s="91"/>
      <c r="U1336" s="91"/>
      <c r="V1336" s="92"/>
      <c r="W1336" s="92"/>
      <c r="X1336" s="93"/>
      <c r="Y1336" s="93"/>
      <c r="Z1336" s="93"/>
      <c r="AA1336" s="4"/>
      <c r="AB1336" s="5"/>
    </row>
    <row r="1337" spans="1:28" x14ac:dyDescent="0.2">
      <c r="A1337" s="4"/>
      <c r="B1337" s="94"/>
      <c r="C1337" s="94"/>
      <c r="D1337" s="94"/>
      <c r="E1337" s="94"/>
      <c r="F1337" s="94"/>
      <c r="G1337" s="94"/>
      <c r="H1337" s="94"/>
      <c r="I1337" s="94"/>
      <c r="J1337" s="94"/>
      <c r="K1337" s="94"/>
      <c r="L1337" s="94"/>
      <c r="M1337" s="94"/>
      <c r="N1337" s="95"/>
      <c r="O1337" s="95"/>
      <c r="P1337" s="95"/>
      <c r="Q1337" s="95"/>
      <c r="R1337" s="95"/>
      <c r="S1337" s="95"/>
      <c r="T1337" s="95"/>
      <c r="U1337" s="95"/>
      <c r="V1337" s="96"/>
      <c r="W1337" s="96"/>
      <c r="X1337" s="97"/>
      <c r="Y1337" s="97"/>
      <c r="Z1337" s="97"/>
      <c r="AA1337" s="4"/>
      <c r="AB1337" s="5"/>
    </row>
    <row r="1338" spans="1:28" x14ac:dyDescent="0.2">
      <c r="A1338" s="4"/>
      <c r="B1338" s="90"/>
      <c r="C1338" s="90"/>
      <c r="D1338" s="90"/>
      <c r="E1338" s="90"/>
      <c r="F1338" s="90"/>
      <c r="G1338" s="90"/>
      <c r="H1338" s="90"/>
      <c r="I1338" s="90"/>
      <c r="J1338" s="90"/>
      <c r="K1338" s="90"/>
      <c r="L1338" s="90"/>
      <c r="M1338" s="90"/>
      <c r="N1338" s="91"/>
      <c r="O1338" s="91"/>
      <c r="P1338" s="91"/>
      <c r="Q1338" s="91"/>
      <c r="R1338" s="91"/>
      <c r="S1338" s="91"/>
      <c r="T1338" s="91"/>
      <c r="U1338" s="91"/>
      <c r="V1338" s="92"/>
      <c r="W1338" s="92"/>
      <c r="X1338" s="93"/>
      <c r="Y1338" s="93"/>
      <c r="Z1338" s="93"/>
      <c r="AA1338" s="4"/>
      <c r="AB1338" s="5"/>
    </row>
    <row r="1339" spans="1:28" x14ac:dyDescent="0.2">
      <c r="A1339" s="4"/>
      <c r="B1339" s="94"/>
      <c r="C1339" s="94"/>
      <c r="D1339" s="94"/>
      <c r="E1339" s="94"/>
      <c r="F1339" s="94"/>
      <c r="G1339" s="94"/>
      <c r="H1339" s="94"/>
      <c r="I1339" s="94"/>
      <c r="J1339" s="94"/>
      <c r="K1339" s="94"/>
      <c r="L1339" s="94"/>
      <c r="M1339" s="94"/>
      <c r="N1339" s="95"/>
      <c r="O1339" s="95"/>
      <c r="P1339" s="95"/>
      <c r="Q1339" s="95"/>
      <c r="R1339" s="95"/>
      <c r="S1339" s="95"/>
      <c r="T1339" s="95"/>
      <c r="U1339" s="95"/>
      <c r="V1339" s="96"/>
      <c r="W1339" s="96"/>
      <c r="X1339" s="97"/>
      <c r="Y1339" s="97"/>
      <c r="Z1339" s="97"/>
      <c r="AA1339" s="4"/>
      <c r="AB1339" s="5"/>
    </row>
    <row r="1340" spans="1:28" x14ac:dyDescent="0.2">
      <c r="A1340" s="4"/>
      <c r="B1340" s="90"/>
      <c r="C1340" s="90"/>
      <c r="D1340" s="90"/>
      <c r="E1340" s="90"/>
      <c r="F1340" s="90"/>
      <c r="G1340" s="90"/>
      <c r="H1340" s="90"/>
      <c r="I1340" s="90"/>
      <c r="J1340" s="90"/>
      <c r="K1340" s="90"/>
      <c r="L1340" s="90"/>
      <c r="M1340" s="90"/>
      <c r="N1340" s="91"/>
      <c r="O1340" s="91"/>
      <c r="P1340" s="91"/>
      <c r="Q1340" s="91"/>
      <c r="R1340" s="91"/>
      <c r="S1340" s="91"/>
      <c r="T1340" s="91"/>
      <c r="U1340" s="91"/>
      <c r="V1340" s="92"/>
      <c r="W1340" s="92"/>
      <c r="X1340" s="93"/>
      <c r="Y1340" s="93"/>
      <c r="Z1340" s="93"/>
      <c r="AA1340" s="4"/>
      <c r="AB1340" s="5"/>
    </row>
    <row r="1341" spans="1:28" x14ac:dyDescent="0.2">
      <c r="A1341" s="4"/>
      <c r="B1341" s="94"/>
      <c r="C1341" s="94"/>
      <c r="D1341" s="94"/>
      <c r="E1341" s="94"/>
      <c r="F1341" s="94"/>
      <c r="G1341" s="94"/>
      <c r="H1341" s="94"/>
      <c r="I1341" s="94"/>
      <c r="J1341" s="94"/>
      <c r="K1341" s="94"/>
      <c r="L1341" s="94"/>
      <c r="M1341" s="94"/>
      <c r="N1341" s="95"/>
      <c r="O1341" s="95"/>
      <c r="P1341" s="95"/>
      <c r="Q1341" s="95"/>
      <c r="R1341" s="95"/>
      <c r="S1341" s="95"/>
      <c r="T1341" s="95"/>
      <c r="U1341" s="95"/>
      <c r="V1341" s="96"/>
      <c r="W1341" s="96"/>
      <c r="X1341" s="97"/>
      <c r="Y1341" s="97"/>
      <c r="Z1341" s="97"/>
      <c r="AA1341" s="4"/>
      <c r="AB1341" s="5"/>
    </row>
    <row r="1342" spans="1:28" x14ac:dyDescent="0.2">
      <c r="A1342" s="4"/>
      <c r="B1342" s="90"/>
      <c r="C1342" s="90"/>
      <c r="D1342" s="90"/>
      <c r="E1342" s="90"/>
      <c r="F1342" s="90"/>
      <c r="G1342" s="90"/>
      <c r="H1342" s="90"/>
      <c r="I1342" s="90"/>
      <c r="J1342" s="90"/>
      <c r="K1342" s="90"/>
      <c r="L1342" s="90"/>
      <c r="M1342" s="90"/>
      <c r="N1342" s="91"/>
      <c r="O1342" s="91"/>
      <c r="P1342" s="91"/>
      <c r="Q1342" s="91"/>
      <c r="R1342" s="91"/>
      <c r="S1342" s="91"/>
      <c r="T1342" s="91"/>
      <c r="U1342" s="91"/>
      <c r="V1342" s="92"/>
      <c r="W1342" s="92"/>
      <c r="X1342" s="93"/>
      <c r="Y1342" s="93"/>
      <c r="Z1342" s="93"/>
      <c r="AA1342" s="4"/>
      <c r="AB1342" s="5"/>
    </row>
    <row r="1343" spans="1:28" x14ac:dyDescent="0.2">
      <c r="A1343" s="4"/>
      <c r="B1343" s="94"/>
      <c r="C1343" s="94"/>
      <c r="D1343" s="94"/>
      <c r="E1343" s="94"/>
      <c r="F1343" s="94"/>
      <c r="G1343" s="94"/>
      <c r="H1343" s="94"/>
      <c r="I1343" s="94"/>
      <c r="J1343" s="94"/>
      <c r="K1343" s="94"/>
      <c r="L1343" s="94"/>
      <c r="M1343" s="94"/>
      <c r="N1343" s="95"/>
      <c r="O1343" s="95"/>
      <c r="P1343" s="95"/>
      <c r="Q1343" s="95"/>
      <c r="R1343" s="95"/>
      <c r="S1343" s="95"/>
      <c r="T1343" s="95"/>
      <c r="U1343" s="95"/>
      <c r="V1343" s="96"/>
      <c r="W1343" s="96"/>
      <c r="X1343" s="97"/>
      <c r="Y1343" s="97"/>
      <c r="Z1343" s="97"/>
      <c r="AA1343" s="4"/>
      <c r="AB1343" s="5"/>
    </row>
    <row r="1344" spans="1:28" x14ac:dyDescent="0.2">
      <c r="A1344" s="4"/>
      <c r="B1344" s="90"/>
      <c r="C1344" s="90"/>
      <c r="D1344" s="90"/>
      <c r="E1344" s="90"/>
      <c r="F1344" s="90"/>
      <c r="G1344" s="90"/>
      <c r="H1344" s="90"/>
      <c r="I1344" s="90"/>
      <c r="J1344" s="90"/>
      <c r="K1344" s="90"/>
      <c r="L1344" s="90"/>
      <c r="M1344" s="90"/>
      <c r="N1344" s="91"/>
      <c r="O1344" s="91"/>
      <c r="P1344" s="91"/>
      <c r="Q1344" s="91"/>
      <c r="R1344" s="91"/>
      <c r="S1344" s="91"/>
      <c r="T1344" s="91"/>
      <c r="U1344" s="91"/>
      <c r="V1344" s="92"/>
      <c r="W1344" s="92"/>
      <c r="X1344" s="93"/>
      <c r="Y1344" s="93"/>
      <c r="Z1344" s="93"/>
      <c r="AA1344" s="4"/>
      <c r="AB1344" s="5"/>
    </row>
    <row r="1345" spans="1:28" x14ac:dyDescent="0.2">
      <c r="A1345" s="4"/>
      <c r="B1345" s="94"/>
      <c r="C1345" s="94"/>
      <c r="D1345" s="94"/>
      <c r="E1345" s="94"/>
      <c r="F1345" s="94"/>
      <c r="G1345" s="94"/>
      <c r="H1345" s="94"/>
      <c r="I1345" s="94"/>
      <c r="J1345" s="94"/>
      <c r="K1345" s="94"/>
      <c r="L1345" s="94"/>
      <c r="M1345" s="94"/>
      <c r="N1345" s="95"/>
      <c r="O1345" s="95"/>
      <c r="P1345" s="95"/>
      <c r="Q1345" s="95"/>
      <c r="R1345" s="95"/>
      <c r="S1345" s="95"/>
      <c r="T1345" s="95"/>
      <c r="U1345" s="95"/>
      <c r="V1345" s="96"/>
      <c r="W1345" s="96"/>
      <c r="X1345" s="97"/>
      <c r="Y1345" s="97"/>
      <c r="Z1345" s="97"/>
      <c r="AA1345" s="4"/>
      <c r="AB1345" s="5"/>
    </row>
    <row r="1346" spans="1:28" x14ac:dyDescent="0.2">
      <c r="A1346" s="4"/>
      <c r="B1346" s="90"/>
      <c r="C1346" s="90"/>
      <c r="D1346" s="90"/>
      <c r="E1346" s="90"/>
      <c r="F1346" s="90"/>
      <c r="G1346" s="90"/>
      <c r="H1346" s="90"/>
      <c r="I1346" s="90"/>
      <c r="J1346" s="90"/>
      <c r="K1346" s="90"/>
      <c r="L1346" s="90"/>
      <c r="M1346" s="90"/>
      <c r="N1346" s="91"/>
      <c r="O1346" s="91"/>
      <c r="P1346" s="91"/>
      <c r="Q1346" s="91"/>
      <c r="R1346" s="91"/>
      <c r="S1346" s="91"/>
      <c r="T1346" s="91"/>
      <c r="U1346" s="91"/>
      <c r="V1346" s="92"/>
      <c r="W1346" s="92"/>
      <c r="X1346" s="93"/>
      <c r="Y1346" s="93"/>
      <c r="Z1346" s="93"/>
      <c r="AA1346" s="4"/>
      <c r="AB1346" s="5"/>
    </row>
    <row r="1347" spans="1:28" x14ac:dyDescent="0.2">
      <c r="A1347" s="4"/>
      <c r="B1347" s="94"/>
      <c r="C1347" s="94"/>
      <c r="D1347" s="94"/>
      <c r="E1347" s="94"/>
      <c r="F1347" s="94"/>
      <c r="G1347" s="94"/>
      <c r="H1347" s="94"/>
      <c r="I1347" s="94"/>
      <c r="J1347" s="94"/>
      <c r="K1347" s="94"/>
      <c r="L1347" s="94"/>
      <c r="M1347" s="94"/>
      <c r="N1347" s="95"/>
      <c r="O1347" s="95"/>
      <c r="P1347" s="95"/>
      <c r="Q1347" s="95"/>
      <c r="R1347" s="95"/>
      <c r="S1347" s="95"/>
      <c r="T1347" s="95"/>
      <c r="U1347" s="95"/>
      <c r="V1347" s="96"/>
      <c r="W1347" s="96"/>
      <c r="X1347" s="97"/>
      <c r="Y1347" s="97"/>
      <c r="Z1347" s="97"/>
      <c r="AA1347" s="4"/>
      <c r="AB1347" s="5"/>
    </row>
    <row r="1348" spans="1:28" x14ac:dyDescent="0.2">
      <c r="A1348" s="4"/>
      <c r="B1348" s="90"/>
      <c r="C1348" s="90"/>
      <c r="D1348" s="90"/>
      <c r="E1348" s="90"/>
      <c r="F1348" s="90"/>
      <c r="G1348" s="90"/>
      <c r="H1348" s="90"/>
      <c r="I1348" s="90"/>
      <c r="J1348" s="90"/>
      <c r="K1348" s="90"/>
      <c r="L1348" s="90"/>
      <c r="M1348" s="90"/>
      <c r="N1348" s="91"/>
      <c r="O1348" s="91"/>
      <c r="P1348" s="91"/>
      <c r="Q1348" s="91"/>
      <c r="R1348" s="91"/>
      <c r="S1348" s="91"/>
      <c r="T1348" s="91"/>
      <c r="U1348" s="91"/>
      <c r="V1348" s="92"/>
      <c r="W1348" s="92"/>
      <c r="X1348" s="93"/>
      <c r="Y1348" s="93"/>
      <c r="Z1348" s="93"/>
      <c r="AA1348" s="4"/>
      <c r="AB1348" s="5"/>
    </row>
    <row r="1349" spans="1:28" x14ac:dyDescent="0.2">
      <c r="A1349" s="4"/>
      <c r="B1349" s="94"/>
      <c r="C1349" s="94"/>
      <c r="D1349" s="94"/>
      <c r="E1349" s="94"/>
      <c r="F1349" s="94"/>
      <c r="G1349" s="94"/>
      <c r="H1349" s="94"/>
      <c r="I1349" s="94"/>
      <c r="J1349" s="94"/>
      <c r="K1349" s="94"/>
      <c r="L1349" s="94"/>
      <c r="M1349" s="94"/>
      <c r="N1349" s="95"/>
      <c r="O1349" s="95"/>
      <c r="P1349" s="95"/>
      <c r="Q1349" s="95"/>
      <c r="R1349" s="95"/>
      <c r="S1349" s="95"/>
      <c r="T1349" s="95"/>
      <c r="U1349" s="95"/>
      <c r="V1349" s="96"/>
      <c r="W1349" s="96"/>
      <c r="X1349" s="97"/>
      <c r="Y1349" s="97"/>
      <c r="Z1349" s="97"/>
      <c r="AA1349" s="4"/>
      <c r="AB1349" s="5"/>
    </row>
    <row r="1350" spans="1:28" x14ac:dyDescent="0.2">
      <c r="A1350" s="4"/>
      <c r="B1350" s="90"/>
      <c r="C1350" s="90"/>
      <c r="D1350" s="90"/>
      <c r="E1350" s="90"/>
      <c r="F1350" s="90"/>
      <c r="G1350" s="90"/>
      <c r="H1350" s="90"/>
      <c r="I1350" s="90"/>
      <c r="J1350" s="90"/>
      <c r="K1350" s="90"/>
      <c r="L1350" s="90"/>
      <c r="M1350" s="90"/>
      <c r="N1350" s="91"/>
      <c r="O1350" s="91"/>
      <c r="P1350" s="91"/>
      <c r="Q1350" s="91"/>
      <c r="R1350" s="91"/>
      <c r="S1350" s="91"/>
      <c r="T1350" s="91"/>
      <c r="U1350" s="91"/>
      <c r="V1350" s="92"/>
      <c r="W1350" s="92"/>
      <c r="X1350" s="93"/>
      <c r="Y1350" s="93"/>
      <c r="Z1350" s="93"/>
      <c r="AA1350" s="4"/>
      <c r="AB1350" s="5"/>
    </row>
    <row r="1351" spans="1:28" x14ac:dyDescent="0.2">
      <c r="A1351" s="4"/>
      <c r="B1351" s="94"/>
      <c r="C1351" s="94"/>
      <c r="D1351" s="94"/>
      <c r="E1351" s="94"/>
      <c r="F1351" s="94"/>
      <c r="G1351" s="94"/>
      <c r="H1351" s="94"/>
      <c r="I1351" s="94"/>
      <c r="J1351" s="94"/>
      <c r="K1351" s="94"/>
      <c r="L1351" s="94"/>
      <c r="M1351" s="94"/>
      <c r="N1351" s="95"/>
      <c r="O1351" s="95"/>
      <c r="P1351" s="95"/>
      <c r="Q1351" s="95"/>
      <c r="R1351" s="95"/>
      <c r="S1351" s="95"/>
      <c r="T1351" s="95"/>
      <c r="U1351" s="95"/>
      <c r="V1351" s="96"/>
      <c r="W1351" s="96"/>
      <c r="X1351" s="97"/>
      <c r="Y1351" s="97"/>
      <c r="Z1351" s="97"/>
      <c r="AA1351" s="4"/>
      <c r="AB1351" s="5"/>
    </row>
    <row r="1352" spans="1:28" x14ac:dyDescent="0.2">
      <c r="A1352" s="4"/>
      <c r="B1352" s="90"/>
      <c r="C1352" s="90"/>
      <c r="D1352" s="90"/>
      <c r="E1352" s="90"/>
      <c r="F1352" s="90"/>
      <c r="G1352" s="90"/>
      <c r="H1352" s="90"/>
      <c r="I1352" s="90"/>
      <c r="J1352" s="90"/>
      <c r="K1352" s="90"/>
      <c r="L1352" s="90"/>
      <c r="M1352" s="90"/>
      <c r="N1352" s="91"/>
      <c r="O1352" s="91"/>
      <c r="P1352" s="91"/>
      <c r="Q1352" s="91"/>
      <c r="R1352" s="91"/>
      <c r="S1352" s="91"/>
      <c r="T1352" s="91"/>
      <c r="U1352" s="91"/>
      <c r="V1352" s="92"/>
      <c r="W1352" s="92"/>
      <c r="X1352" s="93"/>
      <c r="Y1352" s="93"/>
      <c r="Z1352" s="93"/>
      <c r="AA1352" s="4"/>
      <c r="AB1352" s="5"/>
    </row>
    <row r="1353" spans="1:28" x14ac:dyDescent="0.2">
      <c r="A1353" s="4"/>
      <c r="B1353" s="94"/>
      <c r="C1353" s="94"/>
      <c r="D1353" s="94"/>
      <c r="E1353" s="94"/>
      <c r="F1353" s="94"/>
      <c r="G1353" s="94"/>
      <c r="H1353" s="94"/>
      <c r="I1353" s="94"/>
      <c r="J1353" s="94"/>
      <c r="K1353" s="94"/>
      <c r="L1353" s="94"/>
      <c r="M1353" s="94"/>
      <c r="N1353" s="95"/>
      <c r="O1353" s="95"/>
      <c r="P1353" s="95"/>
      <c r="Q1353" s="95"/>
      <c r="R1353" s="95"/>
      <c r="S1353" s="95"/>
      <c r="T1353" s="95"/>
      <c r="U1353" s="95"/>
      <c r="V1353" s="96"/>
      <c r="W1353" s="96"/>
      <c r="X1353" s="97"/>
      <c r="Y1353" s="97"/>
      <c r="Z1353" s="97"/>
      <c r="AA1353" s="4"/>
      <c r="AB1353" s="5"/>
    </row>
    <row r="1354" spans="1:28" x14ac:dyDescent="0.2">
      <c r="A1354" s="4"/>
      <c r="B1354" s="90"/>
      <c r="C1354" s="90"/>
      <c r="D1354" s="90"/>
      <c r="E1354" s="90"/>
      <c r="F1354" s="90"/>
      <c r="G1354" s="90"/>
      <c r="H1354" s="90"/>
      <c r="I1354" s="90"/>
      <c r="J1354" s="90"/>
      <c r="K1354" s="90"/>
      <c r="L1354" s="90"/>
      <c r="M1354" s="90"/>
      <c r="N1354" s="91"/>
      <c r="O1354" s="91"/>
      <c r="P1354" s="91"/>
      <c r="Q1354" s="91"/>
      <c r="R1354" s="91"/>
      <c r="S1354" s="91"/>
      <c r="T1354" s="91"/>
      <c r="U1354" s="91"/>
      <c r="V1354" s="92"/>
      <c r="W1354" s="92"/>
      <c r="X1354" s="93"/>
      <c r="Y1354" s="93"/>
      <c r="Z1354" s="93"/>
      <c r="AA1354" s="4"/>
      <c r="AB1354" s="5"/>
    </row>
    <row r="1355" spans="1:28" x14ac:dyDescent="0.2">
      <c r="A1355" s="4"/>
      <c r="B1355" s="94"/>
      <c r="C1355" s="94"/>
      <c r="D1355" s="94"/>
      <c r="E1355" s="94"/>
      <c r="F1355" s="94"/>
      <c r="G1355" s="94"/>
      <c r="H1355" s="94"/>
      <c r="I1355" s="94"/>
      <c r="J1355" s="94"/>
      <c r="K1355" s="94"/>
      <c r="L1355" s="94"/>
      <c r="M1355" s="94"/>
      <c r="N1355" s="95"/>
      <c r="O1355" s="95"/>
      <c r="P1355" s="95"/>
      <c r="Q1355" s="95"/>
      <c r="R1355" s="95"/>
      <c r="S1355" s="95"/>
      <c r="T1355" s="95"/>
      <c r="U1355" s="95"/>
      <c r="V1355" s="96"/>
      <c r="W1355" s="96"/>
      <c r="X1355" s="97"/>
      <c r="Y1355" s="97"/>
      <c r="Z1355" s="97"/>
      <c r="AA1355" s="4"/>
      <c r="AB1355" s="5"/>
    </row>
    <row r="1356" spans="1:28" x14ac:dyDescent="0.2">
      <c r="A1356" s="4"/>
      <c r="B1356" s="90"/>
      <c r="C1356" s="90"/>
      <c r="D1356" s="90"/>
      <c r="E1356" s="90"/>
      <c r="F1356" s="90"/>
      <c r="G1356" s="90"/>
      <c r="H1356" s="90"/>
      <c r="I1356" s="90"/>
      <c r="J1356" s="90"/>
      <c r="K1356" s="90"/>
      <c r="L1356" s="90"/>
      <c r="M1356" s="90"/>
      <c r="N1356" s="91"/>
      <c r="O1356" s="91"/>
      <c r="P1356" s="91"/>
      <c r="Q1356" s="91"/>
      <c r="R1356" s="91"/>
      <c r="S1356" s="91"/>
      <c r="T1356" s="91"/>
      <c r="U1356" s="91"/>
      <c r="V1356" s="92"/>
      <c r="W1356" s="92"/>
      <c r="X1356" s="93"/>
      <c r="Y1356" s="93"/>
      <c r="Z1356" s="93"/>
      <c r="AA1356" s="4"/>
      <c r="AB1356" s="5"/>
    </row>
    <row r="1357" spans="1:28" x14ac:dyDescent="0.2">
      <c r="A1357" s="4"/>
      <c r="B1357" s="94"/>
      <c r="C1357" s="94"/>
      <c r="D1357" s="94"/>
      <c r="E1357" s="94"/>
      <c r="F1357" s="94"/>
      <c r="G1357" s="94"/>
      <c r="H1357" s="94"/>
      <c r="I1357" s="94"/>
      <c r="J1357" s="94"/>
      <c r="K1357" s="94"/>
      <c r="L1357" s="94"/>
      <c r="M1357" s="94"/>
      <c r="N1357" s="95"/>
      <c r="O1357" s="95"/>
      <c r="P1357" s="95"/>
      <c r="Q1357" s="95"/>
      <c r="R1357" s="95"/>
      <c r="S1357" s="95"/>
      <c r="T1357" s="95"/>
      <c r="U1357" s="95"/>
      <c r="V1357" s="96"/>
      <c r="W1357" s="96"/>
      <c r="X1357" s="97"/>
      <c r="Y1357" s="97"/>
      <c r="Z1357" s="97"/>
      <c r="AA1357" s="4"/>
      <c r="AB1357" s="5"/>
    </row>
    <row r="1358" spans="1:28" x14ac:dyDescent="0.2">
      <c r="A1358" s="4"/>
      <c r="B1358" s="90"/>
      <c r="C1358" s="90"/>
      <c r="D1358" s="90"/>
      <c r="E1358" s="90"/>
      <c r="F1358" s="90"/>
      <c r="G1358" s="90"/>
      <c r="H1358" s="90"/>
      <c r="I1358" s="90"/>
      <c r="J1358" s="90"/>
      <c r="K1358" s="90"/>
      <c r="L1358" s="90"/>
      <c r="M1358" s="90"/>
      <c r="N1358" s="91"/>
      <c r="O1358" s="91"/>
      <c r="P1358" s="91"/>
      <c r="Q1358" s="91"/>
      <c r="R1358" s="91"/>
      <c r="S1358" s="91"/>
      <c r="T1358" s="91"/>
      <c r="U1358" s="91"/>
      <c r="V1358" s="92"/>
      <c r="W1358" s="92"/>
      <c r="X1358" s="93"/>
      <c r="Y1358" s="93"/>
      <c r="Z1358" s="93"/>
      <c r="AA1358" s="4"/>
      <c r="AB1358" s="5"/>
    </row>
    <row r="1359" spans="1:28" x14ac:dyDescent="0.2">
      <c r="A1359" s="4"/>
      <c r="B1359" s="94"/>
      <c r="C1359" s="94"/>
      <c r="D1359" s="94"/>
      <c r="E1359" s="94"/>
      <c r="F1359" s="94"/>
      <c r="G1359" s="94"/>
      <c r="H1359" s="94"/>
      <c r="I1359" s="94"/>
      <c r="J1359" s="94"/>
      <c r="K1359" s="94"/>
      <c r="L1359" s="94"/>
      <c r="M1359" s="94"/>
      <c r="N1359" s="95"/>
      <c r="O1359" s="95"/>
      <c r="P1359" s="95"/>
      <c r="Q1359" s="95"/>
      <c r="R1359" s="95"/>
      <c r="S1359" s="95"/>
      <c r="T1359" s="95"/>
      <c r="U1359" s="95"/>
      <c r="V1359" s="96"/>
      <c r="W1359" s="96"/>
      <c r="X1359" s="97"/>
      <c r="Y1359" s="97"/>
      <c r="Z1359" s="97"/>
      <c r="AA1359" s="4"/>
      <c r="AB1359" s="5"/>
    </row>
    <row r="1360" spans="1:28" x14ac:dyDescent="0.2">
      <c r="A1360" s="4"/>
      <c r="B1360" s="90"/>
      <c r="C1360" s="90"/>
      <c r="D1360" s="90"/>
      <c r="E1360" s="90"/>
      <c r="F1360" s="90"/>
      <c r="G1360" s="90"/>
      <c r="H1360" s="90"/>
      <c r="I1360" s="90"/>
      <c r="J1360" s="90"/>
      <c r="K1360" s="90"/>
      <c r="L1360" s="90"/>
      <c r="M1360" s="90"/>
      <c r="N1360" s="91"/>
      <c r="O1360" s="91"/>
      <c r="P1360" s="91"/>
      <c r="Q1360" s="91"/>
      <c r="R1360" s="91"/>
      <c r="S1360" s="91"/>
      <c r="T1360" s="91"/>
      <c r="U1360" s="91"/>
      <c r="V1360" s="92"/>
      <c r="W1360" s="92"/>
      <c r="X1360" s="93"/>
      <c r="Y1360" s="93"/>
      <c r="Z1360" s="93"/>
      <c r="AA1360" s="4"/>
      <c r="AB1360" s="5"/>
    </row>
    <row r="1361" spans="1:28" x14ac:dyDescent="0.2">
      <c r="A1361" s="4"/>
      <c r="B1361" s="94"/>
      <c r="C1361" s="94"/>
      <c r="D1361" s="94"/>
      <c r="E1361" s="94"/>
      <c r="F1361" s="94"/>
      <c r="G1361" s="94"/>
      <c r="H1361" s="94"/>
      <c r="I1361" s="94"/>
      <c r="J1361" s="94"/>
      <c r="K1361" s="94"/>
      <c r="L1361" s="94"/>
      <c r="M1361" s="94"/>
      <c r="N1361" s="95"/>
      <c r="O1361" s="95"/>
      <c r="P1361" s="95"/>
      <c r="Q1361" s="95"/>
      <c r="R1361" s="95"/>
      <c r="S1361" s="95"/>
      <c r="T1361" s="95"/>
      <c r="U1361" s="95"/>
      <c r="V1361" s="96"/>
      <c r="W1361" s="96"/>
      <c r="X1361" s="97"/>
      <c r="Y1361" s="97"/>
      <c r="Z1361" s="97"/>
      <c r="AA1361" s="4"/>
      <c r="AB1361" s="5"/>
    </row>
    <row r="1362" spans="1:28" x14ac:dyDescent="0.2">
      <c r="A1362" s="4"/>
      <c r="B1362" s="90"/>
      <c r="C1362" s="90"/>
      <c r="D1362" s="90"/>
      <c r="E1362" s="90"/>
      <c r="F1362" s="90"/>
      <c r="G1362" s="90"/>
      <c r="H1362" s="90"/>
      <c r="I1362" s="90"/>
      <c r="J1362" s="90"/>
      <c r="K1362" s="90"/>
      <c r="L1362" s="90"/>
      <c r="M1362" s="90"/>
      <c r="N1362" s="91"/>
      <c r="O1362" s="91"/>
      <c r="P1362" s="91"/>
      <c r="Q1362" s="91"/>
      <c r="R1362" s="91"/>
      <c r="S1362" s="91"/>
      <c r="T1362" s="91"/>
      <c r="U1362" s="91"/>
      <c r="V1362" s="92"/>
      <c r="W1362" s="92"/>
      <c r="X1362" s="93"/>
      <c r="Y1362" s="93"/>
      <c r="Z1362" s="93"/>
      <c r="AA1362" s="4"/>
      <c r="AB1362" s="5"/>
    </row>
    <row r="1363" spans="1:28" x14ac:dyDescent="0.2">
      <c r="A1363" s="4"/>
      <c r="B1363" s="94"/>
      <c r="C1363" s="94"/>
      <c r="D1363" s="94"/>
      <c r="E1363" s="94"/>
      <c r="F1363" s="94"/>
      <c r="G1363" s="94"/>
      <c r="H1363" s="94"/>
      <c r="I1363" s="94"/>
      <c r="J1363" s="94"/>
      <c r="K1363" s="94"/>
      <c r="L1363" s="94"/>
      <c r="M1363" s="94"/>
      <c r="N1363" s="95"/>
      <c r="O1363" s="95"/>
      <c r="P1363" s="95"/>
      <c r="Q1363" s="95"/>
      <c r="R1363" s="95"/>
      <c r="S1363" s="95"/>
      <c r="T1363" s="95"/>
      <c r="U1363" s="95"/>
      <c r="V1363" s="96"/>
      <c r="W1363" s="96"/>
      <c r="X1363" s="97"/>
      <c r="Y1363" s="97"/>
      <c r="Z1363" s="97"/>
      <c r="AA1363" s="4"/>
      <c r="AB1363" s="5"/>
    </row>
    <row r="1364" spans="1:28" x14ac:dyDescent="0.2">
      <c r="A1364" s="4"/>
      <c r="B1364" s="90"/>
      <c r="C1364" s="90"/>
      <c r="D1364" s="90"/>
      <c r="E1364" s="90"/>
      <c r="F1364" s="90"/>
      <c r="G1364" s="90"/>
      <c r="H1364" s="90"/>
      <c r="I1364" s="90"/>
      <c r="J1364" s="90"/>
      <c r="K1364" s="90"/>
      <c r="L1364" s="90"/>
      <c r="M1364" s="90"/>
      <c r="N1364" s="91"/>
      <c r="O1364" s="91"/>
      <c r="P1364" s="91"/>
      <c r="Q1364" s="91"/>
      <c r="R1364" s="91"/>
      <c r="S1364" s="91"/>
      <c r="T1364" s="91"/>
      <c r="U1364" s="91"/>
      <c r="V1364" s="92"/>
      <c r="W1364" s="92"/>
      <c r="X1364" s="93"/>
      <c r="Y1364" s="93"/>
      <c r="Z1364" s="93"/>
      <c r="AA1364" s="4"/>
      <c r="AB1364" s="5"/>
    </row>
    <row r="1365" spans="1:28" x14ac:dyDescent="0.2">
      <c r="A1365" s="4"/>
      <c r="B1365" s="94"/>
      <c r="C1365" s="94"/>
      <c r="D1365" s="94"/>
      <c r="E1365" s="94"/>
      <c r="F1365" s="94"/>
      <c r="G1365" s="94"/>
      <c r="H1365" s="94"/>
      <c r="I1365" s="94"/>
      <c r="J1365" s="94"/>
      <c r="K1365" s="94"/>
      <c r="L1365" s="94"/>
      <c r="M1365" s="94"/>
      <c r="N1365" s="95"/>
      <c r="O1365" s="95"/>
      <c r="P1365" s="95"/>
      <c r="Q1365" s="95"/>
      <c r="R1365" s="95"/>
      <c r="S1365" s="95"/>
      <c r="T1365" s="95"/>
      <c r="U1365" s="95"/>
      <c r="V1365" s="96"/>
      <c r="W1365" s="96"/>
      <c r="X1365" s="97"/>
      <c r="Y1365" s="97"/>
      <c r="Z1365" s="97"/>
      <c r="AA1365" s="4"/>
      <c r="AB1365" s="5"/>
    </row>
    <row r="1366" spans="1:28" x14ac:dyDescent="0.2">
      <c r="A1366" s="4"/>
      <c r="B1366" s="90"/>
      <c r="C1366" s="90"/>
      <c r="D1366" s="90"/>
      <c r="E1366" s="90"/>
      <c r="F1366" s="90"/>
      <c r="G1366" s="90"/>
      <c r="H1366" s="90"/>
      <c r="I1366" s="90"/>
      <c r="J1366" s="90"/>
      <c r="K1366" s="90"/>
      <c r="L1366" s="90"/>
      <c r="M1366" s="90"/>
      <c r="N1366" s="91"/>
      <c r="O1366" s="91"/>
      <c r="P1366" s="91"/>
      <c r="Q1366" s="91"/>
      <c r="R1366" s="91"/>
      <c r="S1366" s="91"/>
      <c r="T1366" s="91"/>
      <c r="U1366" s="91"/>
      <c r="V1366" s="92"/>
      <c r="W1366" s="92"/>
      <c r="X1366" s="93"/>
      <c r="Y1366" s="93"/>
      <c r="Z1366" s="93"/>
      <c r="AA1366" s="4"/>
      <c r="AB1366" s="5"/>
    </row>
    <row r="1367" spans="1:28" x14ac:dyDescent="0.2">
      <c r="A1367" s="4"/>
      <c r="B1367" s="94"/>
      <c r="C1367" s="94"/>
      <c r="D1367" s="94"/>
      <c r="E1367" s="94"/>
      <c r="F1367" s="94"/>
      <c r="G1367" s="94"/>
      <c r="H1367" s="94"/>
      <c r="I1367" s="94"/>
      <c r="J1367" s="94"/>
      <c r="K1367" s="94"/>
      <c r="L1367" s="94"/>
      <c r="M1367" s="94"/>
      <c r="N1367" s="95"/>
      <c r="O1367" s="95"/>
      <c r="P1367" s="95"/>
      <c r="Q1367" s="95"/>
      <c r="R1367" s="95"/>
      <c r="S1367" s="95"/>
      <c r="T1367" s="95"/>
      <c r="U1367" s="95"/>
      <c r="V1367" s="96"/>
      <c r="W1367" s="96"/>
      <c r="X1367" s="97"/>
      <c r="Y1367" s="97"/>
      <c r="Z1367" s="97"/>
      <c r="AA1367" s="4"/>
      <c r="AB1367" s="5"/>
    </row>
    <row r="1368" spans="1:28" x14ac:dyDescent="0.2">
      <c r="A1368" s="4"/>
      <c r="B1368" s="90"/>
      <c r="C1368" s="90"/>
      <c r="D1368" s="90"/>
      <c r="E1368" s="90"/>
      <c r="F1368" s="90"/>
      <c r="G1368" s="90"/>
      <c r="H1368" s="90"/>
      <c r="I1368" s="90"/>
      <c r="J1368" s="90"/>
      <c r="K1368" s="90"/>
      <c r="L1368" s="90"/>
      <c r="M1368" s="90"/>
      <c r="N1368" s="91"/>
      <c r="O1368" s="91"/>
      <c r="P1368" s="91"/>
      <c r="Q1368" s="91"/>
      <c r="R1368" s="91"/>
      <c r="S1368" s="91"/>
      <c r="T1368" s="91"/>
      <c r="U1368" s="91"/>
      <c r="V1368" s="92"/>
      <c r="W1368" s="92"/>
      <c r="X1368" s="93"/>
      <c r="Y1368" s="93"/>
      <c r="Z1368" s="93"/>
      <c r="AA1368" s="4"/>
      <c r="AB1368" s="5"/>
    </row>
    <row r="1369" spans="1:28" x14ac:dyDescent="0.2">
      <c r="A1369" s="4"/>
      <c r="B1369" s="94"/>
      <c r="C1369" s="94"/>
      <c r="D1369" s="94"/>
      <c r="E1369" s="94"/>
      <c r="F1369" s="94"/>
      <c r="G1369" s="94"/>
      <c r="H1369" s="94"/>
      <c r="I1369" s="94"/>
      <c r="J1369" s="94"/>
      <c r="K1369" s="94"/>
      <c r="L1369" s="94"/>
      <c r="M1369" s="94"/>
      <c r="N1369" s="95"/>
      <c r="O1369" s="95"/>
      <c r="P1369" s="95"/>
      <c r="Q1369" s="95"/>
      <c r="R1369" s="95"/>
      <c r="S1369" s="95"/>
      <c r="T1369" s="95"/>
      <c r="U1369" s="95"/>
      <c r="V1369" s="96"/>
      <c r="W1369" s="96"/>
      <c r="X1369" s="97"/>
      <c r="Y1369" s="97"/>
      <c r="Z1369" s="97"/>
      <c r="AA1369" s="4"/>
      <c r="AB1369" s="5"/>
    </row>
    <row r="1370" spans="1:28" x14ac:dyDescent="0.2">
      <c r="A1370" s="4"/>
      <c r="B1370" s="90"/>
      <c r="C1370" s="90"/>
      <c r="D1370" s="90"/>
      <c r="E1370" s="90"/>
      <c r="F1370" s="90"/>
      <c r="G1370" s="90"/>
      <c r="H1370" s="90"/>
      <c r="I1370" s="90"/>
      <c r="J1370" s="90"/>
      <c r="K1370" s="90"/>
      <c r="L1370" s="90"/>
      <c r="M1370" s="90"/>
      <c r="N1370" s="91"/>
      <c r="O1370" s="91"/>
      <c r="P1370" s="91"/>
      <c r="Q1370" s="91"/>
      <c r="R1370" s="91"/>
      <c r="S1370" s="91"/>
      <c r="T1370" s="91"/>
      <c r="U1370" s="91"/>
      <c r="V1370" s="92"/>
      <c r="W1370" s="92"/>
      <c r="X1370" s="93"/>
      <c r="Y1370" s="93"/>
      <c r="Z1370" s="93"/>
      <c r="AA1370" s="4"/>
      <c r="AB1370" s="5"/>
    </row>
    <row r="1371" spans="1:28" x14ac:dyDescent="0.2">
      <c r="A1371" s="4"/>
      <c r="B1371" s="94"/>
      <c r="C1371" s="94"/>
      <c r="D1371" s="94"/>
      <c r="E1371" s="94"/>
      <c r="F1371" s="94"/>
      <c r="G1371" s="94"/>
      <c r="H1371" s="94"/>
      <c r="I1371" s="94"/>
      <c r="J1371" s="94"/>
      <c r="K1371" s="94"/>
      <c r="L1371" s="94"/>
      <c r="M1371" s="94"/>
      <c r="N1371" s="95"/>
      <c r="O1371" s="95"/>
      <c r="P1371" s="95"/>
      <c r="Q1371" s="95"/>
      <c r="R1371" s="95"/>
      <c r="S1371" s="95"/>
      <c r="T1371" s="95"/>
      <c r="U1371" s="95"/>
      <c r="V1371" s="96"/>
      <c r="W1371" s="96"/>
      <c r="X1371" s="97"/>
      <c r="Y1371" s="97"/>
      <c r="Z1371" s="97"/>
      <c r="AA1371" s="4"/>
      <c r="AB1371" s="5"/>
    </row>
    <row r="1372" spans="1:28" x14ac:dyDescent="0.2">
      <c r="A1372" s="4"/>
      <c r="B1372" s="90"/>
      <c r="C1372" s="90"/>
      <c r="D1372" s="90"/>
      <c r="E1372" s="90"/>
      <c r="F1372" s="90"/>
      <c r="G1372" s="90"/>
      <c r="H1372" s="90"/>
      <c r="I1372" s="90"/>
      <c r="J1372" s="90"/>
      <c r="K1372" s="90"/>
      <c r="L1372" s="90"/>
      <c r="M1372" s="90"/>
      <c r="N1372" s="91"/>
      <c r="O1372" s="91"/>
      <c r="P1372" s="91"/>
      <c r="Q1372" s="91"/>
      <c r="R1372" s="91"/>
      <c r="S1372" s="91"/>
      <c r="T1372" s="91"/>
      <c r="U1372" s="91"/>
      <c r="V1372" s="92"/>
      <c r="W1372" s="92"/>
      <c r="X1372" s="93"/>
      <c r="Y1372" s="93"/>
      <c r="Z1372" s="93"/>
      <c r="AA1372" s="4"/>
      <c r="AB1372" s="5"/>
    </row>
    <row r="1373" spans="1:28" x14ac:dyDescent="0.2">
      <c r="A1373" s="4"/>
      <c r="B1373" s="94"/>
      <c r="C1373" s="94"/>
      <c r="D1373" s="94"/>
      <c r="E1373" s="94"/>
      <c r="F1373" s="94"/>
      <c r="G1373" s="94"/>
      <c r="H1373" s="94"/>
      <c r="I1373" s="94"/>
      <c r="J1373" s="94"/>
      <c r="K1373" s="94"/>
      <c r="L1373" s="94"/>
      <c r="M1373" s="94"/>
      <c r="N1373" s="95"/>
      <c r="O1373" s="95"/>
      <c r="P1373" s="95"/>
      <c r="Q1373" s="95"/>
      <c r="R1373" s="95"/>
      <c r="S1373" s="95"/>
      <c r="T1373" s="95"/>
      <c r="U1373" s="95"/>
      <c r="V1373" s="96"/>
      <c r="W1373" s="96"/>
      <c r="X1373" s="97"/>
      <c r="Y1373" s="97"/>
      <c r="Z1373" s="97"/>
      <c r="AA1373" s="4"/>
      <c r="AB1373" s="5"/>
    </row>
    <row r="1374" spans="1:28" x14ac:dyDescent="0.2">
      <c r="A1374" s="4"/>
      <c r="B1374" s="90"/>
      <c r="C1374" s="90"/>
      <c r="D1374" s="90"/>
      <c r="E1374" s="90"/>
      <c r="F1374" s="90"/>
      <c r="G1374" s="90"/>
      <c r="H1374" s="90"/>
      <c r="I1374" s="90"/>
      <c r="J1374" s="90"/>
      <c r="K1374" s="90"/>
      <c r="L1374" s="90"/>
      <c r="M1374" s="90"/>
      <c r="N1374" s="91"/>
      <c r="O1374" s="91"/>
      <c r="P1374" s="91"/>
      <c r="Q1374" s="91"/>
      <c r="R1374" s="91"/>
      <c r="S1374" s="91"/>
      <c r="T1374" s="91"/>
      <c r="U1374" s="91"/>
      <c r="V1374" s="92"/>
      <c r="W1374" s="92"/>
      <c r="X1374" s="93"/>
      <c r="Y1374" s="93"/>
      <c r="Z1374" s="93"/>
      <c r="AA1374" s="4"/>
      <c r="AB1374" s="5"/>
    </row>
    <row r="1375" spans="1:28" x14ac:dyDescent="0.2">
      <c r="A1375" s="4"/>
      <c r="B1375" s="94"/>
      <c r="C1375" s="94"/>
      <c r="D1375" s="94"/>
      <c r="E1375" s="94"/>
      <c r="F1375" s="94"/>
      <c r="G1375" s="94"/>
      <c r="H1375" s="94"/>
      <c r="I1375" s="94"/>
      <c r="J1375" s="94"/>
      <c r="K1375" s="94"/>
      <c r="L1375" s="94"/>
      <c r="M1375" s="94"/>
      <c r="N1375" s="95"/>
      <c r="O1375" s="95"/>
      <c r="P1375" s="95"/>
      <c r="Q1375" s="95"/>
      <c r="R1375" s="95"/>
      <c r="S1375" s="95"/>
      <c r="T1375" s="95"/>
      <c r="U1375" s="95"/>
      <c r="V1375" s="96"/>
      <c r="W1375" s="96"/>
      <c r="X1375" s="97"/>
      <c r="Y1375" s="97"/>
      <c r="Z1375" s="97"/>
      <c r="AA1375" s="4"/>
      <c r="AB1375" s="5"/>
    </row>
    <row r="1376" spans="1:28" x14ac:dyDescent="0.2">
      <c r="A1376" s="4"/>
      <c r="B1376" s="90"/>
      <c r="C1376" s="90"/>
      <c r="D1376" s="90"/>
      <c r="E1376" s="90"/>
      <c r="F1376" s="90"/>
      <c r="G1376" s="90"/>
      <c r="H1376" s="90"/>
      <c r="I1376" s="90"/>
      <c r="J1376" s="90"/>
      <c r="K1376" s="90"/>
      <c r="L1376" s="90"/>
      <c r="M1376" s="90"/>
      <c r="N1376" s="91"/>
      <c r="O1376" s="91"/>
      <c r="P1376" s="91"/>
      <c r="Q1376" s="91"/>
      <c r="R1376" s="91"/>
      <c r="S1376" s="91"/>
      <c r="T1376" s="91"/>
      <c r="U1376" s="91"/>
      <c r="V1376" s="92"/>
      <c r="W1376" s="92"/>
      <c r="X1376" s="93"/>
      <c r="Y1376" s="93"/>
      <c r="Z1376" s="93"/>
      <c r="AA1376" s="4"/>
      <c r="AB1376" s="5"/>
    </row>
    <row r="1377" spans="1:28" x14ac:dyDescent="0.2">
      <c r="A1377" s="4"/>
      <c r="B1377" s="94"/>
      <c r="C1377" s="94"/>
      <c r="D1377" s="94"/>
      <c r="E1377" s="94"/>
      <c r="F1377" s="94"/>
      <c r="G1377" s="94"/>
      <c r="H1377" s="94"/>
      <c r="I1377" s="94"/>
      <c r="J1377" s="94"/>
      <c r="K1377" s="94"/>
      <c r="L1377" s="94"/>
      <c r="M1377" s="94"/>
      <c r="N1377" s="95"/>
      <c r="O1377" s="95"/>
      <c r="P1377" s="95"/>
      <c r="Q1377" s="95"/>
      <c r="R1377" s="95"/>
      <c r="S1377" s="95"/>
      <c r="T1377" s="95"/>
      <c r="U1377" s="95"/>
      <c r="V1377" s="96"/>
      <c r="W1377" s="96"/>
      <c r="X1377" s="97"/>
      <c r="Y1377" s="97"/>
      <c r="Z1377" s="97"/>
      <c r="AA1377" s="4"/>
      <c r="AB1377" s="5"/>
    </row>
    <row r="1378" spans="1:28" x14ac:dyDescent="0.2">
      <c r="A1378" s="4"/>
      <c r="B1378" s="90"/>
      <c r="C1378" s="90"/>
      <c r="D1378" s="90"/>
      <c r="E1378" s="90"/>
      <c r="F1378" s="90"/>
      <c r="G1378" s="90"/>
      <c r="H1378" s="90"/>
      <c r="I1378" s="90"/>
      <c r="J1378" s="90"/>
      <c r="K1378" s="90"/>
      <c r="L1378" s="90"/>
      <c r="M1378" s="90"/>
      <c r="N1378" s="91"/>
      <c r="O1378" s="91"/>
      <c r="P1378" s="91"/>
      <c r="Q1378" s="91"/>
      <c r="R1378" s="91"/>
      <c r="S1378" s="91"/>
      <c r="T1378" s="91"/>
      <c r="U1378" s="91"/>
      <c r="V1378" s="92"/>
      <c r="W1378" s="92"/>
      <c r="X1378" s="93"/>
      <c r="Y1378" s="93"/>
      <c r="Z1378" s="93"/>
      <c r="AA1378" s="4"/>
      <c r="AB1378" s="5"/>
    </row>
    <row r="1379" spans="1:28" x14ac:dyDescent="0.2">
      <c r="A1379" s="4"/>
      <c r="B1379" s="94"/>
      <c r="C1379" s="94"/>
      <c r="D1379" s="94"/>
      <c r="E1379" s="94"/>
      <c r="F1379" s="94"/>
      <c r="G1379" s="94"/>
      <c r="H1379" s="94"/>
      <c r="I1379" s="94"/>
      <c r="J1379" s="94"/>
      <c r="K1379" s="94"/>
      <c r="L1379" s="94"/>
      <c r="M1379" s="94"/>
      <c r="N1379" s="95"/>
      <c r="O1379" s="95"/>
      <c r="P1379" s="95"/>
      <c r="Q1379" s="95"/>
      <c r="R1379" s="95"/>
      <c r="S1379" s="95"/>
      <c r="T1379" s="95"/>
      <c r="U1379" s="95"/>
      <c r="V1379" s="96"/>
      <c r="W1379" s="96"/>
      <c r="X1379" s="97"/>
      <c r="Y1379" s="97"/>
      <c r="Z1379" s="97"/>
      <c r="AA1379" s="4"/>
      <c r="AB1379" s="5"/>
    </row>
    <row r="1380" spans="1:28" x14ac:dyDescent="0.2">
      <c r="A1380" s="4"/>
      <c r="B1380" s="90"/>
      <c r="C1380" s="90"/>
      <c r="D1380" s="90"/>
      <c r="E1380" s="90"/>
      <c r="F1380" s="90"/>
      <c r="G1380" s="90"/>
      <c r="H1380" s="90"/>
      <c r="I1380" s="90"/>
      <c r="J1380" s="90"/>
      <c r="K1380" s="90"/>
      <c r="L1380" s="90"/>
      <c r="M1380" s="90"/>
      <c r="N1380" s="91"/>
      <c r="O1380" s="91"/>
      <c r="P1380" s="91"/>
      <c r="Q1380" s="91"/>
      <c r="R1380" s="91"/>
      <c r="S1380" s="91"/>
      <c r="T1380" s="91"/>
      <c r="U1380" s="91"/>
      <c r="V1380" s="92"/>
      <c r="W1380" s="92"/>
      <c r="X1380" s="93"/>
      <c r="Y1380" s="93"/>
      <c r="Z1380" s="93"/>
      <c r="AA1380" s="4"/>
      <c r="AB1380" s="5"/>
    </row>
    <row r="1381" spans="1:28" x14ac:dyDescent="0.2">
      <c r="A1381" s="4"/>
      <c r="B1381" s="94"/>
      <c r="C1381" s="94"/>
      <c r="D1381" s="94"/>
      <c r="E1381" s="94"/>
      <c r="F1381" s="94"/>
      <c r="G1381" s="94"/>
      <c r="H1381" s="94"/>
      <c r="I1381" s="94"/>
      <c r="J1381" s="94"/>
      <c r="K1381" s="94"/>
      <c r="L1381" s="94"/>
      <c r="M1381" s="94"/>
      <c r="N1381" s="95"/>
      <c r="O1381" s="95"/>
      <c r="P1381" s="95"/>
      <c r="Q1381" s="95"/>
      <c r="R1381" s="95"/>
      <c r="S1381" s="95"/>
      <c r="T1381" s="95"/>
      <c r="U1381" s="95"/>
      <c r="V1381" s="96"/>
      <c r="W1381" s="96"/>
      <c r="X1381" s="97"/>
      <c r="Y1381" s="97"/>
      <c r="Z1381" s="97"/>
      <c r="AA1381" s="4"/>
      <c r="AB1381" s="5"/>
    </row>
    <row r="1382" spans="1:28" x14ac:dyDescent="0.2">
      <c r="A1382" s="4"/>
      <c r="B1382" s="90"/>
      <c r="C1382" s="90"/>
      <c r="D1382" s="90"/>
      <c r="E1382" s="90"/>
      <c r="F1382" s="90"/>
      <c r="G1382" s="90"/>
      <c r="H1382" s="90"/>
      <c r="I1382" s="90"/>
      <c r="J1382" s="90"/>
      <c r="K1382" s="90"/>
      <c r="L1382" s="90"/>
      <c r="M1382" s="90"/>
      <c r="N1382" s="91"/>
      <c r="O1382" s="91"/>
      <c r="P1382" s="91"/>
      <c r="Q1382" s="91"/>
      <c r="R1382" s="91"/>
      <c r="S1382" s="91"/>
      <c r="T1382" s="91"/>
      <c r="U1382" s="91"/>
      <c r="V1382" s="92"/>
      <c r="W1382" s="92"/>
      <c r="X1382" s="93"/>
      <c r="Y1382" s="93"/>
      <c r="Z1382" s="93"/>
      <c r="AA1382" s="4"/>
      <c r="AB1382" s="5"/>
    </row>
    <row r="1383" spans="1:28" x14ac:dyDescent="0.2">
      <c r="A1383" s="4"/>
      <c r="B1383" s="94"/>
      <c r="C1383" s="94"/>
      <c r="D1383" s="94"/>
      <c r="E1383" s="94"/>
      <c r="F1383" s="94"/>
      <c r="G1383" s="94"/>
      <c r="H1383" s="94"/>
      <c r="I1383" s="94"/>
      <c r="J1383" s="94"/>
      <c r="K1383" s="94"/>
      <c r="L1383" s="94"/>
      <c r="M1383" s="94"/>
      <c r="N1383" s="95"/>
      <c r="O1383" s="95"/>
      <c r="P1383" s="95"/>
      <c r="Q1383" s="95"/>
      <c r="R1383" s="95"/>
      <c r="S1383" s="95"/>
      <c r="T1383" s="95"/>
      <c r="U1383" s="95"/>
      <c r="V1383" s="96"/>
      <c r="W1383" s="96"/>
      <c r="X1383" s="97"/>
      <c r="Y1383" s="97"/>
      <c r="Z1383" s="97"/>
      <c r="AA1383" s="4"/>
      <c r="AB1383" s="5"/>
    </row>
    <row r="1384" spans="1:28" x14ac:dyDescent="0.2">
      <c r="A1384" s="4"/>
      <c r="B1384" s="90"/>
      <c r="C1384" s="90"/>
      <c r="D1384" s="90"/>
      <c r="E1384" s="90"/>
      <c r="F1384" s="90"/>
      <c r="G1384" s="90"/>
      <c r="H1384" s="90"/>
      <c r="I1384" s="90"/>
      <c r="J1384" s="90"/>
      <c r="K1384" s="90"/>
      <c r="L1384" s="90"/>
      <c r="M1384" s="90"/>
      <c r="N1384" s="91"/>
      <c r="O1384" s="91"/>
      <c r="P1384" s="91"/>
      <c r="Q1384" s="91"/>
      <c r="R1384" s="91"/>
      <c r="S1384" s="91"/>
      <c r="T1384" s="91"/>
      <c r="U1384" s="91"/>
      <c r="V1384" s="92"/>
      <c r="W1384" s="92"/>
      <c r="X1384" s="93"/>
      <c r="Y1384" s="93"/>
      <c r="Z1384" s="93"/>
      <c r="AA1384" s="4"/>
      <c r="AB1384" s="5"/>
    </row>
    <row r="1385" spans="1:28" x14ac:dyDescent="0.2">
      <c r="A1385" s="4"/>
      <c r="B1385" s="94"/>
      <c r="C1385" s="94"/>
      <c r="D1385" s="94"/>
      <c r="E1385" s="94"/>
      <c r="F1385" s="94"/>
      <c r="G1385" s="94"/>
      <c r="H1385" s="94"/>
      <c r="I1385" s="94"/>
      <c r="J1385" s="94"/>
      <c r="K1385" s="94"/>
      <c r="L1385" s="94"/>
      <c r="M1385" s="94"/>
      <c r="N1385" s="95"/>
      <c r="O1385" s="95"/>
      <c r="P1385" s="95"/>
      <c r="Q1385" s="95"/>
      <c r="R1385" s="95"/>
      <c r="S1385" s="95"/>
      <c r="T1385" s="95"/>
      <c r="U1385" s="95"/>
      <c r="V1385" s="96"/>
      <c r="W1385" s="96"/>
      <c r="X1385" s="97"/>
      <c r="Y1385" s="97"/>
      <c r="Z1385" s="97"/>
      <c r="AA1385" s="4"/>
      <c r="AB1385" s="5"/>
    </row>
    <row r="1386" spans="1:28" x14ac:dyDescent="0.2">
      <c r="A1386" s="4"/>
      <c r="B1386" s="90"/>
      <c r="C1386" s="90"/>
      <c r="D1386" s="90"/>
      <c r="E1386" s="90"/>
      <c r="F1386" s="90"/>
      <c r="G1386" s="90"/>
      <c r="H1386" s="90"/>
      <c r="I1386" s="90"/>
      <c r="J1386" s="90"/>
      <c r="K1386" s="90"/>
      <c r="L1386" s="90"/>
      <c r="M1386" s="90"/>
      <c r="N1386" s="91"/>
      <c r="O1386" s="91"/>
      <c r="P1386" s="91"/>
      <c r="Q1386" s="91"/>
      <c r="R1386" s="91"/>
      <c r="S1386" s="91"/>
      <c r="T1386" s="91"/>
      <c r="U1386" s="91"/>
      <c r="V1386" s="92"/>
      <c r="W1386" s="92"/>
      <c r="X1386" s="93"/>
      <c r="Y1386" s="93"/>
      <c r="Z1386" s="93"/>
      <c r="AA1386" s="4"/>
      <c r="AB1386" s="5"/>
    </row>
    <row r="1387" spans="1:28" x14ac:dyDescent="0.2">
      <c r="A1387" s="4"/>
      <c r="B1387" s="94"/>
      <c r="C1387" s="94"/>
      <c r="D1387" s="94"/>
      <c r="E1387" s="94"/>
      <c r="F1387" s="94"/>
      <c r="G1387" s="94"/>
      <c r="H1387" s="94"/>
      <c r="I1387" s="94"/>
      <c r="J1387" s="94"/>
      <c r="K1387" s="94"/>
      <c r="L1387" s="94"/>
      <c r="M1387" s="94"/>
      <c r="N1387" s="95"/>
      <c r="O1387" s="95"/>
      <c r="P1387" s="95"/>
      <c r="Q1387" s="95"/>
      <c r="R1387" s="95"/>
      <c r="S1387" s="95"/>
      <c r="T1387" s="95"/>
      <c r="U1387" s="95"/>
      <c r="V1387" s="96"/>
      <c r="W1387" s="96"/>
      <c r="X1387" s="97"/>
      <c r="Y1387" s="97"/>
      <c r="Z1387" s="97"/>
      <c r="AA1387" s="4"/>
      <c r="AB1387" s="5"/>
    </row>
    <row r="1388" spans="1:28" x14ac:dyDescent="0.2">
      <c r="A1388" s="4"/>
      <c r="B1388" s="90"/>
      <c r="C1388" s="90"/>
      <c r="D1388" s="90"/>
      <c r="E1388" s="90"/>
      <c r="F1388" s="90"/>
      <c r="G1388" s="90"/>
      <c r="H1388" s="90"/>
      <c r="I1388" s="90"/>
      <c r="J1388" s="90"/>
      <c r="K1388" s="90"/>
      <c r="L1388" s="90"/>
      <c r="M1388" s="90"/>
      <c r="N1388" s="91"/>
      <c r="O1388" s="91"/>
      <c r="P1388" s="91"/>
      <c r="Q1388" s="91"/>
      <c r="R1388" s="91"/>
      <c r="S1388" s="91"/>
      <c r="T1388" s="91"/>
      <c r="U1388" s="91"/>
      <c r="V1388" s="92"/>
      <c r="W1388" s="92"/>
      <c r="X1388" s="93"/>
      <c r="Y1388" s="93"/>
      <c r="Z1388" s="93"/>
      <c r="AA1388" s="4"/>
      <c r="AB1388" s="5"/>
    </row>
    <row r="1389" spans="1:28" x14ac:dyDescent="0.2">
      <c r="A1389" s="4"/>
      <c r="B1389" s="94"/>
      <c r="C1389" s="94"/>
      <c r="D1389" s="94"/>
      <c r="E1389" s="94"/>
      <c r="F1389" s="94"/>
      <c r="G1389" s="94"/>
      <c r="H1389" s="94"/>
      <c r="I1389" s="94"/>
      <c r="J1389" s="94"/>
      <c r="K1389" s="94"/>
      <c r="L1389" s="94"/>
      <c r="M1389" s="94"/>
      <c r="N1389" s="95"/>
      <c r="O1389" s="95"/>
      <c r="P1389" s="95"/>
      <c r="Q1389" s="95"/>
      <c r="R1389" s="95"/>
      <c r="S1389" s="95"/>
      <c r="T1389" s="95"/>
      <c r="U1389" s="95"/>
      <c r="V1389" s="96"/>
      <c r="W1389" s="96"/>
      <c r="X1389" s="97"/>
      <c r="Y1389" s="97"/>
      <c r="Z1389" s="97"/>
      <c r="AA1389" s="4"/>
      <c r="AB1389" s="5"/>
    </row>
    <row r="1390" spans="1:28" x14ac:dyDescent="0.2">
      <c r="A1390" s="4"/>
      <c r="B1390" s="90"/>
      <c r="C1390" s="90"/>
      <c r="D1390" s="90"/>
      <c r="E1390" s="90"/>
      <c r="F1390" s="90"/>
      <c r="G1390" s="90"/>
      <c r="H1390" s="90"/>
      <c r="I1390" s="90"/>
      <c r="J1390" s="90"/>
      <c r="K1390" s="90"/>
      <c r="L1390" s="90"/>
      <c r="M1390" s="90"/>
      <c r="N1390" s="91"/>
      <c r="O1390" s="91"/>
      <c r="P1390" s="91"/>
      <c r="Q1390" s="91"/>
      <c r="R1390" s="91"/>
      <c r="S1390" s="91"/>
      <c r="T1390" s="91"/>
      <c r="U1390" s="91"/>
      <c r="V1390" s="92"/>
      <c r="W1390" s="92"/>
      <c r="X1390" s="93"/>
      <c r="Y1390" s="93"/>
      <c r="Z1390" s="93"/>
      <c r="AA1390" s="4"/>
      <c r="AB1390" s="5"/>
    </row>
    <row r="1391" spans="1:28" x14ac:dyDescent="0.2">
      <c r="A1391" s="4"/>
      <c r="B1391" s="94"/>
      <c r="C1391" s="94"/>
      <c r="D1391" s="94"/>
      <c r="E1391" s="94"/>
      <c r="F1391" s="94"/>
      <c r="G1391" s="94"/>
      <c r="H1391" s="94"/>
      <c r="I1391" s="94"/>
      <c r="J1391" s="94"/>
      <c r="K1391" s="94"/>
      <c r="L1391" s="94"/>
      <c r="M1391" s="94"/>
      <c r="N1391" s="95"/>
      <c r="O1391" s="95"/>
      <c r="P1391" s="95"/>
      <c r="Q1391" s="95"/>
      <c r="R1391" s="95"/>
      <c r="S1391" s="95"/>
      <c r="T1391" s="95"/>
      <c r="U1391" s="95"/>
      <c r="V1391" s="96"/>
      <c r="W1391" s="96"/>
      <c r="X1391" s="97"/>
      <c r="Y1391" s="97"/>
      <c r="Z1391" s="97"/>
      <c r="AA1391" s="4"/>
      <c r="AB1391" s="5"/>
    </row>
    <row r="1392" spans="1:28" x14ac:dyDescent="0.2">
      <c r="A1392" s="4"/>
      <c r="B1392" s="90"/>
      <c r="C1392" s="90"/>
      <c r="D1392" s="90"/>
      <c r="E1392" s="90"/>
      <c r="F1392" s="90"/>
      <c r="G1392" s="90"/>
      <c r="H1392" s="90"/>
      <c r="I1392" s="90"/>
      <c r="J1392" s="90"/>
      <c r="K1392" s="90"/>
      <c r="L1392" s="90"/>
      <c r="M1392" s="90"/>
      <c r="N1392" s="91"/>
      <c r="O1392" s="91"/>
      <c r="P1392" s="91"/>
      <c r="Q1392" s="91"/>
      <c r="R1392" s="91"/>
      <c r="S1392" s="91"/>
      <c r="T1392" s="91"/>
      <c r="U1392" s="91"/>
      <c r="V1392" s="92"/>
      <c r="W1392" s="92"/>
      <c r="X1392" s="93"/>
      <c r="Y1392" s="93"/>
      <c r="Z1392" s="93"/>
      <c r="AA1392" s="4"/>
      <c r="AB1392" s="5"/>
    </row>
    <row r="1393" spans="1:28" x14ac:dyDescent="0.2">
      <c r="A1393" s="4"/>
      <c r="B1393" s="94"/>
      <c r="C1393" s="94"/>
      <c r="D1393" s="94"/>
      <c r="E1393" s="94"/>
      <c r="F1393" s="94"/>
      <c r="G1393" s="94"/>
      <c r="H1393" s="94"/>
      <c r="I1393" s="94"/>
      <c r="J1393" s="94"/>
      <c r="K1393" s="94"/>
      <c r="L1393" s="94"/>
      <c r="M1393" s="94"/>
      <c r="N1393" s="95"/>
      <c r="O1393" s="95"/>
      <c r="P1393" s="95"/>
      <c r="Q1393" s="95"/>
      <c r="R1393" s="95"/>
      <c r="S1393" s="95"/>
      <c r="T1393" s="95"/>
      <c r="U1393" s="95"/>
      <c r="V1393" s="96"/>
      <c r="W1393" s="96"/>
      <c r="X1393" s="97"/>
      <c r="Y1393" s="97"/>
      <c r="Z1393" s="97"/>
      <c r="AA1393" s="4"/>
      <c r="AB1393" s="5"/>
    </row>
    <row r="1394" spans="1:28" x14ac:dyDescent="0.2">
      <c r="A1394" s="4"/>
      <c r="B1394" s="90"/>
      <c r="C1394" s="90"/>
      <c r="D1394" s="90"/>
      <c r="E1394" s="90"/>
      <c r="F1394" s="90"/>
      <c r="G1394" s="90"/>
      <c r="H1394" s="90"/>
      <c r="I1394" s="90"/>
      <c r="J1394" s="90"/>
      <c r="K1394" s="90"/>
      <c r="L1394" s="90"/>
      <c r="M1394" s="90"/>
      <c r="N1394" s="91"/>
      <c r="O1394" s="91"/>
      <c r="P1394" s="91"/>
      <c r="Q1394" s="91"/>
      <c r="R1394" s="91"/>
      <c r="S1394" s="91"/>
      <c r="T1394" s="91"/>
      <c r="U1394" s="91"/>
      <c r="V1394" s="92"/>
      <c r="W1394" s="92"/>
      <c r="X1394" s="93"/>
      <c r="Y1394" s="93"/>
      <c r="Z1394" s="93"/>
      <c r="AA1394" s="4"/>
      <c r="AB1394" s="5"/>
    </row>
    <row r="1395" spans="1:28" x14ac:dyDescent="0.2">
      <c r="A1395" s="4"/>
      <c r="B1395" s="94"/>
      <c r="C1395" s="94"/>
      <c r="D1395" s="94"/>
      <c r="E1395" s="94"/>
      <c r="F1395" s="94"/>
      <c r="G1395" s="94"/>
      <c r="H1395" s="94"/>
      <c r="I1395" s="94"/>
      <c r="J1395" s="94"/>
      <c r="K1395" s="94"/>
      <c r="L1395" s="94"/>
      <c r="M1395" s="94"/>
      <c r="N1395" s="95"/>
      <c r="O1395" s="95"/>
      <c r="P1395" s="95"/>
      <c r="Q1395" s="95"/>
      <c r="R1395" s="95"/>
      <c r="S1395" s="95"/>
      <c r="T1395" s="95"/>
      <c r="U1395" s="95"/>
      <c r="V1395" s="96"/>
      <c r="W1395" s="96"/>
      <c r="X1395" s="97"/>
      <c r="Y1395" s="97"/>
      <c r="Z1395" s="97"/>
      <c r="AA1395" s="4"/>
      <c r="AB1395" s="5"/>
    </row>
    <row r="1396" spans="1:28" x14ac:dyDescent="0.2">
      <c r="A1396" s="4"/>
      <c r="B1396" s="90"/>
      <c r="C1396" s="90"/>
      <c r="D1396" s="90"/>
      <c r="E1396" s="90"/>
      <c r="F1396" s="90"/>
      <c r="G1396" s="90"/>
      <c r="H1396" s="90"/>
      <c r="I1396" s="90"/>
      <c r="J1396" s="90"/>
      <c r="K1396" s="90"/>
      <c r="L1396" s="90"/>
      <c r="M1396" s="90"/>
      <c r="N1396" s="91"/>
      <c r="O1396" s="91"/>
      <c r="P1396" s="91"/>
      <c r="Q1396" s="91"/>
      <c r="R1396" s="91"/>
      <c r="S1396" s="91"/>
      <c r="T1396" s="91"/>
      <c r="U1396" s="91"/>
      <c r="V1396" s="92"/>
      <c r="W1396" s="92"/>
      <c r="X1396" s="93"/>
      <c r="Y1396" s="93"/>
      <c r="Z1396" s="93"/>
      <c r="AA1396" s="4"/>
      <c r="AB1396" s="5"/>
    </row>
    <row r="1397" spans="1:28" x14ac:dyDescent="0.2">
      <c r="A1397" s="4"/>
      <c r="B1397" s="94"/>
      <c r="C1397" s="94"/>
      <c r="D1397" s="94"/>
      <c r="E1397" s="94"/>
      <c r="F1397" s="94"/>
      <c r="G1397" s="94"/>
      <c r="H1397" s="94"/>
      <c r="I1397" s="94"/>
      <c r="J1397" s="94"/>
      <c r="K1397" s="94"/>
      <c r="L1397" s="94"/>
      <c r="M1397" s="94"/>
      <c r="N1397" s="95"/>
      <c r="O1397" s="95"/>
      <c r="P1397" s="95"/>
      <c r="Q1397" s="95"/>
      <c r="R1397" s="95"/>
      <c r="S1397" s="95"/>
      <c r="T1397" s="95"/>
      <c r="U1397" s="95"/>
      <c r="V1397" s="96"/>
      <c r="W1397" s="96"/>
      <c r="X1397" s="97"/>
      <c r="Y1397" s="97"/>
      <c r="Z1397" s="97"/>
      <c r="AA1397" s="4"/>
      <c r="AB1397" s="5"/>
    </row>
    <row r="1398" spans="1:28" x14ac:dyDescent="0.2">
      <c r="A1398" s="4"/>
      <c r="B1398" s="90"/>
      <c r="C1398" s="90"/>
      <c r="D1398" s="90"/>
      <c r="E1398" s="90"/>
      <c r="F1398" s="90"/>
      <c r="G1398" s="90"/>
      <c r="H1398" s="90"/>
      <c r="I1398" s="90"/>
      <c r="J1398" s="90"/>
      <c r="K1398" s="90"/>
      <c r="L1398" s="90"/>
      <c r="M1398" s="90"/>
      <c r="N1398" s="91"/>
      <c r="O1398" s="91"/>
      <c r="P1398" s="91"/>
      <c r="Q1398" s="91"/>
      <c r="R1398" s="91"/>
      <c r="S1398" s="91"/>
      <c r="T1398" s="91"/>
      <c r="U1398" s="91"/>
      <c r="V1398" s="92"/>
      <c r="W1398" s="92"/>
      <c r="X1398" s="93"/>
      <c r="Y1398" s="93"/>
      <c r="Z1398" s="93"/>
      <c r="AA1398" s="4"/>
      <c r="AB1398" s="5"/>
    </row>
    <row r="1399" spans="1:28" x14ac:dyDescent="0.2">
      <c r="A1399" s="4"/>
      <c r="B1399" s="94"/>
      <c r="C1399" s="94"/>
      <c r="D1399" s="94"/>
      <c r="E1399" s="94"/>
      <c r="F1399" s="94"/>
      <c r="G1399" s="94"/>
      <c r="H1399" s="94"/>
      <c r="I1399" s="94"/>
      <c r="J1399" s="94"/>
      <c r="K1399" s="94"/>
      <c r="L1399" s="94"/>
      <c r="M1399" s="94"/>
      <c r="N1399" s="95"/>
      <c r="O1399" s="95"/>
      <c r="P1399" s="95"/>
      <c r="Q1399" s="95"/>
      <c r="R1399" s="95"/>
      <c r="S1399" s="95"/>
      <c r="T1399" s="95"/>
      <c r="U1399" s="95"/>
      <c r="V1399" s="96"/>
      <c r="W1399" s="96"/>
      <c r="X1399" s="97"/>
      <c r="Y1399" s="97"/>
      <c r="Z1399" s="97"/>
      <c r="AA1399" s="4"/>
      <c r="AB1399" s="5"/>
    </row>
    <row r="1400" spans="1:28" x14ac:dyDescent="0.2">
      <c r="A1400" s="4"/>
      <c r="B1400" s="90"/>
      <c r="C1400" s="90"/>
      <c r="D1400" s="90"/>
      <c r="E1400" s="90"/>
      <c r="F1400" s="90"/>
      <c r="G1400" s="90"/>
      <c r="H1400" s="90"/>
      <c r="I1400" s="90"/>
      <c r="J1400" s="90"/>
      <c r="K1400" s="90"/>
      <c r="L1400" s="90"/>
      <c r="M1400" s="90"/>
      <c r="N1400" s="91"/>
      <c r="O1400" s="91"/>
      <c r="P1400" s="91"/>
      <c r="Q1400" s="91"/>
      <c r="R1400" s="91"/>
      <c r="S1400" s="91"/>
      <c r="T1400" s="91"/>
      <c r="U1400" s="91"/>
      <c r="V1400" s="92"/>
      <c r="W1400" s="92"/>
      <c r="X1400" s="93"/>
      <c r="Y1400" s="93"/>
      <c r="Z1400" s="93"/>
      <c r="AA1400" s="4"/>
      <c r="AB1400" s="5"/>
    </row>
    <row r="1401" spans="1:28" x14ac:dyDescent="0.2">
      <c r="A1401" s="4"/>
      <c r="B1401" s="94"/>
      <c r="C1401" s="94"/>
      <c r="D1401" s="94"/>
      <c r="E1401" s="94"/>
      <c r="F1401" s="94"/>
      <c r="G1401" s="94"/>
      <c r="H1401" s="94"/>
      <c r="I1401" s="94"/>
      <c r="J1401" s="94"/>
      <c r="K1401" s="94"/>
      <c r="L1401" s="94"/>
      <c r="M1401" s="94"/>
      <c r="N1401" s="95"/>
      <c r="O1401" s="95"/>
      <c r="P1401" s="95"/>
      <c r="Q1401" s="95"/>
      <c r="R1401" s="95"/>
      <c r="S1401" s="95"/>
      <c r="T1401" s="95"/>
      <c r="U1401" s="95"/>
      <c r="V1401" s="96"/>
      <c r="W1401" s="96"/>
      <c r="X1401" s="97"/>
      <c r="Y1401" s="97"/>
      <c r="Z1401" s="97"/>
      <c r="AA1401" s="4"/>
      <c r="AB1401" s="5"/>
    </row>
    <row r="1402" spans="1:28" x14ac:dyDescent="0.2">
      <c r="A1402" s="4"/>
      <c r="B1402" s="90"/>
      <c r="C1402" s="90"/>
      <c r="D1402" s="90"/>
      <c r="E1402" s="90"/>
      <c r="F1402" s="90"/>
      <c r="G1402" s="90"/>
      <c r="H1402" s="90"/>
      <c r="I1402" s="90"/>
      <c r="J1402" s="90"/>
      <c r="K1402" s="90"/>
      <c r="L1402" s="90"/>
      <c r="M1402" s="90"/>
      <c r="N1402" s="91"/>
      <c r="O1402" s="91"/>
      <c r="P1402" s="91"/>
      <c r="Q1402" s="91"/>
      <c r="R1402" s="91"/>
      <c r="S1402" s="91"/>
      <c r="T1402" s="91"/>
      <c r="U1402" s="91"/>
      <c r="V1402" s="92"/>
      <c r="W1402" s="92"/>
      <c r="X1402" s="93"/>
      <c r="Y1402" s="93"/>
      <c r="Z1402" s="93"/>
      <c r="AA1402" s="4"/>
      <c r="AB1402" s="5"/>
    </row>
    <row r="1403" spans="1:28" x14ac:dyDescent="0.2">
      <c r="A1403" s="4"/>
      <c r="B1403" s="94"/>
      <c r="C1403" s="94"/>
      <c r="D1403" s="94"/>
      <c r="E1403" s="94"/>
      <c r="F1403" s="94"/>
      <c r="G1403" s="94"/>
      <c r="H1403" s="94"/>
      <c r="I1403" s="94"/>
      <c r="J1403" s="94"/>
      <c r="K1403" s="94"/>
      <c r="L1403" s="94"/>
      <c r="M1403" s="94"/>
      <c r="N1403" s="95"/>
      <c r="O1403" s="95"/>
      <c r="P1403" s="95"/>
      <c r="Q1403" s="95"/>
      <c r="R1403" s="95"/>
      <c r="S1403" s="95"/>
      <c r="T1403" s="95"/>
      <c r="U1403" s="95"/>
      <c r="V1403" s="96"/>
      <c r="W1403" s="96"/>
      <c r="X1403" s="97"/>
      <c r="Y1403" s="97"/>
      <c r="Z1403" s="97"/>
      <c r="AA1403" s="4"/>
      <c r="AB1403" s="5"/>
    </row>
    <row r="1404" spans="1:28" x14ac:dyDescent="0.2">
      <c r="A1404" s="4"/>
      <c r="B1404" s="90"/>
      <c r="C1404" s="90"/>
      <c r="D1404" s="90"/>
      <c r="E1404" s="90"/>
      <c r="F1404" s="90"/>
      <c r="G1404" s="90"/>
      <c r="H1404" s="90"/>
      <c r="I1404" s="90"/>
      <c r="J1404" s="90"/>
      <c r="K1404" s="90"/>
      <c r="L1404" s="90"/>
      <c r="M1404" s="90"/>
      <c r="N1404" s="91"/>
      <c r="O1404" s="91"/>
      <c r="P1404" s="91"/>
      <c r="Q1404" s="91"/>
      <c r="R1404" s="91"/>
      <c r="S1404" s="91"/>
      <c r="T1404" s="91"/>
      <c r="U1404" s="91"/>
      <c r="V1404" s="92"/>
      <c r="W1404" s="92"/>
      <c r="X1404" s="93"/>
      <c r="Y1404" s="93"/>
      <c r="Z1404" s="93"/>
      <c r="AA1404" s="4"/>
      <c r="AB1404" s="5"/>
    </row>
    <row r="1405" spans="1:28" x14ac:dyDescent="0.2">
      <c r="A1405" s="4"/>
      <c r="B1405" s="94"/>
      <c r="C1405" s="94"/>
      <c r="D1405" s="94"/>
      <c r="E1405" s="94"/>
      <c r="F1405" s="94"/>
      <c r="G1405" s="94"/>
      <c r="H1405" s="94"/>
      <c r="I1405" s="94"/>
      <c r="J1405" s="94"/>
      <c r="K1405" s="94"/>
      <c r="L1405" s="94"/>
      <c r="M1405" s="94"/>
      <c r="N1405" s="95"/>
      <c r="O1405" s="95"/>
      <c r="P1405" s="95"/>
      <c r="Q1405" s="95"/>
      <c r="R1405" s="95"/>
      <c r="S1405" s="95"/>
      <c r="T1405" s="95"/>
      <c r="U1405" s="95"/>
      <c r="V1405" s="96"/>
      <c r="W1405" s="96"/>
      <c r="X1405" s="97"/>
      <c r="Y1405" s="97"/>
      <c r="Z1405" s="97"/>
      <c r="AA1405" s="4"/>
      <c r="AB1405" s="5"/>
    </row>
    <row r="1406" spans="1:28" x14ac:dyDescent="0.2">
      <c r="A1406" s="4"/>
      <c r="B1406" s="90"/>
      <c r="C1406" s="90"/>
      <c r="D1406" s="90"/>
      <c r="E1406" s="90"/>
      <c r="F1406" s="90"/>
      <c r="G1406" s="90"/>
      <c r="H1406" s="90"/>
      <c r="I1406" s="90"/>
      <c r="J1406" s="90"/>
      <c r="K1406" s="90"/>
      <c r="L1406" s="90"/>
      <c r="M1406" s="90"/>
      <c r="N1406" s="91"/>
      <c r="O1406" s="91"/>
      <c r="P1406" s="91"/>
      <c r="Q1406" s="91"/>
      <c r="R1406" s="91"/>
      <c r="S1406" s="91"/>
      <c r="T1406" s="91"/>
      <c r="U1406" s="91"/>
      <c r="V1406" s="92"/>
      <c r="W1406" s="92"/>
      <c r="X1406" s="93"/>
      <c r="Y1406" s="93"/>
      <c r="Z1406" s="93"/>
      <c r="AA1406" s="4"/>
      <c r="AB1406" s="5"/>
    </row>
    <row r="1407" spans="1:28" x14ac:dyDescent="0.2">
      <c r="A1407" s="4"/>
      <c r="B1407" s="94"/>
      <c r="C1407" s="94"/>
      <c r="D1407" s="94"/>
      <c r="E1407" s="94"/>
      <c r="F1407" s="94"/>
      <c r="G1407" s="94"/>
      <c r="H1407" s="94"/>
      <c r="I1407" s="94"/>
      <c r="J1407" s="94"/>
      <c r="K1407" s="94"/>
      <c r="L1407" s="94"/>
      <c r="M1407" s="94"/>
      <c r="N1407" s="95"/>
      <c r="O1407" s="95"/>
      <c r="P1407" s="95"/>
      <c r="Q1407" s="95"/>
      <c r="R1407" s="95"/>
      <c r="S1407" s="95"/>
      <c r="T1407" s="95"/>
      <c r="U1407" s="95"/>
      <c r="V1407" s="96"/>
      <c r="W1407" s="96"/>
      <c r="X1407" s="97"/>
      <c r="Y1407" s="97"/>
      <c r="Z1407" s="97"/>
      <c r="AA1407" s="4"/>
      <c r="AB1407" s="5"/>
    </row>
    <row r="1408" spans="1:28" x14ac:dyDescent="0.2">
      <c r="A1408" s="4"/>
      <c r="B1408" s="90"/>
      <c r="C1408" s="90"/>
      <c r="D1408" s="90"/>
      <c r="E1408" s="90"/>
      <c r="F1408" s="90"/>
      <c r="G1408" s="90"/>
      <c r="H1408" s="90"/>
      <c r="I1408" s="90"/>
      <c r="J1408" s="90"/>
      <c r="K1408" s="90"/>
      <c r="L1408" s="90"/>
      <c r="M1408" s="90"/>
      <c r="N1408" s="91"/>
      <c r="O1408" s="91"/>
      <c r="P1408" s="91"/>
      <c r="Q1408" s="91"/>
      <c r="R1408" s="91"/>
      <c r="S1408" s="91"/>
      <c r="T1408" s="91"/>
      <c r="U1408" s="91"/>
      <c r="V1408" s="92"/>
      <c r="W1408" s="92"/>
      <c r="X1408" s="93"/>
      <c r="Y1408" s="93"/>
      <c r="Z1408" s="93"/>
      <c r="AA1408" s="4"/>
      <c r="AB1408" s="5"/>
    </row>
    <row r="1409" spans="1:28" x14ac:dyDescent="0.2">
      <c r="A1409" s="4"/>
      <c r="B1409" s="94"/>
      <c r="C1409" s="94"/>
      <c r="D1409" s="94"/>
      <c r="E1409" s="94"/>
      <c r="F1409" s="94"/>
      <c r="G1409" s="94"/>
      <c r="H1409" s="94"/>
      <c r="I1409" s="94"/>
      <c r="J1409" s="94"/>
      <c r="K1409" s="94"/>
      <c r="L1409" s="94"/>
      <c r="M1409" s="94"/>
      <c r="N1409" s="95"/>
      <c r="O1409" s="95"/>
      <c r="P1409" s="95"/>
      <c r="Q1409" s="95"/>
      <c r="R1409" s="95"/>
      <c r="S1409" s="95"/>
      <c r="T1409" s="95"/>
      <c r="U1409" s="95"/>
      <c r="V1409" s="96"/>
      <c r="W1409" s="96"/>
      <c r="X1409" s="97"/>
      <c r="Y1409" s="97"/>
      <c r="Z1409" s="97"/>
      <c r="AA1409" s="4"/>
      <c r="AB1409" s="5"/>
    </row>
    <row r="1410" spans="1:28" x14ac:dyDescent="0.2">
      <c r="A1410" s="4"/>
      <c r="B1410" s="90"/>
      <c r="C1410" s="90"/>
      <c r="D1410" s="90"/>
      <c r="E1410" s="90"/>
      <c r="F1410" s="90"/>
      <c r="G1410" s="90"/>
      <c r="H1410" s="90"/>
      <c r="I1410" s="90"/>
      <c r="J1410" s="90"/>
      <c r="K1410" s="90"/>
      <c r="L1410" s="90"/>
      <c r="M1410" s="90"/>
      <c r="N1410" s="91"/>
      <c r="O1410" s="91"/>
      <c r="P1410" s="91"/>
      <c r="Q1410" s="91"/>
      <c r="R1410" s="91"/>
      <c r="S1410" s="91"/>
      <c r="T1410" s="91"/>
      <c r="U1410" s="91"/>
      <c r="V1410" s="92"/>
      <c r="W1410" s="92"/>
      <c r="X1410" s="93"/>
      <c r="Y1410" s="93"/>
      <c r="Z1410" s="93"/>
      <c r="AA1410" s="4"/>
      <c r="AB1410" s="5"/>
    </row>
    <row r="1411" spans="1:28" x14ac:dyDescent="0.2">
      <c r="A1411" s="4"/>
      <c r="B1411" s="94"/>
      <c r="C1411" s="94"/>
      <c r="D1411" s="94"/>
      <c r="E1411" s="94"/>
      <c r="F1411" s="94"/>
      <c r="G1411" s="94"/>
      <c r="H1411" s="94"/>
      <c r="I1411" s="94"/>
      <c r="J1411" s="94"/>
      <c r="K1411" s="94"/>
      <c r="L1411" s="94"/>
      <c r="M1411" s="94"/>
      <c r="N1411" s="95"/>
      <c r="O1411" s="95"/>
      <c r="P1411" s="95"/>
      <c r="Q1411" s="95"/>
      <c r="R1411" s="95"/>
      <c r="S1411" s="95"/>
      <c r="T1411" s="95"/>
      <c r="U1411" s="95"/>
      <c r="V1411" s="96"/>
      <c r="W1411" s="96"/>
      <c r="X1411" s="97"/>
      <c r="Y1411" s="97"/>
      <c r="Z1411" s="97"/>
      <c r="AA1411" s="4"/>
      <c r="AB1411" s="5"/>
    </row>
    <row r="1412" spans="1:28" x14ac:dyDescent="0.2">
      <c r="A1412" s="4"/>
      <c r="B1412" s="90"/>
      <c r="C1412" s="90"/>
      <c r="D1412" s="90"/>
      <c r="E1412" s="90"/>
      <c r="F1412" s="90"/>
      <c r="G1412" s="90"/>
      <c r="H1412" s="90"/>
      <c r="I1412" s="90"/>
      <c r="J1412" s="90"/>
      <c r="K1412" s="90"/>
      <c r="L1412" s="90"/>
      <c r="M1412" s="90"/>
      <c r="N1412" s="91"/>
      <c r="O1412" s="91"/>
      <c r="P1412" s="91"/>
      <c r="Q1412" s="91"/>
      <c r="R1412" s="91"/>
      <c r="S1412" s="91"/>
      <c r="T1412" s="91"/>
      <c r="U1412" s="91"/>
      <c r="V1412" s="92"/>
      <c r="W1412" s="92"/>
      <c r="X1412" s="93"/>
      <c r="Y1412" s="93"/>
      <c r="Z1412" s="93"/>
      <c r="AA1412" s="4"/>
      <c r="AB1412" s="5"/>
    </row>
    <row r="1413" spans="1:28" x14ac:dyDescent="0.2">
      <c r="A1413" s="4"/>
      <c r="B1413" s="94"/>
      <c r="C1413" s="94"/>
      <c r="D1413" s="94"/>
      <c r="E1413" s="94"/>
      <c r="F1413" s="94"/>
      <c r="G1413" s="94"/>
      <c r="H1413" s="94"/>
      <c r="I1413" s="94"/>
      <c r="J1413" s="94"/>
      <c r="K1413" s="94"/>
      <c r="L1413" s="94"/>
      <c r="M1413" s="94"/>
      <c r="N1413" s="95"/>
      <c r="O1413" s="95"/>
      <c r="P1413" s="95"/>
      <c r="Q1413" s="95"/>
      <c r="R1413" s="95"/>
      <c r="S1413" s="95"/>
      <c r="T1413" s="95"/>
      <c r="U1413" s="95"/>
      <c r="V1413" s="96"/>
      <c r="W1413" s="96"/>
      <c r="X1413" s="97"/>
      <c r="Y1413" s="97"/>
      <c r="Z1413" s="97"/>
      <c r="AA1413" s="4"/>
      <c r="AB1413" s="5"/>
    </row>
    <row r="1414" spans="1:28" x14ac:dyDescent="0.2">
      <c r="A1414" s="4"/>
      <c r="B1414" s="90"/>
      <c r="C1414" s="90"/>
      <c r="D1414" s="90"/>
      <c r="E1414" s="90"/>
      <c r="F1414" s="90"/>
      <c r="G1414" s="90"/>
      <c r="H1414" s="90"/>
      <c r="I1414" s="90"/>
      <c r="J1414" s="90"/>
      <c r="K1414" s="90"/>
      <c r="L1414" s="90"/>
      <c r="M1414" s="90"/>
      <c r="N1414" s="91"/>
      <c r="O1414" s="91"/>
      <c r="P1414" s="91"/>
      <c r="Q1414" s="91"/>
      <c r="R1414" s="91"/>
      <c r="S1414" s="91"/>
      <c r="T1414" s="91"/>
      <c r="U1414" s="91"/>
      <c r="V1414" s="92"/>
      <c r="W1414" s="92"/>
      <c r="X1414" s="93"/>
      <c r="Y1414" s="93"/>
      <c r="Z1414" s="93"/>
      <c r="AA1414" s="4"/>
      <c r="AB1414" s="5"/>
    </row>
    <row r="1415" spans="1:28" x14ac:dyDescent="0.2">
      <c r="A1415" s="4"/>
      <c r="B1415" s="94"/>
      <c r="C1415" s="94"/>
      <c r="D1415" s="94"/>
      <c r="E1415" s="94"/>
      <c r="F1415" s="94"/>
      <c r="G1415" s="94"/>
      <c r="H1415" s="94"/>
      <c r="I1415" s="94"/>
      <c r="J1415" s="94"/>
      <c r="K1415" s="94"/>
      <c r="L1415" s="94"/>
      <c r="M1415" s="94"/>
      <c r="N1415" s="95"/>
      <c r="O1415" s="95"/>
      <c r="P1415" s="95"/>
      <c r="Q1415" s="95"/>
      <c r="R1415" s="95"/>
      <c r="S1415" s="95"/>
      <c r="T1415" s="95"/>
      <c r="U1415" s="95"/>
      <c r="V1415" s="96"/>
      <c r="W1415" s="96"/>
      <c r="X1415" s="97"/>
      <c r="Y1415" s="97"/>
      <c r="Z1415" s="97"/>
      <c r="AA1415" s="4"/>
      <c r="AB1415" s="5"/>
    </row>
    <row r="1416" spans="1:28" x14ac:dyDescent="0.2">
      <c r="A1416" s="4"/>
      <c r="B1416" s="90"/>
      <c r="C1416" s="90"/>
      <c r="D1416" s="90"/>
      <c r="E1416" s="90"/>
      <c r="F1416" s="90"/>
      <c r="G1416" s="90"/>
      <c r="H1416" s="90"/>
      <c r="I1416" s="90"/>
      <c r="J1416" s="90"/>
      <c r="K1416" s="90"/>
      <c r="L1416" s="90"/>
      <c r="M1416" s="90"/>
      <c r="N1416" s="91"/>
      <c r="O1416" s="91"/>
      <c r="P1416" s="91"/>
      <c r="Q1416" s="91"/>
      <c r="R1416" s="91"/>
      <c r="S1416" s="91"/>
      <c r="T1416" s="91"/>
      <c r="U1416" s="91"/>
      <c r="V1416" s="92"/>
      <c r="W1416" s="92"/>
      <c r="X1416" s="93"/>
      <c r="Y1416" s="93"/>
      <c r="Z1416" s="93"/>
      <c r="AA1416" s="4"/>
      <c r="AB1416" s="5"/>
    </row>
    <row r="1417" spans="1:28" x14ac:dyDescent="0.2">
      <c r="A1417" s="4"/>
      <c r="B1417" s="94"/>
      <c r="C1417" s="94"/>
      <c r="D1417" s="94"/>
      <c r="E1417" s="94"/>
      <c r="F1417" s="94"/>
      <c r="G1417" s="94"/>
      <c r="H1417" s="94"/>
      <c r="I1417" s="94"/>
      <c r="J1417" s="94"/>
      <c r="K1417" s="94"/>
      <c r="L1417" s="94"/>
      <c r="M1417" s="94"/>
      <c r="N1417" s="95"/>
      <c r="O1417" s="95"/>
      <c r="P1417" s="95"/>
      <c r="Q1417" s="95"/>
      <c r="R1417" s="95"/>
      <c r="S1417" s="95"/>
      <c r="T1417" s="95"/>
      <c r="U1417" s="95"/>
      <c r="V1417" s="96"/>
      <c r="W1417" s="96"/>
      <c r="X1417" s="97"/>
      <c r="Y1417" s="97"/>
      <c r="Z1417" s="97"/>
      <c r="AA1417" s="4"/>
      <c r="AB1417" s="5"/>
    </row>
    <row r="1418" spans="1:28" x14ac:dyDescent="0.2">
      <c r="A1418" s="4"/>
      <c r="B1418" s="90"/>
      <c r="C1418" s="90"/>
      <c r="D1418" s="90"/>
      <c r="E1418" s="90"/>
      <c r="F1418" s="90"/>
      <c r="G1418" s="90"/>
      <c r="H1418" s="90"/>
      <c r="I1418" s="90"/>
      <c r="J1418" s="90"/>
      <c r="K1418" s="90"/>
      <c r="L1418" s="90"/>
      <c r="M1418" s="90"/>
      <c r="N1418" s="91"/>
      <c r="O1418" s="91"/>
      <c r="P1418" s="91"/>
      <c r="Q1418" s="91"/>
      <c r="R1418" s="91"/>
      <c r="S1418" s="91"/>
      <c r="T1418" s="91"/>
      <c r="U1418" s="91"/>
      <c r="V1418" s="92"/>
      <c r="W1418" s="92"/>
      <c r="X1418" s="93"/>
      <c r="Y1418" s="93"/>
      <c r="Z1418" s="93"/>
      <c r="AA1418" s="4"/>
      <c r="AB1418" s="5"/>
    </row>
    <row r="1419" spans="1:28" x14ac:dyDescent="0.2">
      <c r="A1419" s="4"/>
      <c r="B1419" s="94"/>
      <c r="C1419" s="94"/>
      <c r="D1419" s="94"/>
      <c r="E1419" s="94"/>
      <c r="F1419" s="94"/>
      <c r="G1419" s="94"/>
      <c r="H1419" s="94"/>
      <c r="I1419" s="94"/>
      <c r="J1419" s="94"/>
      <c r="K1419" s="94"/>
      <c r="L1419" s="94"/>
      <c r="M1419" s="94"/>
      <c r="N1419" s="95"/>
      <c r="O1419" s="95"/>
      <c r="P1419" s="95"/>
      <c r="Q1419" s="95"/>
      <c r="R1419" s="95"/>
      <c r="S1419" s="95"/>
      <c r="T1419" s="95"/>
      <c r="U1419" s="95"/>
      <c r="V1419" s="96"/>
      <c r="W1419" s="96"/>
      <c r="X1419" s="97"/>
      <c r="Y1419" s="97"/>
      <c r="Z1419" s="97"/>
      <c r="AA1419" s="4"/>
      <c r="AB1419" s="5"/>
    </row>
    <row r="1420" spans="1:28" x14ac:dyDescent="0.2">
      <c r="A1420" s="4"/>
      <c r="B1420" s="90"/>
      <c r="C1420" s="90"/>
      <c r="D1420" s="90"/>
      <c r="E1420" s="90"/>
      <c r="F1420" s="90"/>
      <c r="G1420" s="90"/>
      <c r="H1420" s="90"/>
      <c r="I1420" s="90"/>
      <c r="J1420" s="90"/>
      <c r="K1420" s="90"/>
      <c r="L1420" s="90"/>
      <c r="M1420" s="90"/>
      <c r="N1420" s="91"/>
      <c r="O1420" s="91"/>
      <c r="P1420" s="91"/>
      <c r="Q1420" s="91"/>
      <c r="R1420" s="91"/>
      <c r="S1420" s="91"/>
      <c r="T1420" s="91"/>
      <c r="U1420" s="91"/>
      <c r="V1420" s="92"/>
      <c r="W1420" s="92"/>
      <c r="X1420" s="93"/>
      <c r="Y1420" s="93"/>
      <c r="Z1420" s="93"/>
      <c r="AA1420" s="4"/>
      <c r="AB1420" s="5"/>
    </row>
    <row r="1421" spans="1:28" x14ac:dyDescent="0.2">
      <c r="A1421" s="4"/>
      <c r="B1421" s="94"/>
      <c r="C1421" s="94"/>
      <c r="D1421" s="94"/>
      <c r="E1421" s="94"/>
      <c r="F1421" s="94"/>
      <c r="G1421" s="94"/>
      <c r="H1421" s="94"/>
      <c r="I1421" s="94"/>
      <c r="J1421" s="94"/>
      <c r="K1421" s="94"/>
      <c r="L1421" s="94"/>
      <c r="M1421" s="94"/>
      <c r="N1421" s="95"/>
      <c r="O1421" s="95"/>
      <c r="P1421" s="95"/>
      <c r="Q1421" s="95"/>
      <c r="R1421" s="95"/>
      <c r="S1421" s="95"/>
      <c r="T1421" s="95"/>
      <c r="U1421" s="95"/>
      <c r="V1421" s="96"/>
      <c r="W1421" s="96"/>
      <c r="X1421" s="97"/>
      <c r="Y1421" s="97"/>
      <c r="Z1421" s="97"/>
      <c r="AA1421" s="4"/>
      <c r="AB1421" s="5"/>
    </row>
    <row r="1422" spans="1:28" x14ac:dyDescent="0.2">
      <c r="A1422" s="4"/>
      <c r="B1422" s="90"/>
      <c r="C1422" s="90"/>
      <c r="D1422" s="90"/>
      <c r="E1422" s="90"/>
      <c r="F1422" s="90"/>
      <c r="G1422" s="90"/>
      <c r="H1422" s="90"/>
      <c r="I1422" s="90"/>
      <c r="J1422" s="90"/>
      <c r="K1422" s="90"/>
      <c r="L1422" s="90"/>
      <c r="M1422" s="90"/>
      <c r="N1422" s="91"/>
      <c r="O1422" s="91"/>
      <c r="P1422" s="91"/>
      <c r="Q1422" s="91"/>
      <c r="R1422" s="91"/>
      <c r="S1422" s="91"/>
      <c r="T1422" s="91"/>
      <c r="U1422" s="91"/>
      <c r="V1422" s="92"/>
      <c r="W1422" s="92"/>
      <c r="X1422" s="93"/>
      <c r="Y1422" s="93"/>
      <c r="Z1422" s="93"/>
      <c r="AA1422" s="4"/>
      <c r="AB1422" s="5"/>
    </row>
    <row r="1423" spans="1:28" x14ac:dyDescent="0.2">
      <c r="A1423" s="4"/>
      <c r="B1423" s="94"/>
      <c r="C1423" s="94"/>
      <c r="D1423" s="94"/>
      <c r="E1423" s="94"/>
      <c r="F1423" s="94"/>
      <c r="G1423" s="94"/>
      <c r="H1423" s="94"/>
      <c r="I1423" s="94"/>
      <c r="J1423" s="94"/>
      <c r="K1423" s="94"/>
      <c r="L1423" s="94"/>
      <c r="M1423" s="94"/>
      <c r="N1423" s="95"/>
      <c r="O1423" s="95"/>
      <c r="P1423" s="95"/>
      <c r="Q1423" s="95"/>
      <c r="R1423" s="95"/>
      <c r="S1423" s="95"/>
      <c r="T1423" s="95"/>
      <c r="U1423" s="95"/>
      <c r="V1423" s="96"/>
      <c r="W1423" s="96"/>
      <c r="X1423" s="97"/>
      <c r="Y1423" s="97"/>
      <c r="Z1423" s="97"/>
      <c r="AA1423" s="4"/>
      <c r="AB1423" s="5"/>
    </row>
    <row r="1424" spans="1:28" x14ac:dyDescent="0.2">
      <c r="A1424" s="4"/>
      <c r="B1424" s="90"/>
      <c r="C1424" s="90"/>
      <c r="D1424" s="90"/>
      <c r="E1424" s="90"/>
      <c r="F1424" s="90"/>
      <c r="G1424" s="90"/>
      <c r="H1424" s="90"/>
      <c r="I1424" s="90"/>
      <c r="J1424" s="90"/>
      <c r="K1424" s="90"/>
      <c r="L1424" s="90"/>
      <c r="M1424" s="90"/>
      <c r="N1424" s="91"/>
      <c r="O1424" s="91"/>
      <c r="P1424" s="91"/>
      <c r="Q1424" s="91"/>
      <c r="R1424" s="91"/>
      <c r="S1424" s="91"/>
      <c r="T1424" s="91"/>
      <c r="U1424" s="91"/>
      <c r="V1424" s="92"/>
      <c r="W1424" s="92"/>
      <c r="X1424" s="93"/>
      <c r="Y1424" s="93"/>
      <c r="Z1424" s="93"/>
      <c r="AA1424" s="4"/>
      <c r="AB1424" s="5"/>
    </row>
    <row r="1425" spans="1:28" x14ac:dyDescent="0.2">
      <c r="A1425" s="4"/>
      <c r="B1425" s="94"/>
      <c r="C1425" s="94"/>
      <c r="D1425" s="94"/>
      <c r="E1425" s="94"/>
      <c r="F1425" s="94"/>
      <c r="G1425" s="94"/>
      <c r="H1425" s="94"/>
      <c r="I1425" s="94"/>
      <c r="J1425" s="94"/>
      <c r="K1425" s="94"/>
      <c r="L1425" s="94"/>
      <c r="M1425" s="94"/>
      <c r="N1425" s="95"/>
      <c r="O1425" s="95"/>
      <c r="P1425" s="95"/>
      <c r="Q1425" s="95"/>
      <c r="R1425" s="95"/>
      <c r="S1425" s="95"/>
      <c r="T1425" s="95"/>
      <c r="U1425" s="95"/>
      <c r="V1425" s="96"/>
      <c r="W1425" s="96"/>
      <c r="X1425" s="97"/>
      <c r="Y1425" s="97"/>
      <c r="Z1425" s="97"/>
      <c r="AA1425" s="4"/>
      <c r="AB1425" s="5"/>
    </row>
    <row r="1426" spans="1:28" x14ac:dyDescent="0.2">
      <c r="A1426" s="4"/>
      <c r="B1426" s="90"/>
      <c r="C1426" s="90"/>
      <c r="D1426" s="90"/>
      <c r="E1426" s="90"/>
      <c r="F1426" s="90"/>
      <c r="G1426" s="90"/>
      <c r="H1426" s="90"/>
      <c r="I1426" s="90"/>
      <c r="J1426" s="90"/>
      <c r="K1426" s="90"/>
      <c r="L1426" s="90"/>
      <c r="M1426" s="90"/>
      <c r="N1426" s="91"/>
      <c r="O1426" s="91"/>
      <c r="P1426" s="91"/>
      <c r="Q1426" s="91"/>
      <c r="R1426" s="91"/>
      <c r="S1426" s="91"/>
      <c r="T1426" s="91"/>
      <c r="U1426" s="91"/>
      <c r="V1426" s="92"/>
      <c r="W1426" s="92"/>
      <c r="X1426" s="93"/>
      <c r="Y1426" s="93"/>
      <c r="Z1426" s="93"/>
      <c r="AA1426" s="4"/>
      <c r="AB1426" s="5"/>
    </row>
    <row r="1427" spans="1:28" x14ac:dyDescent="0.2">
      <c r="A1427" s="4"/>
      <c r="B1427" s="94"/>
      <c r="C1427" s="94"/>
      <c r="D1427" s="94"/>
      <c r="E1427" s="94"/>
      <c r="F1427" s="94"/>
      <c r="G1427" s="94"/>
      <c r="H1427" s="94"/>
      <c r="I1427" s="94"/>
      <c r="J1427" s="94"/>
      <c r="K1427" s="94"/>
      <c r="L1427" s="94"/>
      <c r="M1427" s="94"/>
      <c r="N1427" s="95"/>
      <c r="O1427" s="95"/>
      <c r="P1427" s="95"/>
      <c r="Q1427" s="95"/>
      <c r="R1427" s="95"/>
      <c r="S1427" s="95"/>
      <c r="T1427" s="95"/>
      <c r="U1427" s="95"/>
      <c r="V1427" s="96"/>
      <c r="W1427" s="96"/>
      <c r="X1427" s="97"/>
      <c r="Y1427" s="97"/>
      <c r="Z1427" s="97"/>
      <c r="AA1427" s="4"/>
      <c r="AB1427" s="5"/>
    </row>
    <row r="1428" spans="1:28" x14ac:dyDescent="0.2">
      <c r="A1428" s="4"/>
      <c r="B1428" s="90"/>
      <c r="C1428" s="90"/>
      <c r="D1428" s="90"/>
      <c r="E1428" s="90"/>
      <c r="F1428" s="90"/>
      <c r="G1428" s="90"/>
      <c r="H1428" s="90"/>
      <c r="I1428" s="90"/>
      <c r="J1428" s="90"/>
      <c r="K1428" s="90"/>
      <c r="L1428" s="90"/>
      <c r="M1428" s="90"/>
      <c r="N1428" s="91"/>
      <c r="O1428" s="91"/>
      <c r="P1428" s="91"/>
      <c r="Q1428" s="91"/>
      <c r="R1428" s="91"/>
      <c r="S1428" s="91"/>
      <c r="T1428" s="91"/>
      <c r="U1428" s="91"/>
      <c r="V1428" s="92"/>
      <c r="W1428" s="92"/>
      <c r="X1428" s="93"/>
      <c r="Y1428" s="93"/>
      <c r="Z1428" s="93"/>
      <c r="AA1428" s="4"/>
      <c r="AB1428" s="5"/>
    </row>
    <row r="1429" spans="1:28" x14ac:dyDescent="0.2">
      <c r="A1429" s="4"/>
      <c r="B1429" s="94"/>
      <c r="C1429" s="94"/>
      <c r="D1429" s="94"/>
      <c r="E1429" s="94"/>
      <c r="F1429" s="94"/>
      <c r="G1429" s="94"/>
      <c r="H1429" s="94"/>
      <c r="I1429" s="94"/>
      <c r="J1429" s="94"/>
      <c r="K1429" s="94"/>
      <c r="L1429" s="94"/>
      <c r="M1429" s="94"/>
      <c r="N1429" s="95"/>
      <c r="O1429" s="95"/>
      <c r="P1429" s="95"/>
      <c r="Q1429" s="95"/>
      <c r="R1429" s="95"/>
      <c r="S1429" s="95"/>
      <c r="T1429" s="95"/>
      <c r="U1429" s="95"/>
      <c r="V1429" s="96"/>
      <c r="W1429" s="96"/>
      <c r="X1429" s="97"/>
      <c r="Y1429" s="97"/>
      <c r="Z1429" s="97"/>
      <c r="AA1429" s="4"/>
      <c r="AB1429" s="5"/>
    </row>
    <row r="1430" spans="1:28" x14ac:dyDescent="0.2">
      <c r="A1430" s="4"/>
      <c r="B1430" s="90"/>
      <c r="C1430" s="90"/>
      <c r="D1430" s="90"/>
      <c r="E1430" s="90"/>
      <c r="F1430" s="90"/>
      <c r="G1430" s="90"/>
      <c r="H1430" s="90"/>
      <c r="I1430" s="90"/>
      <c r="J1430" s="90"/>
      <c r="K1430" s="90"/>
      <c r="L1430" s="90"/>
      <c r="M1430" s="90"/>
      <c r="N1430" s="91"/>
      <c r="O1430" s="91"/>
      <c r="P1430" s="91"/>
      <c r="Q1430" s="91"/>
      <c r="R1430" s="91"/>
      <c r="S1430" s="91"/>
      <c r="T1430" s="91"/>
      <c r="U1430" s="91"/>
      <c r="V1430" s="92"/>
      <c r="W1430" s="92"/>
      <c r="X1430" s="93"/>
      <c r="Y1430" s="93"/>
      <c r="Z1430" s="93"/>
      <c r="AA1430" s="4"/>
      <c r="AB1430" s="5"/>
    </row>
    <row r="1431" spans="1:28" x14ac:dyDescent="0.2">
      <c r="A1431" s="4"/>
      <c r="B1431" s="94"/>
      <c r="C1431" s="94"/>
      <c r="D1431" s="94"/>
      <c r="E1431" s="94"/>
      <c r="F1431" s="94"/>
      <c r="G1431" s="94"/>
      <c r="H1431" s="94"/>
      <c r="I1431" s="94"/>
      <c r="J1431" s="94"/>
      <c r="K1431" s="94"/>
      <c r="L1431" s="94"/>
      <c r="M1431" s="94"/>
      <c r="N1431" s="95"/>
      <c r="O1431" s="95"/>
      <c r="P1431" s="95"/>
      <c r="Q1431" s="95"/>
      <c r="R1431" s="95"/>
      <c r="S1431" s="95"/>
      <c r="T1431" s="95"/>
      <c r="U1431" s="95"/>
      <c r="V1431" s="96"/>
      <c r="W1431" s="96"/>
      <c r="X1431" s="97"/>
      <c r="Y1431" s="97"/>
      <c r="Z1431" s="97"/>
      <c r="AA1431" s="4"/>
      <c r="AB1431" s="5"/>
    </row>
    <row r="1432" spans="1:28" x14ac:dyDescent="0.2">
      <c r="A1432" s="4"/>
      <c r="B1432" s="90"/>
      <c r="C1432" s="90"/>
      <c r="D1432" s="90"/>
      <c r="E1432" s="90"/>
      <c r="F1432" s="90"/>
      <c r="G1432" s="90"/>
      <c r="H1432" s="90"/>
      <c r="I1432" s="90"/>
      <c r="J1432" s="90"/>
      <c r="K1432" s="90"/>
      <c r="L1432" s="90"/>
      <c r="M1432" s="90"/>
      <c r="N1432" s="91"/>
      <c r="O1432" s="91"/>
      <c r="P1432" s="91"/>
      <c r="Q1432" s="91"/>
      <c r="R1432" s="91"/>
      <c r="S1432" s="91"/>
      <c r="T1432" s="91"/>
      <c r="U1432" s="91"/>
      <c r="V1432" s="92"/>
      <c r="W1432" s="92"/>
      <c r="X1432" s="93"/>
      <c r="Y1432" s="93"/>
      <c r="Z1432" s="93"/>
      <c r="AA1432" s="4"/>
      <c r="AB1432" s="5"/>
    </row>
    <row r="1433" spans="1:28" x14ac:dyDescent="0.2">
      <c r="A1433" s="4"/>
      <c r="B1433" s="94"/>
      <c r="C1433" s="94"/>
      <c r="D1433" s="94"/>
      <c r="E1433" s="94"/>
      <c r="F1433" s="94"/>
      <c r="G1433" s="94"/>
      <c r="H1433" s="94"/>
      <c r="I1433" s="94"/>
      <c r="J1433" s="94"/>
      <c r="K1433" s="94"/>
      <c r="L1433" s="94"/>
      <c r="M1433" s="94"/>
      <c r="N1433" s="95"/>
      <c r="O1433" s="95"/>
      <c r="P1433" s="95"/>
      <c r="Q1433" s="95"/>
      <c r="R1433" s="95"/>
      <c r="S1433" s="95"/>
      <c r="T1433" s="95"/>
      <c r="U1433" s="95"/>
      <c r="V1433" s="96"/>
      <c r="W1433" s="96"/>
      <c r="X1433" s="97"/>
      <c r="Y1433" s="97"/>
      <c r="Z1433" s="97"/>
      <c r="AA1433" s="4"/>
      <c r="AB1433" s="5"/>
    </row>
    <row r="1434" spans="1:28" x14ac:dyDescent="0.2">
      <c r="A1434" s="4"/>
      <c r="B1434" s="90"/>
      <c r="C1434" s="90"/>
      <c r="D1434" s="90"/>
      <c r="E1434" s="90"/>
      <c r="F1434" s="90"/>
      <c r="G1434" s="90"/>
      <c r="H1434" s="90"/>
      <c r="I1434" s="90"/>
      <c r="J1434" s="90"/>
      <c r="K1434" s="90"/>
      <c r="L1434" s="90"/>
      <c r="M1434" s="90"/>
      <c r="N1434" s="91"/>
      <c r="O1434" s="91"/>
      <c r="P1434" s="91"/>
      <c r="Q1434" s="91"/>
      <c r="R1434" s="91"/>
      <c r="S1434" s="91"/>
      <c r="T1434" s="91"/>
      <c r="U1434" s="91"/>
      <c r="V1434" s="92"/>
      <c r="W1434" s="92"/>
      <c r="X1434" s="93"/>
      <c r="Y1434" s="93"/>
      <c r="Z1434" s="93"/>
      <c r="AA1434" s="4"/>
      <c r="AB1434" s="5"/>
    </row>
    <row r="1435" spans="1:28" x14ac:dyDescent="0.2">
      <c r="A1435" s="4"/>
      <c r="B1435" s="94"/>
      <c r="C1435" s="94"/>
      <c r="D1435" s="94"/>
      <c r="E1435" s="94"/>
      <c r="F1435" s="94"/>
      <c r="G1435" s="94"/>
      <c r="H1435" s="94"/>
      <c r="I1435" s="94"/>
      <c r="J1435" s="94"/>
      <c r="K1435" s="94"/>
      <c r="L1435" s="94"/>
      <c r="M1435" s="94"/>
      <c r="N1435" s="95"/>
      <c r="O1435" s="95"/>
      <c r="P1435" s="95"/>
      <c r="Q1435" s="95"/>
      <c r="R1435" s="95"/>
      <c r="S1435" s="95"/>
      <c r="T1435" s="95"/>
      <c r="U1435" s="95"/>
      <c r="V1435" s="96"/>
      <c r="W1435" s="96"/>
      <c r="X1435" s="97"/>
      <c r="Y1435" s="97"/>
      <c r="Z1435" s="97"/>
      <c r="AA1435" s="4"/>
      <c r="AB1435" s="5"/>
    </row>
    <row r="1436" spans="1:28" x14ac:dyDescent="0.2">
      <c r="A1436" s="4"/>
      <c r="B1436" s="90"/>
      <c r="C1436" s="90"/>
      <c r="D1436" s="90"/>
      <c r="E1436" s="90"/>
      <c r="F1436" s="90"/>
      <c r="G1436" s="90"/>
      <c r="H1436" s="90"/>
      <c r="I1436" s="90"/>
      <c r="J1436" s="90"/>
      <c r="K1436" s="90"/>
      <c r="L1436" s="90"/>
      <c r="M1436" s="90"/>
      <c r="N1436" s="91"/>
      <c r="O1436" s="91"/>
      <c r="P1436" s="91"/>
      <c r="Q1436" s="91"/>
      <c r="R1436" s="91"/>
      <c r="S1436" s="91"/>
      <c r="T1436" s="91"/>
      <c r="U1436" s="91"/>
      <c r="V1436" s="92"/>
      <c r="W1436" s="92"/>
      <c r="X1436" s="93"/>
      <c r="Y1436" s="93"/>
      <c r="Z1436" s="93"/>
      <c r="AA1436" s="4"/>
      <c r="AB1436" s="5"/>
    </row>
    <row r="1437" spans="1:28" x14ac:dyDescent="0.2">
      <c r="A1437" s="4"/>
      <c r="B1437" s="94"/>
      <c r="C1437" s="94"/>
      <c r="D1437" s="94"/>
      <c r="E1437" s="94"/>
      <c r="F1437" s="94"/>
      <c r="G1437" s="94"/>
      <c r="H1437" s="94"/>
      <c r="I1437" s="94"/>
      <c r="J1437" s="94"/>
      <c r="K1437" s="94"/>
      <c r="L1437" s="94"/>
      <c r="M1437" s="94"/>
      <c r="N1437" s="95"/>
      <c r="O1437" s="95"/>
      <c r="P1437" s="95"/>
      <c r="Q1437" s="95"/>
      <c r="R1437" s="95"/>
      <c r="S1437" s="95"/>
      <c r="T1437" s="95"/>
      <c r="U1437" s="95"/>
      <c r="V1437" s="96"/>
      <c r="W1437" s="96"/>
      <c r="X1437" s="97"/>
      <c r="Y1437" s="97"/>
      <c r="Z1437" s="97"/>
      <c r="AA1437" s="4"/>
      <c r="AB1437" s="5"/>
    </row>
    <row r="1438" spans="1:28" x14ac:dyDescent="0.2">
      <c r="A1438" s="4"/>
      <c r="B1438" s="90"/>
      <c r="C1438" s="90"/>
      <c r="D1438" s="90"/>
      <c r="E1438" s="90"/>
      <c r="F1438" s="90"/>
      <c r="G1438" s="90"/>
      <c r="H1438" s="90"/>
      <c r="I1438" s="90"/>
      <c r="J1438" s="90"/>
      <c r="K1438" s="90"/>
      <c r="L1438" s="90"/>
      <c r="M1438" s="90"/>
      <c r="N1438" s="91"/>
      <c r="O1438" s="91"/>
      <c r="P1438" s="91"/>
      <c r="Q1438" s="91"/>
      <c r="R1438" s="91"/>
      <c r="S1438" s="91"/>
      <c r="T1438" s="91"/>
      <c r="U1438" s="91"/>
      <c r="V1438" s="92"/>
      <c r="W1438" s="92"/>
      <c r="X1438" s="93"/>
      <c r="Y1438" s="93"/>
      <c r="Z1438" s="93"/>
      <c r="AA1438" s="4"/>
      <c r="AB1438" s="5"/>
    </row>
    <row r="1439" spans="1:28" x14ac:dyDescent="0.2">
      <c r="A1439" s="4"/>
      <c r="B1439" s="94"/>
      <c r="C1439" s="94"/>
      <c r="D1439" s="94"/>
      <c r="E1439" s="94"/>
      <c r="F1439" s="94"/>
      <c r="G1439" s="94"/>
      <c r="H1439" s="94"/>
      <c r="I1439" s="94"/>
      <c r="J1439" s="94"/>
      <c r="K1439" s="94"/>
      <c r="L1439" s="94"/>
      <c r="M1439" s="94"/>
      <c r="N1439" s="95"/>
      <c r="O1439" s="95"/>
      <c r="P1439" s="95"/>
      <c r="Q1439" s="95"/>
      <c r="R1439" s="95"/>
      <c r="S1439" s="95"/>
      <c r="T1439" s="95"/>
      <c r="U1439" s="95"/>
      <c r="V1439" s="96"/>
      <c r="W1439" s="96"/>
      <c r="X1439" s="97"/>
      <c r="Y1439" s="97"/>
      <c r="Z1439" s="97"/>
      <c r="AA1439" s="4"/>
      <c r="AB1439" s="5"/>
    </row>
    <row r="1440" spans="1:28" x14ac:dyDescent="0.2">
      <c r="A1440" s="4"/>
      <c r="B1440" s="90"/>
      <c r="C1440" s="90"/>
      <c r="D1440" s="90"/>
      <c r="E1440" s="90"/>
      <c r="F1440" s="90"/>
      <c r="G1440" s="90"/>
      <c r="H1440" s="90"/>
      <c r="I1440" s="90"/>
      <c r="J1440" s="90"/>
      <c r="K1440" s="90"/>
      <c r="L1440" s="90"/>
      <c r="M1440" s="90"/>
      <c r="N1440" s="91"/>
      <c r="O1440" s="91"/>
      <c r="P1440" s="91"/>
      <c r="Q1440" s="91"/>
      <c r="R1440" s="91"/>
      <c r="S1440" s="91"/>
      <c r="T1440" s="91"/>
      <c r="U1440" s="91"/>
      <c r="V1440" s="92"/>
      <c r="W1440" s="92"/>
      <c r="X1440" s="93"/>
      <c r="Y1440" s="93"/>
      <c r="Z1440" s="93"/>
      <c r="AA1440" s="4"/>
      <c r="AB1440" s="5"/>
    </row>
    <row r="1441" spans="1:28" x14ac:dyDescent="0.2">
      <c r="A1441" s="4"/>
      <c r="B1441" s="94"/>
      <c r="C1441" s="94"/>
      <c r="D1441" s="94"/>
      <c r="E1441" s="94"/>
      <c r="F1441" s="94"/>
      <c r="G1441" s="94"/>
      <c r="H1441" s="94"/>
      <c r="I1441" s="94"/>
      <c r="J1441" s="94"/>
      <c r="K1441" s="94"/>
      <c r="L1441" s="94"/>
      <c r="M1441" s="94"/>
      <c r="N1441" s="95"/>
      <c r="O1441" s="95"/>
      <c r="P1441" s="95"/>
      <c r="Q1441" s="95"/>
      <c r="R1441" s="95"/>
      <c r="S1441" s="95"/>
      <c r="T1441" s="95"/>
      <c r="U1441" s="95"/>
      <c r="V1441" s="96"/>
      <c r="W1441" s="96"/>
      <c r="X1441" s="97"/>
      <c r="Y1441" s="97"/>
      <c r="Z1441" s="97"/>
      <c r="AA1441" s="4"/>
      <c r="AB1441" s="5"/>
    </row>
    <row r="1442" spans="1:28" x14ac:dyDescent="0.2">
      <c r="A1442" s="4"/>
      <c r="B1442" s="90"/>
      <c r="C1442" s="90"/>
      <c r="D1442" s="90"/>
      <c r="E1442" s="90"/>
      <c r="F1442" s="90"/>
      <c r="G1442" s="90"/>
      <c r="H1442" s="90"/>
      <c r="I1442" s="90"/>
      <c r="J1442" s="90"/>
      <c r="K1442" s="90"/>
      <c r="L1442" s="90"/>
      <c r="M1442" s="90"/>
      <c r="N1442" s="91"/>
      <c r="O1442" s="91"/>
      <c r="P1442" s="91"/>
      <c r="Q1442" s="91"/>
      <c r="R1442" s="91"/>
      <c r="S1442" s="91"/>
      <c r="T1442" s="91"/>
      <c r="U1442" s="91"/>
      <c r="V1442" s="92"/>
      <c r="W1442" s="92"/>
      <c r="X1442" s="93"/>
      <c r="Y1442" s="93"/>
      <c r="Z1442" s="93"/>
      <c r="AA1442" s="4"/>
      <c r="AB1442" s="5"/>
    </row>
    <row r="1443" spans="1:28" x14ac:dyDescent="0.2">
      <c r="A1443" s="4"/>
      <c r="B1443" s="94"/>
      <c r="C1443" s="94"/>
      <c r="D1443" s="94"/>
      <c r="E1443" s="94"/>
      <c r="F1443" s="94"/>
      <c r="G1443" s="94"/>
      <c r="H1443" s="94"/>
      <c r="I1443" s="94"/>
      <c r="J1443" s="94"/>
      <c r="K1443" s="94"/>
      <c r="L1443" s="94"/>
      <c r="M1443" s="94"/>
      <c r="N1443" s="95"/>
      <c r="O1443" s="95"/>
      <c r="P1443" s="95"/>
      <c r="Q1443" s="95"/>
      <c r="R1443" s="95"/>
      <c r="S1443" s="95"/>
      <c r="T1443" s="95"/>
      <c r="U1443" s="95"/>
      <c r="V1443" s="96"/>
      <c r="W1443" s="96"/>
      <c r="X1443" s="97"/>
      <c r="Y1443" s="97"/>
      <c r="Z1443" s="97"/>
      <c r="AA1443" s="4"/>
      <c r="AB1443" s="5"/>
    </row>
    <row r="1444" spans="1:28" x14ac:dyDescent="0.2">
      <c r="A1444" s="4"/>
      <c r="B1444" s="90"/>
      <c r="C1444" s="90"/>
      <c r="D1444" s="90"/>
      <c r="E1444" s="90"/>
      <c r="F1444" s="90"/>
      <c r="G1444" s="90"/>
      <c r="H1444" s="90"/>
      <c r="I1444" s="90"/>
      <c r="J1444" s="90"/>
      <c r="K1444" s="90"/>
      <c r="L1444" s="90"/>
      <c r="M1444" s="90"/>
      <c r="N1444" s="91"/>
      <c r="O1444" s="91"/>
      <c r="P1444" s="91"/>
      <c r="Q1444" s="91"/>
      <c r="R1444" s="91"/>
      <c r="S1444" s="91"/>
      <c r="T1444" s="91"/>
      <c r="U1444" s="91"/>
      <c r="V1444" s="92"/>
      <c r="W1444" s="92"/>
      <c r="X1444" s="93"/>
      <c r="Y1444" s="93"/>
      <c r="Z1444" s="93"/>
      <c r="AA1444" s="4"/>
      <c r="AB1444" s="5"/>
    </row>
    <row r="1445" spans="1:28" x14ac:dyDescent="0.2">
      <c r="A1445" s="4"/>
      <c r="B1445" s="94"/>
      <c r="C1445" s="94"/>
      <c r="D1445" s="94"/>
      <c r="E1445" s="94"/>
      <c r="F1445" s="94"/>
      <c r="G1445" s="94"/>
      <c r="H1445" s="94"/>
      <c r="I1445" s="94"/>
      <c r="J1445" s="94"/>
      <c r="K1445" s="94"/>
      <c r="L1445" s="94"/>
      <c r="M1445" s="94"/>
      <c r="N1445" s="95"/>
      <c r="O1445" s="95"/>
      <c r="P1445" s="95"/>
      <c r="Q1445" s="95"/>
      <c r="R1445" s="95"/>
      <c r="S1445" s="95"/>
      <c r="T1445" s="95"/>
      <c r="U1445" s="95"/>
      <c r="V1445" s="96"/>
      <c r="W1445" s="96"/>
      <c r="X1445" s="97"/>
      <c r="Y1445" s="97"/>
      <c r="Z1445" s="97"/>
      <c r="AA1445" s="4"/>
      <c r="AB1445" s="5"/>
    </row>
    <row r="1446" spans="1:28" x14ac:dyDescent="0.2">
      <c r="A1446" s="4"/>
      <c r="B1446" s="90"/>
      <c r="C1446" s="90"/>
      <c r="D1446" s="90"/>
      <c r="E1446" s="90"/>
      <c r="F1446" s="90"/>
      <c r="G1446" s="90"/>
      <c r="H1446" s="90"/>
      <c r="I1446" s="90"/>
      <c r="J1446" s="90"/>
      <c r="K1446" s="90"/>
      <c r="L1446" s="90"/>
      <c r="M1446" s="90"/>
      <c r="N1446" s="91"/>
      <c r="O1446" s="91"/>
      <c r="P1446" s="91"/>
      <c r="Q1446" s="91"/>
      <c r="R1446" s="91"/>
      <c r="S1446" s="91"/>
      <c r="T1446" s="91"/>
      <c r="U1446" s="91"/>
      <c r="V1446" s="92"/>
      <c r="W1446" s="92"/>
      <c r="X1446" s="93"/>
      <c r="Y1446" s="93"/>
      <c r="Z1446" s="93"/>
      <c r="AA1446" s="4"/>
      <c r="AB1446" s="5"/>
    </row>
    <row r="1447" spans="1:28" x14ac:dyDescent="0.2">
      <c r="A1447" s="4"/>
      <c r="B1447" s="94"/>
      <c r="C1447" s="94"/>
      <c r="D1447" s="94"/>
      <c r="E1447" s="94"/>
      <c r="F1447" s="94"/>
      <c r="G1447" s="94"/>
      <c r="H1447" s="94"/>
      <c r="I1447" s="94"/>
      <c r="J1447" s="94"/>
      <c r="K1447" s="94"/>
      <c r="L1447" s="94"/>
      <c r="M1447" s="94"/>
      <c r="N1447" s="95"/>
      <c r="O1447" s="95"/>
      <c r="P1447" s="95"/>
      <c r="Q1447" s="95"/>
      <c r="R1447" s="95"/>
      <c r="S1447" s="95"/>
      <c r="T1447" s="95"/>
      <c r="U1447" s="95"/>
      <c r="V1447" s="96"/>
      <c r="W1447" s="96"/>
      <c r="X1447" s="97"/>
      <c r="Y1447" s="97"/>
      <c r="Z1447" s="97"/>
      <c r="AA1447" s="4"/>
      <c r="AB1447" s="5"/>
    </row>
    <row r="1448" spans="1:28" x14ac:dyDescent="0.2">
      <c r="A1448" s="4"/>
      <c r="B1448" s="90"/>
      <c r="C1448" s="90"/>
      <c r="D1448" s="90"/>
      <c r="E1448" s="90"/>
      <c r="F1448" s="90"/>
      <c r="G1448" s="90"/>
      <c r="H1448" s="90"/>
      <c r="I1448" s="90"/>
      <c r="J1448" s="90"/>
      <c r="K1448" s="90"/>
      <c r="L1448" s="90"/>
      <c r="M1448" s="90"/>
      <c r="N1448" s="91"/>
      <c r="O1448" s="91"/>
      <c r="P1448" s="91"/>
      <c r="Q1448" s="91"/>
      <c r="R1448" s="91"/>
      <c r="S1448" s="91"/>
      <c r="T1448" s="91"/>
      <c r="U1448" s="91"/>
      <c r="V1448" s="92"/>
      <c r="W1448" s="92"/>
      <c r="X1448" s="93"/>
      <c r="Y1448" s="93"/>
      <c r="Z1448" s="93"/>
      <c r="AA1448" s="4"/>
      <c r="AB1448" s="5"/>
    </row>
    <row r="1449" spans="1:28" x14ac:dyDescent="0.2">
      <c r="A1449" s="4"/>
      <c r="B1449" s="94"/>
      <c r="C1449" s="94"/>
      <c r="D1449" s="94"/>
      <c r="E1449" s="94"/>
      <c r="F1449" s="94"/>
      <c r="G1449" s="94"/>
      <c r="H1449" s="94"/>
      <c r="I1449" s="94"/>
      <c r="J1449" s="94"/>
      <c r="K1449" s="94"/>
      <c r="L1449" s="94"/>
      <c r="M1449" s="94"/>
      <c r="N1449" s="95"/>
      <c r="O1449" s="95"/>
      <c r="P1449" s="95"/>
      <c r="Q1449" s="95"/>
      <c r="R1449" s="95"/>
      <c r="S1449" s="95"/>
      <c r="T1449" s="95"/>
      <c r="U1449" s="95"/>
      <c r="V1449" s="96"/>
      <c r="W1449" s="96"/>
      <c r="X1449" s="97"/>
      <c r="Y1449" s="97"/>
      <c r="Z1449" s="97"/>
      <c r="AA1449" s="4"/>
      <c r="AB1449" s="5"/>
    </row>
    <row r="1450" spans="1:28" x14ac:dyDescent="0.2">
      <c r="A1450" s="4"/>
      <c r="B1450" s="90"/>
      <c r="C1450" s="90"/>
      <c r="D1450" s="90"/>
      <c r="E1450" s="90"/>
      <c r="F1450" s="90"/>
      <c r="G1450" s="90"/>
      <c r="H1450" s="90"/>
      <c r="I1450" s="90"/>
      <c r="J1450" s="90"/>
      <c r="K1450" s="90"/>
      <c r="L1450" s="90"/>
      <c r="M1450" s="90"/>
      <c r="N1450" s="91"/>
      <c r="O1450" s="91"/>
      <c r="P1450" s="91"/>
      <c r="Q1450" s="91"/>
      <c r="R1450" s="91"/>
      <c r="S1450" s="91"/>
      <c r="T1450" s="91"/>
      <c r="U1450" s="91"/>
      <c r="V1450" s="92"/>
      <c r="W1450" s="92"/>
      <c r="X1450" s="93"/>
      <c r="Y1450" s="93"/>
      <c r="Z1450" s="93"/>
      <c r="AA1450" s="4"/>
      <c r="AB1450" s="5"/>
    </row>
    <row r="1451" spans="1:28" x14ac:dyDescent="0.2">
      <c r="A1451" s="4"/>
      <c r="B1451" s="94"/>
      <c r="C1451" s="94"/>
      <c r="D1451" s="94"/>
      <c r="E1451" s="94"/>
      <c r="F1451" s="94"/>
      <c r="G1451" s="94"/>
      <c r="H1451" s="94"/>
      <c r="I1451" s="94"/>
      <c r="J1451" s="94"/>
      <c r="K1451" s="94"/>
      <c r="L1451" s="94"/>
      <c r="M1451" s="94"/>
      <c r="N1451" s="95"/>
      <c r="O1451" s="95"/>
      <c r="P1451" s="95"/>
      <c r="Q1451" s="95"/>
      <c r="R1451" s="95"/>
      <c r="S1451" s="95"/>
      <c r="T1451" s="95"/>
      <c r="U1451" s="95"/>
      <c r="V1451" s="96"/>
      <c r="W1451" s="96"/>
      <c r="X1451" s="97"/>
      <c r="Y1451" s="97"/>
      <c r="Z1451" s="97"/>
      <c r="AA1451" s="4"/>
      <c r="AB1451" s="5"/>
    </row>
    <row r="1452" spans="1:28" x14ac:dyDescent="0.2">
      <c r="A1452" s="4"/>
      <c r="B1452" s="90"/>
      <c r="C1452" s="90"/>
      <c r="D1452" s="90"/>
      <c r="E1452" s="90"/>
      <c r="F1452" s="90"/>
      <c r="G1452" s="90"/>
      <c r="H1452" s="90"/>
      <c r="I1452" s="90"/>
      <c r="J1452" s="90"/>
      <c r="K1452" s="90"/>
      <c r="L1452" s="90"/>
      <c r="M1452" s="90"/>
      <c r="N1452" s="91"/>
      <c r="O1452" s="91"/>
      <c r="P1452" s="91"/>
      <c r="Q1452" s="91"/>
      <c r="R1452" s="91"/>
      <c r="S1452" s="91"/>
      <c r="T1452" s="91"/>
      <c r="U1452" s="91"/>
      <c r="V1452" s="92"/>
      <c r="W1452" s="92"/>
      <c r="X1452" s="93"/>
      <c r="Y1452" s="93"/>
      <c r="Z1452" s="93"/>
      <c r="AA1452" s="4"/>
      <c r="AB1452" s="5"/>
    </row>
    <row r="1453" spans="1:28" x14ac:dyDescent="0.2">
      <c r="A1453" s="4"/>
      <c r="B1453" s="94"/>
      <c r="C1453" s="94"/>
      <c r="D1453" s="94"/>
      <c r="E1453" s="94"/>
      <c r="F1453" s="94"/>
      <c r="G1453" s="94"/>
      <c r="H1453" s="94"/>
      <c r="I1453" s="94"/>
      <c r="J1453" s="94"/>
      <c r="K1453" s="94"/>
      <c r="L1453" s="94"/>
      <c r="M1453" s="94"/>
      <c r="N1453" s="95"/>
      <c r="O1453" s="95"/>
      <c r="P1453" s="95"/>
      <c r="Q1453" s="95"/>
      <c r="R1453" s="95"/>
      <c r="S1453" s="95"/>
      <c r="T1453" s="95"/>
      <c r="U1453" s="95"/>
      <c r="V1453" s="96"/>
      <c r="W1453" s="96"/>
      <c r="X1453" s="97"/>
      <c r="Y1453" s="97"/>
      <c r="Z1453" s="97"/>
      <c r="AA1453" s="4"/>
      <c r="AB1453" s="5"/>
    </row>
    <row r="1454" spans="1:28" x14ac:dyDescent="0.2">
      <c r="A1454" s="4"/>
      <c r="B1454" s="90"/>
      <c r="C1454" s="90"/>
      <c r="D1454" s="90"/>
      <c r="E1454" s="90"/>
      <c r="F1454" s="90"/>
      <c r="G1454" s="90"/>
      <c r="H1454" s="90"/>
      <c r="I1454" s="90"/>
      <c r="J1454" s="90"/>
      <c r="K1454" s="90"/>
      <c r="L1454" s="90"/>
      <c r="M1454" s="90"/>
      <c r="N1454" s="91"/>
      <c r="O1454" s="91"/>
      <c r="P1454" s="91"/>
      <c r="Q1454" s="91"/>
      <c r="R1454" s="91"/>
      <c r="S1454" s="91"/>
      <c r="T1454" s="91"/>
      <c r="U1454" s="91"/>
      <c r="V1454" s="92"/>
      <c r="W1454" s="92"/>
      <c r="X1454" s="93"/>
      <c r="Y1454" s="93"/>
      <c r="Z1454" s="93"/>
      <c r="AA1454" s="4"/>
      <c r="AB1454" s="5"/>
    </row>
    <row r="1455" spans="1:28" x14ac:dyDescent="0.2">
      <c r="A1455" s="4"/>
      <c r="B1455" s="94"/>
      <c r="C1455" s="94"/>
      <c r="D1455" s="94"/>
      <c r="E1455" s="94"/>
      <c r="F1455" s="94"/>
      <c r="G1455" s="94"/>
      <c r="H1455" s="94"/>
      <c r="I1455" s="94"/>
      <c r="J1455" s="94"/>
      <c r="K1455" s="94"/>
      <c r="L1455" s="94"/>
      <c r="M1455" s="94"/>
      <c r="N1455" s="95"/>
      <c r="O1455" s="95"/>
      <c r="P1455" s="95"/>
      <c r="Q1455" s="95"/>
      <c r="R1455" s="95"/>
      <c r="S1455" s="95"/>
      <c r="T1455" s="95"/>
      <c r="U1455" s="95"/>
      <c r="V1455" s="96"/>
      <c r="W1455" s="96"/>
      <c r="X1455" s="97"/>
      <c r="Y1455" s="97"/>
      <c r="Z1455" s="97"/>
      <c r="AA1455" s="4"/>
      <c r="AB1455" s="5"/>
    </row>
    <row r="1456" spans="1:28" x14ac:dyDescent="0.2">
      <c r="A1456" s="4"/>
      <c r="B1456" s="90"/>
      <c r="C1456" s="90"/>
      <c r="D1456" s="90"/>
      <c r="E1456" s="90"/>
      <c r="F1456" s="90"/>
      <c r="G1456" s="90"/>
      <c r="H1456" s="90"/>
      <c r="I1456" s="90"/>
      <c r="J1456" s="90"/>
      <c r="K1456" s="90"/>
      <c r="L1456" s="90"/>
      <c r="M1456" s="90"/>
      <c r="N1456" s="91"/>
      <c r="O1456" s="91"/>
      <c r="P1456" s="91"/>
      <c r="Q1456" s="91"/>
      <c r="R1456" s="91"/>
      <c r="S1456" s="91"/>
      <c r="T1456" s="91"/>
      <c r="U1456" s="91"/>
      <c r="V1456" s="92"/>
      <c r="W1456" s="92"/>
      <c r="X1456" s="93"/>
      <c r="Y1456" s="93"/>
      <c r="Z1456" s="93"/>
      <c r="AA1456" s="4"/>
      <c r="AB1456" s="5"/>
    </row>
    <row r="1457" spans="1:28" x14ac:dyDescent="0.2">
      <c r="A1457" s="4"/>
      <c r="B1457" s="94"/>
      <c r="C1457" s="94"/>
      <c r="D1457" s="94"/>
      <c r="E1457" s="94"/>
      <c r="F1457" s="94"/>
      <c r="G1457" s="94"/>
      <c r="H1457" s="94"/>
      <c r="I1457" s="94"/>
      <c r="J1457" s="94"/>
      <c r="K1457" s="94"/>
      <c r="L1457" s="94"/>
      <c r="M1457" s="94"/>
      <c r="N1457" s="95"/>
      <c r="O1457" s="95"/>
      <c r="P1457" s="95"/>
      <c r="Q1457" s="95"/>
      <c r="R1457" s="95"/>
      <c r="S1457" s="95"/>
      <c r="T1457" s="95"/>
      <c r="U1457" s="95"/>
      <c r="V1457" s="96"/>
      <c r="W1457" s="96"/>
      <c r="X1457" s="97"/>
      <c r="Y1457" s="97"/>
      <c r="Z1457" s="97"/>
      <c r="AA1457" s="4"/>
      <c r="AB1457" s="5"/>
    </row>
    <row r="1458" spans="1:28" x14ac:dyDescent="0.2">
      <c r="A1458" s="4"/>
      <c r="B1458" s="90"/>
      <c r="C1458" s="90"/>
      <c r="D1458" s="90"/>
      <c r="E1458" s="90"/>
      <c r="F1458" s="90"/>
      <c r="G1458" s="90"/>
      <c r="H1458" s="90"/>
      <c r="I1458" s="90"/>
      <c r="J1458" s="90"/>
      <c r="K1458" s="90"/>
      <c r="L1458" s="90"/>
      <c r="M1458" s="90"/>
      <c r="N1458" s="91"/>
      <c r="O1458" s="91"/>
      <c r="P1458" s="91"/>
      <c r="Q1458" s="91"/>
      <c r="R1458" s="91"/>
      <c r="S1458" s="91"/>
      <c r="T1458" s="91"/>
      <c r="U1458" s="91"/>
      <c r="V1458" s="92"/>
      <c r="W1458" s="92"/>
      <c r="X1458" s="93"/>
      <c r="Y1458" s="93"/>
      <c r="Z1458" s="93"/>
      <c r="AA1458" s="4"/>
      <c r="AB1458" s="5"/>
    </row>
    <row r="1459" spans="1:28" x14ac:dyDescent="0.2">
      <c r="A1459" s="4"/>
      <c r="B1459" s="94"/>
      <c r="C1459" s="94"/>
      <c r="D1459" s="94"/>
      <c r="E1459" s="94"/>
      <c r="F1459" s="94"/>
      <c r="G1459" s="94"/>
      <c r="H1459" s="94"/>
      <c r="I1459" s="94"/>
      <c r="J1459" s="94"/>
      <c r="K1459" s="94"/>
      <c r="L1459" s="94"/>
      <c r="M1459" s="94"/>
      <c r="N1459" s="95"/>
      <c r="O1459" s="95"/>
      <c r="P1459" s="95"/>
      <c r="Q1459" s="95"/>
      <c r="R1459" s="95"/>
      <c r="S1459" s="95"/>
      <c r="T1459" s="95"/>
      <c r="U1459" s="95"/>
      <c r="V1459" s="96"/>
      <c r="W1459" s="96"/>
      <c r="X1459" s="97"/>
      <c r="Y1459" s="97"/>
      <c r="Z1459" s="97"/>
      <c r="AA1459" s="4"/>
      <c r="AB1459" s="5"/>
    </row>
    <row r="1460" spans="1:28" x14ac:dyDescent="0.2">
      <c r="A1460" s="4"/>
      <c r="B1460" s="90"/>
      <c r="C1460" s="90"/>
      <c r="D1460" s="90"/>
      <c r="E1460" s="90"/>
      <c r="F1460" s="90"/>
      <c r="G1460" s="90"/>
      <c r="H1460" s="90"/>
      <c r="I1460" s="90"/>
      <c r="J1460" s="90"/>
      <c r="K1460" s="90"/>
      <c r="L1460" s="90"/>
      <c r="M1460" s="90"/>
      <c r="N1460" s="91"/>
      <c r="O1460" s="91"/>
      <c r="P1460" s="91"/>
      <c r="Q1460" s="91"/>
      <c r="R1460" s="91"/>
      <c r="S1460" s="91"/>
      <c r="T1460" s="91"/>
      <c r="U1460" s="91"/>
      <c r="V1460" s="92"/>
      <c r="W1460" s="92"/>
      <c r="X1460" s="93"/>
      <c r="Y1460" s="93"/>
      <c r="Z1460" s="93"/>
      <c r="AA1460" s="4"/>
      <c r="AB1460" s="5"/>
    </row>
    <row r="1461" spans="1:28" x14ac:dyDescent="0.2">
      <c r="A1461" s="4"/>
      <c r="B1461" s="94"/>
      <c r="C1461" s="94"/>
      <c r="D1461" s="94"/>
      <c r="E1461" s="94"/>
      <c r="F1461" s="94"/>
      <c r="G1461" s="94"/>
      <c r="H1461" s="94"/>
      <c r="I1461" s="94"/>
      <c r="J1461" s="94"/>
      <c r="K1461" s="94"/>
      <c r="L1461" s="94"/>
      <c r="M1461" s="94"/>
      <c r="N1461" s="95"/>
      <c r="O1461" s="95"/>
      <c r="P1461" s="95"/>
      <c r="Q1461" s="95"/>
      <c r="R1461" s="95"/>
      <c r="S1461" s="95"/>
      <c r="T1461" s="95"/>
      <c r="U1461" s="95"/>
      <c r="V1461" s="96"/>
      <c r="W1461" s="96"/>
      <c r="X1461" s="97"/>
      <c r="Y1461" s="97"/>
      <c r="Z1461" s="97"/>
      <c r="AA1461" s="4"/>
      <c r="AB1461" s="5"/>
    </row>
    <row r="1462" spans="1:28" x14ac:dyDescent="0.2">
      <c r="A1462" s="4"/>
      <c r="B1462" s="90"/>
      <c r="C1462" s="90"/>
      <c r="D1462" s="90"/>
      <c r="E1462" s="90"/>
      <c r="F1462" s="90"/>
      <c r="G1462" s="90"/>
      <c r="H1462" s="90"/>
      <c r="I1462" s="90"/>
      <c r="J1462" s="90"/>
      <c r="K1462" s="90"/>
      <c r="L1462" s="90"/>
      <c r="M1462" s="90"/>
      <c r="N1462" s="91"/>
      <c r="O1462" s="91"/>
      <c r="P1462" s="91"/>
      <c r="Q1462" s="91"/>
      <c r="R1462" s="91"/>
      <c r="S1462" s="91"/>
      <c r="T1462" s="91"/>
      <c r="U1462" s="91"/>
      <c r="V1462" s="92"/>
      <c r="W1462" s="92"/>
      <c r="X1462" s="93"/>
      <c r="Y1462" s="93"/>
      <c r="Z1462" s="93"/>
      <c r="AA1462" s="4"/>
      <c r="AB1462" s="5"/>
    </row>
    <row r="1463" spans="1:28" x14ac:dyDescent="0.2">
      <c r="A1463" s="4"/>
      <c r="B1463" s="94"/>
      <c r="C1463" s="94"/>
      <c r="D1463" s="94"/>
      <c r="E1463" s="94"/>
      <c r="F1463" s="94"/>
      <c r="G1463" s="94"/>
      <c r="H1463" s="94"/>
      <c r="I1463" s="94"/>
      <c r="J1463" s="94"/>
      <c r="K1463" s="94"/>
      <c r="L1463" s="94"/>
      <c r="M1463" s="94"/>
      <c r="N1463" s="95"/>
      <c r="O1463" s="95"/>
      <c r="P1463" s="95"/>
      <c r="Q1463" s="95"/>
      <c r="R1463" s="95"/>
      <c r="S1463" s="95"/>
      <c r="T1463" s="95"/>
      <c r="U1463" s="95"/>
      <c r="V1463" s="96"/>
      <c r="W1463" s="96"/>
      <c r="X1463" s="97"/>
      <c r="Y1463" s="97"/>
      <c r="Z1463" s="97"/>
      <c r="AA1463" s="4"/>
      <c r="AB1463" s="5"/>
    </row>
    <row r="1464" spans="1:28" x14ac:dyDescent="0.2">
      <c r="A1464" s="4"/>
      <c r="B1464" s="90"/>
      <c r="C1464" s="90"/>
      <c r="D1464" s="90"/>
      <c r="E1464" s="90"/>
      <c r="F1464" s="90"/>
      <c r="G1464" s="90"/>
      <c r="H1464" s="90"/>
      <c r="I1464" s="90"/>
      <c r="J1464" s="90"/>
      <c r="K1464" s="90"/>
      <c r="L1464" s="90"/>
      <c r="M1464" s="90"/>
      <c r="N1464" s="91"/>
      <c r="O1464" s="91"/>
      <c r="P1464" s="91"/>
      <c r="Q1464" s="91"/>
      <c r="R1464" s="91"/>
      <c r="S1464" s="91"/>
      <c r="T1464" s="91"/>
      <c r="U1464" s="91"/>
      <c r="V1464" s="92"/>
      <c r="W1464" s="92"/>
      <c r="X1464" s="93"/>
      <c r="Y1464" s="93"/>
      <c r="Z1464" s="93"/>
      <c r="AA1464" s="4"/>
      <c r="AB1464" s="5"/>
    </row>
    <row r="1465" spans="1:28" x14ac:dyDescent="0.2">
      <c r="A1465" s="4"/>
      <c r="B1465" s="94"/>
      <c r="C1465" s="94"/>
      <c r="D1465" s="94"/>
      <c r="E1465" s="94"/>
      <c r="F1465" s="94"/>
      <c r="G1465" s="94"/>
      <c r="H1465" s="94"/>
      <c r="I1465" s="94"/>
      <c r="J1465" s="94"/>
      <c r="K1465" s="94"/>
      <c r="L1465" s="94"/>
      <c r="M1465" s="94"/>
      <c r="N1465" s="95"/>
      <c r="O1465" s="95"/>
      <c r="P1465" s="95"/>
      <c r="Q1465" s="95"/>
      <c r="R1465" s="95"/>
      <c r="S1465" s="95"/>
      <c r="T1465" s="95"/>
      <c r="U1465" s="95"/>
      <c r="V1465" s="96"/>
      <c r="W1465" s="96"/>
      <c r="X1465" s="97"/>
      <c r="Y1465" s="97"/>
      <c r="Z1465" s="97"/>
      <c r="AA1465" s="4"/>
      <c r="AB1465" s="5"/>
    </row>
    <row r="1466" spans="1:28" x14ac:dyDescent="0.2">
      <c r="A1466" s="4"/>
      <c r="B1466" s="90"/>
      <c r="C1466" s="90"/>
      <c r="D1466" s="90"/>
      <c r="E1466" s="90"/>
      <c r="F1466" s="90"/>
      <c r="G1466" s="90"/>
      <c r="H1466" s="90"/>
      <c r="I1466" s="90"/>
      <c r="J1466" s="90"/>
      <c r="K1466" s="90"/>
      <c r="L1466" s="90"/>
      <c r="M1466" s="90"/>
      <c r="N1466" s="91"/>
      <c r="O1466" s="91"/>
      <c r="P1466" s="91"/>
      <c r="Q1466" s="91"/>
      <c r="R1466" s="91"/>
      <c r="S1466" s="91"/>
      <c r="T1466" s="91"/>
      <c r="U1466" s="91"/>
      <c r="V1466" s="92"/>
      <c r="W1466" s="92"/>
      <c r="X1466" s="93"/>
      <c r="Y1466" s="93"/>
      <c r="Z1466" s="93"/>
      <c r="AA1466" s="4"/>
      <c r="AB1466" s="5"/>
    </row>
    <row r="1467" spans="1:28" x14ac:dyDescent="0.2">
      <c r="A1467" s="4"/>
      <c r="B1467" s="94"/>
      <c r="C1467" s="94"/>
      <c r="D1467" s="94"/>
      <c r="E1467" s="94"/>
      <c r="F1467" s="94"/>
      <c r="G1467" s="94"/>
      <c r="H1467" s="94"/>
      <c r="I1467" s="94"/>
      <c r="J1467" s="94"/>
      <c r="K1467" s="94"/>
      <c r="L1467" s="94"/>
      <c r="M1467" s="94"/>
      <c r="N1467" s="95"/>
      <c r="O1467" s="95"/>
      <c r="P1467" s="95"/>
      <c r="Q1467" s="95"/>
      <c r="R1467" s="95"/>
      <c r="S1467" s="95"/>
      <c r="T1467" s="95"/>
      <c r="U1467" s="95"/>
      <c r="V1467" s="96"/>
      <c r="W1467" s="96"/>
      <c r="X1467" s="97"/>
      <c r="Y1467" s="97"/>
      <c r="Z1467" s="97"/>
      <c r="AA1467" s="4"/>
      <c r="AB1467" s="5"/>
    </row>
    <row r="1468" spans="1:28" x14ac:dyDescent="0.2">
      <c r="A1468" s="4"/>
      <c r="B1468" s="90"/>
      <c r="C1468" s="90"/>
      <c r="D1468" s="90"/>
      <c r="E1468" s="90"/>
      <c r="F1468" s="90"/>
      <c r="G1468" s="90"/>
      <c r="H1468" s="90"/>
      <c r="I1468" s="90"/>
      <c r="J1468" s="90"/>
      <c r="K1468" s="90"/>
      <c r="L1468" s="90"/>
      <c r="M1468" s="90"/>
      <c r="N1468" s="91"/>
      <c r="O1468" s="91"/>
      <c r="P1468" s="91"/>
      <c r="Q1468" s="91"/>
      <c r="R1468" s="91"/>
      <c r="S1468" s="91"/>
      <c r="T1468" s="91"/>
      <c r="U1468" s="91"/>
      <c r="V1468" s="92"/>
      <c r="W1468" s="92"/>
      <c r="X1468" s="93"/>
      <c r="Y1468" s="93"/>
      <c r="Z1468" s="93"/>
      <c r="AA1468" s="4"/>
      <c r="AB1468" s="5"/>
    </row>
    <row r="1469" spans="1:28" x14ac:dyDescent="0.2">
      <c r="A1469" s="4"/>
      <c r="B1469" s="94"/>
      <c r="C1469" s="94"/>
      <c r="D1469" s="94"/>
      <c r="E1469" s="94"/>
      <c r="F1469" s="94"/>
      <c r="G1469" s="94"/>
      <c r="H1469" s="94"/>
      <c r="I1469" s="94"/>
      <c r="J1469" s="94"/>
      <c r="K1469" s="94"/>
      <c r="L1469" s="94"/>
      <c r="M1469" s="94"/>
      <c r="N1469" s="95"/>
      <c r="O1469" s="95"/>
      <c r="P1469" s="95"/>
      <c r="Q1469" s="95"/>
      <c r="R1469" s="95"/>
      <c r="S1469" s="95"/>
      <c r="T1469" s="95"/>
      <c r="U1469" s="95"/>
      <c r="V1469" s="96"/>
      <c r="W1469" s="96"/>
      <c r="X1469" s="97"/>
      <c r="Y1469" s="97"/>
      <c r="Z1469" s="97"/>
      <c r="AA1469" s="4"/>
      <c r="AB1469" s="5"/>
    </row>
    <row r="1470" spans="1:28" x14ac:dyDescent="0.2">
      <c r="A1470" s="4"/>
      <c r="B1470" s="90"/>
      <c r="C1470" s="90"/>
      <c r="D1470" s="90"/>
      <c r="E1470" s="90"/>
      <c r="F1470" s="90"/>
      <c r="G1470" s="90"/>
      <c r="H1470" s="90"/>
      <c r="I1470" s="90"/>
      <c r="J1470" s="90"/>
      <c r="K1470" s="90"/>
      <c r="L1470" s="90"/>
      <c r="M1470" s="90"/>
      <c r="N1470" s="91"/>
      <c r="O1470" s="91"/>
      <c r="P1470" s="91"/>
      <c r="Q1470" s="91"/>
      <c r="R1470" s="91"/>
      <c r="S1470" s="91"/>
      <c r="T1470" s="91"/>
      <c r="U1470" s="91"/>
      <c r="V1470" s="92"/>
      <c r="W1470" s="92"/>
      <c r="X1470" s="93"/>
      <c r="Y1470" s="93"/>
      <c r="Z1470" s="93"/>
      <c r="AA1470" s="4"/>
      <c r="AB1470" s="5"/>
    </row>
    <row r="1471" spans="1:28" x14ac:dyDescent="0.2">
      <c r="A1471" s="4"/>
      <c r="B1471" s="94"/>
      <c r="C1471" s="94"/>
      <c r="D1471" s="94"/>
      <c r="E1471" s="94"/>
      <c r="F1471" s="94"/>
      <c r="G1471" s="94"/>
      <c r="H1471" s="94"/>
      <c r="I1471" s="94"/>
      <c r="J1471" s="94"/>
      <c r="K1471" s="94"/>
      <c r="L1471" s="94"/>
      <c r="M1471" s="94"/>
      <c r="N1471" s="95"/>
      <c r="O1471" s="95"/>
      <c r="P1471" s="95"/>
      <c r="Q1471" s="95"/>
      <c r="R1471" s="95"/>
      <c r="S1471" s="95"/>
      <c r="T1471" s="95"/>
      <c r="U1471" s="95"/>
      <c r="V1471" s="96"/>
      <c r="W1471" s="96"/>
      <c r="X1471" s="97"/>
      <c r="Y1471" s="97"/>
      <c r="Z1471" s="97"/>
      <c r="AA1471" s="4"/>
      <c r="AB1471" s="5"/>
    </row>
    <row r="1472" spans="1:28" x14ac:dyDescent="0.2">
      <c r="A1472" s="4"/>
      <c r="B1472" s="90"/>
      <c r="C1472" s="90"/>
      <c r="D1472" s="90"/>
      <c r="E1472" s="90"/>
      <c r="F1472" s="90"/>
      <c r="G1472" s="90"/>
      <c r="H1472" s="90"/>
      <c r="I1472" s="90"/>
      <c r="J1472" s="90"/>
      <c r="K1472" s="90"/>
      <c r="L1472" s="90"/>
      <c r="M1472" s="90"/>
      <c r="N1472" s="91"/>
      <c r="O1472" s="91"/>
      <c r="P1472" s="91"/>
      <c r="Q1472" s="91"/>
      <c r="R1472" s="91"/>
      <c r="S1472" s="91"/>
      <c r="T1472" s="91"/>
      <c r="U1472" s="91"/>
      <c r="V1472" s="92"/>
      <c r="W1472" s="92"/>
      <c r="X1472" s="93"/>
      <c r="Y1472" s="93"/>
      <c r="Z1472" s="93"/>
      <c r="AA1472" s="4"/>
      <c r="AB1472" s="5"/>
    </row>
    <row r="1473" spans="1:28" x14ac:dyDescent="0.2">
      <c r="A1473" s="4"/>
      <c r="B1473" s="94"/>
      <c r="C1473" s="94"/>
      <c r="D1473" s="94"/>
      <c r="E1473" s="94"/>
      <c r="F1473" s="94"/>
      <c r="G1473" s="94"/>
      <c r="H1473" s="94"/>
      <c r="I1473" s="94"/>
      <c r="J1473" s="94"/>
      <c r="K1473" s="94"/>
      <c r="L1473" s="94"/>
      <c r="M1473" s="94"/>
      <c r="N1473" s="95"/>
      <c r="O1473" s="95"/>
      <c r="P1473" s="95"/>
      <c r="Q1473" s="95"/>
      <c r="R1473" s="95"/>
      <c r="S1473" s="95"/>
      <c r="T1473" s="95"/>
      <c r="U1473" s="95"/>
      <c r="V1473" s="96"/>
      <c r="W1473" s="96"/>
      <c r="X1473" s="97"/>
      <c r="Y1473" s="97"/>
      <c r="Z1473" s="97"/>
      <c r="AA1473" s="4"/>
      <c r="AB1473" s="5"/>
    </row>
    <row r="1474" spans="1:28" x14ac:dyDescent="0.2">
      <c r="A1474" s="4"/>
      <c r="B1474" s="90"/>
      <c r="C1474" s="90"/>
      <c r="D1474" s="90"/>
      <c r="E1474" s="90"/>
      <c r="F1474" s="90"/>
      <c r="G1474" s="90"/>
      <c r="H1474" s="90"/>
      <c r="I1474" s="90"/>
      <c r="J1474" s="90"/>
      <c r="K1474" s="90"/>
      <c r="L1474" s="90"/>
      <c r="M1474" s="90"/>
      <c r="N1474" s="91"/>
      <c r="O1474" s="91"/>
      <c r="P1474" s="91"/>
      <c r="Q1474" s="91"/>
      <c r="R1474" s="91"/>
      <c r="S1474" s="91"/>
      <c r="T1474" s="91"/>
      <c r="U1474" s="91"/>
      <c r="V1474" s="92"/>
      <c r="W1474" s="92"/>
      <c r="X1474" s="93"/>
      <c r="Y1474" s="93"/>
      <c r="Z1474" s="93"/>
      <c r="AA1474" s="4"/>
      <c r="AB1474" s="5"/>
    </row>
    <row r="1475" spans="1:28" x14ac:dyDescent="0.2">
      <c r="A1475" s="4"/>
      <c r="B1475" s="94"/>
      <c r="C1475" s="94"/>
      <c r="D1475" s="94"/>
      <c r="E1475" s="94"/>
      <c r="F1475" s="94"/>
      <c r="G1475" s="94"/>
      <c r="H1475" s="94"/>
      <c r="I1475" s="94"/>
      <c r="J1475" s="94"/>
      <c r="K1475" s="94"/>
      <c r="L1475" s="94"/>
      <c r="M1475" s="94"/>
      <c r="N1475" s="95"/>
      <c r="O1475" s="95"/>
      <c r="P1475" s="95"/>
      <c r="Q1475" s="95"/>
      <c r="R1475" s="95"/>
      <c r="S1475" s="95"/>
      <c r="T1475" s="95"/>
      <c r="U1475" s="95"/>
      <c r="V1475" s="96"/>
      <c r="W1475" s="96"/>
      <c r="X1475" s="97"/>
      <c r="Y1475" s="97"/>
      <c r="Z1475" s="97"/>
      <c r="AA1475" s="4"/>
      <c r="AB1475" s="5"/>
    </row>
    <row r="1476" spans="1:28" x14ac:dyDescent="0.2">
      <c r="A1476" s="4"/>
      <c r="B1476" s="90"/>
      <c r="C1476" s="90"/>
      <c r="D1476" s="90"/>
      <c r="E1476" s="90"/>
      <c r="F1476" s="90"/>
      <c r="G1476" s="90"/>
      <c r="H1476" s="90"/>
      <c r="I1476" s="90"/>
      <c r="J1476" s="90"/>
      <c r="K1476" s="90"/>
      <c r="L1476" s="90"/>
      <c r="M1476" s="90"/>
      <c r="N1476" s="91"/>
      <c r="O1476" s="91"/>
      <c r="P1476" s="91"/>
      <c r="Q1476" s="91"/>
      <c r="R1476" s="91"/>
      <c r="S1476" s="91"/>
      <c r="T1476" s="91"/>
      <c r="U1476" s="91"/>
      <c r="V1476" s="92"/>
      <c r="W1476" s="92"/>
      <c r="X1476" s="93"/>
      <c r="Y1476" s="93"/>
      <c r="Z1476" s="93"/>
      <c r="AA1476" s="4"/>
      <c r="AB1476" s="5"/>
    </row>
    <row r="1477" spans="1:28" x14ac:dyDescent="0.2">
      <c r="A1477" s="4"/>
      <c r="B1477" s="94"/>
      <c r="C1477" s="94"/>
      <c r="D1477" s="94"/>
      <c r="E1477" s="94"/>
      <c r="F1477" s="94"/>
      <c r="G1477" s="94"/>
      <c r="H1477" s="94"/>
      <c r="I1477" s="94"/>
      <c r="J1477" s="94"/>
      <c r="K1477" s="94"/>
      <c r="L1477" s="94"/>
      <c r="M1477" s="94"/>
      <c r="N1477" s="95"/>
      <c r="O1477" s="95"/>
      <c r="P1477" s="95"/>
      <c r="Q1477" s="95"/>
      <c r="R1477" s="95"/>
      <c r="S1477" s="95"/>
      <c r="T1477" s="95"/>
      <c r="U1477" s="95"/>
      <c r="V1477" s="96"/>
      <c r="W1477" s="96"/>
      <c r="X1477" s="97"/>
      <c r="Y1477" s="97"/>
      <c r="Z1477" s="97"/>
      <c r="AA1477" s="4"/>
      <c r="AB1477" s="5"/>
    </row>
    <row r="1478" spans="1:28" x14ac:dyDescent="0.2">
      <c r="A1478" s="4"/>
      <c r="B1478" s="90"/>
      <c r="C1478" s="90"/>
      <c r="D1478" s="90"/>
      <c r="E1478" s="90"/>
      <c r="F1478" s="90"/>
      <c r="G1478" s="90"/>
      <c r="H1478" s="90"/>
      <c r="I1478" s="90"/>
      <c r="J1478" s="90"/>
      <c r="K1478" s="90"/>
      <c r="L1478" s="90"/>
      <c r="M1478" s="90"/>
      <c r="N1478" s="91"/>
      <c r="O1478" s="91"/>
      <c r="P1478" s="91"/>
      <c r="Q1478" s="91"/>
      <c r="R1478" s="91"/>
      <c r="S1478" s="91"/>
      <c r="T1478" s="91"/>
      <c r="U1478" s="91"/>
      <c r="V1478" s="92"/>
      <c r="W1478" s="92"/>
      <c r="X1478" s="93"/>
      <c r="Y1478" s="93"/>
      <c r="Z1478" s="93"/>
      <c r="AA1478" s="4"/>
      <c r="AB1478" s="5"/>
    </row>
    <row r="1479" spans="1:28" x14ac:dyDescent="0.2">
      <c r="A1479" s="4"/>
      <c r="B1479" s="94"/>
      <c r="C1479" s="94"/>
      <c r="D1479" s="94"/>
      <c r="E1479" s="94"/>
      <c r="F1479" s="94"/>
      <c r="G1479" s="94"/>
      <c r="H1479" s="94"/>
      <c r="I1479" s="94"/>
      <c r="J1479" s="94"/>
      <c r="K1479" s="94"/>
      <c r="L1479" s="94"/>
      <c r="M1479" s="94"/>
      <c r="N1479" s="95"/>
      <c r="O1479" s="95"/>
      <c r="P1479" s="95"/>
      <c r="Q1479" s="95"/>
      <c r="R1479" s="95"/>
      <c r="S1479" s="95"/>
      <c r="T1479" s="95"/>
      <c r="U1479" s="95"/>
      <c r="V1479" s="96"/>
      <c r="W1479" s="96"/>
      <c r="X1479" s="97"/>
      <c r="Y1479" s="97"/>
      <c r="Z1479" s="97"/>
      <c r="AA1479" s="4"/>
      <c r="AB1479" s="5"/>
    </row>
    <row r="1480" spans="1:28" x14ac:dyDescent="0.2">
      <c r="A1480" s="4"/>
      <c r="B1480" s="90"/>
      <c r="C1480" s="90"/>
      <c r="D1480" s="90"/>
      <c r="E1480" s="90"/>
      <c r="F1480" s="90"/>
      <c r="G1480" s="90"/>
      <c r="H1480" s="90"/>
      <c r="I1480" s="90"/>
      <c r="J1480" s="90"/>
      <c r="K1480" s="90"/>
      <c r="L1480" s="90"/>
      <c r="M1480" s="90"/>
      <c r="N1480" s="91"/>
      <c r="O1480" s="91"/>
      <c r="P1480" s="91"/>
      <c r="Q1480" s="91"/>
      <c r="R1480" s="91"/>
      <c r="S1480" s="91"/>
      <c r="T1480" s="91"/>
      <c r="U1480" s="91"/>
      <c r="V1480" s="92"/>
      <c r="W1480" s="92"/>
      <c r="X1480" s="93"/>
      <c r="Y1480" s="93"/>
      <c r="Z1480" s="93"/>
      <c r="AA1480" s="4"/>
      <c r="AB1480" s="5"/>
    </row>
    <row r="1481" spans="1:28" x14ac:dyDescent="0.2">
      <c r="A1481" s="4"/>
      <c r="B1481" s="94"/>
      <c r="C1481" s="94"/>
      <c r="D1481" s="94"/>
      <c r="E1481" s="94"/>
      <c r="F1481" s="94"/>
      <c r="G1481" s="94"/>
      <c r="H1481" s="94"/>
      <c r="I1481" s="94"/>
      <c r="J1481" s="94"/>
      <c r="K1481" s="94"/>
      <c r="L1481" s="94"/>
      <c r="M1481" s="94"/>
      <c r="N1481" s="95"/>
      <c r="O1481" s="95"/>
      <c r="P1481" s="95"/>
      <c r="Q1481" s="95"/>
      <c r="R1481" s="95"/>
      <c r="S1481" s="95"/>
      <c r="T1481" s="95"/>
      <c r="U1481" s="95"/>
      <c r="V1481" s="96"/>
      <c r="W1481" s="96"/>
      <c r="X1481" s="97"/>
      <c r="Y1481" s="97"/>
      <c r="Z1481" s="97"/>
      <c r="AA1481" s="4"/>
      <c r="AB1481" s="5"/>
    </row>
    <row r="1482" spans="1:28" x14ac:dyDescent="0.2">
      <c r="A1482" s="4"/>
      <c r="B1482" s="90"/>
      <c r="C1482" s="90"/>
      <c r="D1482" s="90"/>
      <c r="E1482" s="90"/>
      <c r="F1482" s="90"/>
      <c r="G1482" s="90"/>
      <c r="H1482" s="90"/>
      <c r="I1482" s="90"/>
      <c r="J1482" s="90"/>
      <c r="K1482" s="90"/>
      <c r="L1482" s="90"/>
      <c r="M1482" s="90"/>
      <c r="N1482" s="91"/>
      <c r="O1482" s="91"/>
      <c r="P1482" s="91"/>
      <c r="Q1482" s="91"/>
      <c r="R1482" s="91"/>
      <c r="S1482" s="91"/>
      <c r="T1482" s="91"/>
      <c r="U1482" s="91"/>
      <c r="V1482" s="92"/>
      <c r="W1482" s="92"/>
      <c r="X1482" s="93"/>
      <c r="Y1482" s="93"/>
      <c r="Z1482" s="93"/>
      <c r="AA1482" s="4"/>
      <c r="AB1482" s="5"/>
    </row>
    <row r="1483" spans="1:28" x14ac:dyDescent="0.2">
      <c r="A1483" s="4"/>
      <c r="B1483" s="94"/>
      <c r="C1483" s="94"/>
      <c r="D1483" s="94"/>
      <c r="E1483" s="94"/>
      <c r="F1483" s="94"/>
      <c r="G1483" s="94"/>
      <c r="H1483" s="94"/>
      <c r="I1483" s="94"/>
      <c r="J1483" s="94"/>
      <c r="K1483" s="94"/>
      <c r="L1483" s="94"/>
      <c r="M1483" s="94"/>
      <c r="N1483" s="95"/>
      <c r="O1483" s="95"/>
      <c r="P1483" s="95"/>
      <c r="Q1483" s="95"/>
      <c r="R1483" s="95"/>
      <c r="S1483" s="95"/>
      <c r="T1483" s="95"/>
      <c r="U1483" s="95"/>
      <c r="V1483" s="96"/>
      <c r="W1483" s="96"/>
      <c r="X1483" s="97"/>
      <c r="Y1483" s="97"/>
      <c r="Z1483" s="97"/>
      <c r="AA1483" s="4"/>
      <c r="AB1483" s="5"/>
    </row>
    <row r="1484" spans="1:28" x14ac:dyDescent="0.2">
      <c r="A1484" s="4"/>
      <c r="B1484" s="90"/>
      <c r="C1484" s="90"/>
      <c r="D1484" s="90"/>
      <c r="E1484" s="90"/>
      <c r="F1484" s="90"/>
      <c r="G1484" s="90"/>
      <c r="H1484" s="90"/>
      <c r="I1484" s="90"/>
      <c r="J1484" s="90"/>
      <c r="K1484" s="90"/>
      <c r="L1484" s="90"/>
      <c r="M1484" s="90"/>
      <c r="N1484" s="91"/>
      <c r="O1484" s="91"/>
      <c r="P1484" s="91"/>
      <c r="Q1484" s="91"/>
      <c r="R1484" s="91"/>
      <c r="S1484" s="91"/>
      <c r="T1484" s="91"/>
      <c r="U1484" s="91"/>
      <c r="V1484" s="92"/>
      <c r="W1484" s="92"/>
      <c r="X1484" s="93"/>
      <c r="Y1484" s="93"/>
      <c r="Z1484" s="93"/>
      <c r="AA1484" s="4"/>
      <c r="AB1484" s="5"/>
    </row>
    <row r="1485" spans="1:28" x14ac:dyDescent="0.2">
      <c r="A1485" s="4"/>
      <c r="B1485" s="94"/>
      <c r="C1485" s="94"/>
      <c r="D1485" s="94"/>
      <c r="E1485" s="94"/>
      <c r="F1485" s="94"/>
      <c r="G1485" s="94"/>
      <c r="H1485" s="94"/>
      <c r="I1485" s="94"/>
      <c r="J1485" s="94"/>
      <c r="K1485" s="94"/>
      <c r="L1485" s="94"/>
      <c r="M1485" s="94"/>
      <c r="N1485" s="95"/>
      <c r="O1485" s="95"/>
      <c r="P1485" s="95"/>
      <c r="Q1485" s="95"/>
      <c r="R1485" s="95"/>
      <c r="S1485" s="95"/>
      <c r="T1485" s="95"/>
      <c r="U1485" s="95"/>
      <c r="V1485" s="96"/>
      <c r="W1485" s="96"/>
      <c r="X1485" s="97"/>
      <c r="Y1485" s="97"/>
      <c r="Z1485" s="97"/>
      <c r="AA1485" s="4"/>
      <c r="AB1485" s="5"/>
    </row>
    <row r="1486" spans="1:28" x14ac:dyDescent="0.2">
      <c r="A1486" s="4"/>
      <c r="B1486" s="90"/>
      <c r="C1486" s="90"/>
      <c r="D1486" s="90"/>
      <c r="E1486" s="90"/>
      <c r="F1486" s="90"/>
      <c r="G1486" s="90"/>
      <c r="H1486" s="90"/>
      <c r="I1486" s="90"/>
      <c r="J1486" s="90"/>
      <c r="K1486" s="90"/>
      <c r="L1486" s="90"/>
      <c r="M1486" s="90"/>
      <c r="N1486" s="91"/>
      <c r="O1486" s="91"/>
      <c r="P1486" s="91"/>
      <c r="Q1486" s="91"/>
      <c r="R1486" s="91"/>
      <c r="S1486" s="91"/>
      <c r="T1486" s="91"/>
      <c r="U1486" s="91"/>
      <c r="V1486" s="92"/>
      <c r="W1486" s="92"/>
      <c r="X1486" s="93"/>
      <c r="Y1486" s="93"/>
      <c r="Z1486" s="93"/>
      <c r="AA1486" s="4"/>
      <c r="AB1486" s="5"/>
    </row>
    <row r="1487" spans="1:28" x14ac:dyDescent="0.2">
      <c r="A1487" s="4"/>
      <c r="B1487" s="94"/>
      <c r="C1487" s="94"/>
      <c r="D1487" s="94"/>
      <c r="E1487" s="94"/>
      <c r="F1487" s="94"/>
      <c r="G1487" s="94"/>
      <c r="H1487" s="94"/>
      <c r="I1487" s="94"/>
      <c r="J1487" s="94"/>
      <c r="K1487" s="94"/>
      <c r="L1487" s="94"/>
      <c r="M1487" s="94"/>
      <c r="N1487" s="95"/>
      <c r="O1487" s="95"/>
      <c r="P1487" s="95"/>
      <c r="Q1487" s="95"/>
      <c r="R1487" s="95"/>
      <c r="S1487" s="95"/>
      <c r="T1487" s="95"/>
      <c r="U1487" s="95"/>
      <c r="V1487" s="96"/>
      <c r="W1487" s="96"/>
      <c r="X1487" s="97"/>
      <c r="Y1487" s="97"/>
      <c r="Z1487" s="97"/>
      <c r="AA1487" s="4"/>
      <c r="AB1487" s="5"/>
    </row>
    <row r="1488" spans="1:28" x14ac:dyDescent="0.2">
      <c r="A1488" s="4"/>
      <c r="B1488" s="90"/>
      <c r="C1488" s="90"/>
      <c r="D1488" s="90"/>
      <c r="E1488" s="90"/>
      <c r="F1488" s="90"/>
      <c r="G1488" s="90"/>
      <c r="H1488" s="90"/>
      <c r="I1488" s="90"/>
      <c r="J1488" s="90"/>
      <c r="K1488" s="90"/>
      <c r="L1488" s="90"/>
      <c r="M1488" s="90"/>
      <c r="N1488" s="91"/>
      <c r="O1488" s="91"/>
      <c r="P1488" s="91"/>
      <c r="Q1488" s="91"/>
      <c r="R1488" s="91"/>
      <c r="S1488" s="91"/>
      <c r="T1488" s="91"/>
      <c r="U1488" s="91"/>
      <c r="V1488" s="92"/>
      <c r="W1488" s="92"/>
      <c r="X1488" s="93"/>
      <c r="Y1488" s="93"/>
      <c r="Z1488" s="93"/>
      <c r="AA1488" s="4"/>
      <c r="AB1488" s="5"/>
    </row>
    <row r="1489" spans="1:28" x14ac:dyDescent="0.2">
      <c r="A1489" s="4"/>
      <c r="B1489" s="94"/>
      <c r="C1489" s="94"/>
      <c r="D1489" s="94"/>
      <c r="E1489" s="94"/>
      <c r="F1489" s="94"/>
      <c r="G1489" s="94"/>
      <c r="H1489" s="94"/>
      <c r="I1489" s="94"/>
      <c r="J1489" s="94"/>
      <c r="K1489" s="94"/>
      <c r="L1489" s="94"/>
      <c r="M1489" s="94"/>
      <c r="N1489" s="95"/>
      <c r="O1489" s="95"/>
      <c r="P1489" s="95"/>
      <c r="Q1489" s="95"/>
      <c r="R1489" s="95"/>
      <c r="S1489" s="95"/>
      <c r="T1489" s="95"/>
      <c r="U1489" s="95"/>
      <c r="V1489" s="96"/>
      <c r="W1489" s="96"/>
      <c r="X1489" s="97"/>
      <c r="Y1489" s="97"/>
      <c r="Z1489" s="97"/>
      <c r="AA1489" s="4"/>
      <c r="AB1489" s="5"/>
    </row>
    <row r="1490" spans="1:28" x14ac:dyDescent="0.2">
      <c r="A1490" s="4"/>
      <c r="B1490" s="90"/>
      <c r="C1490" s="90"/>
      <c r="D1490" s="90"/>
      <c r="E1490" s="90"/>
      <c r="F1490" s="90"/>
      <c r="G1490" s="90"/>
      <c r="H1490" s="90"/>
      <c r="I1490" s="90"/>
      <c r="J1490" s="90"/>
      <c r="K1490" s="90"/>
      <c r="L1490" s="90"/>
      <c r="M1490" s="90"/>
      <c r="N1490" s="91"/>
      <c r="O1490" s="91"/>
      <c r="P1490" s="91"/>
      <c r="Q1490" s="91"/>
      <c r="R1490" s="91"/>
      <c r="S1490" s="91"/>
      <c r="T1490" s="91"/>
      <c r="U1490" s="91"/>
      <c r="V1490" s="92"/>
      <c r="W1490" s="92"/>
      <c r="X1490" s="93"/>
      <c r="Y1490" s="93"/>
      <c r="Z1490" s="93"/>
      <c r="AA1490" s="4"/>
      <c r="AB1490" s="5"/>
    </row>
    <row r="1491" spans="1:28" x14ac:dyDescent="0.2">
      <c r="A1491" s="4"/>
      <c r="B1491" s="94"/>
      <c r="C1491" s="94"/>
      <c r="D1491" s="94"/>
      <c r="E1491" s="94"/>
      <c r="F1491" s="94"/>
      <c r="G1491" s="94"/>
      <c r="H1491" s="94"/>
      <c r="I1491" s="94"/>
      <c r="J1491" s="94"/>
      <c r="K1491" s="94"/>
      <c r="L1491" s="94"/>
      <c r="M1491" s="94"/>
      <c r="N1491" s="95"/>
      <c r="O1491" s="95"/>
      <c r="P1491" s="95"/>
      <c r="Q1491" s="95"/>
      <c r="R1491" s="95"/>
      <c r="S1491" s="95"/>
      <c r="T1491" s="95"/>
      <c r="U1491" s="95"/>
      <c r="V1491" s="96"/>
      <c r="W1491" s="96"/>
      <c r="X1491" s="97"/>
      <c r="Y1491" s="97"/>
      <c r="Z1491" s="97"/>
      <c r="AA1491" s="4"/>
      <c r="AB1491" s="5"/>
    </row>
    <row r="1492" spans="1:28" x14ac:dyDescent="0.2">
      <c r="A1492" s="4"/>
      <c r="B1492" s="90"/>
      <c r="C1492" s="90"/>
      <c r="D1492" s="90"/>
      <c r="E1492" s="90"/>
      <c r="F1492" s="90"/>
      <c r="G1492" s="90"/>
      <c r="H1492" s="90"/>
      <c r="I1492" s="90"/>
      <c r="J1492" s="90"/>
      <c r="K1492" s="90"/>
      <c r="L1492" s="90"/>
      <c r="M1492" s="90"/>
      <c r="N1492" s="91"/>
      <c r="O1492" s="91"/>
      <c r="P1492" s="91"/>
      <c r="Q1492" s="91"/>
      <c r="R1492" s="91"/>
      <c r="S1492" s="91"/>
      <c r="T1492" s="91"/>
      <c r="U1492" s="91"/>
      <c r="V1492" s="92"/>
      <c r="W1492" s="92"/>
      <c r="X1492" s="93"/>
      <c r="Y1492" s="93"/>
      <c r="Z1492" s="93"/>
      <c r="AA1492" s="4"/>
      <c r="AB1492" s="5"/>
    </row>
    <row r="1493" spans="1:28" x14ac:dyDescent="0.2">
      <c r="A1493" s="4"/>
      <c r="B1493" s="94"/>
      <c r="C1493" s="94"/>
      <c r="D1493" s="94"/>
      <c r="E1493" s="94"/>
      <c r="F1493" s="94"/>
      <c r="G1493" s="94"/>
      <c r="H1493" s="94"/>
      <c r="I1493" s="94"/>
      <c r="J1493" s="94"/>
      <c r="K1493" s="94"/>
      <c r="L1493" s="94"/>
      <c r="M1493" s="94"/>
      <c r="N1493" s="95"/>
      <c r="O1493" s="95"/>
      <c r="P1493" s="95"/>
      <c r="Q1493" s="95"/>
      <c r="R1493" s="95"/>
      <c r="S1493" s="95"/>
      <c r="T1493" s="95"/>
      <c r="U1493" s="95"/>
      <c r="V1493" s="96"/>
      <c r="W1493" s="96"/>
      <c r="X1493" s="97"/>
      <c r="Y1493" s="97"/>
      <c r="Z1493" s="97"/>
      <c r="AA1493" s="4"/>
      <c r="AB1493" s="5"/>
    </row>
    <row r="1494" spans="1:28" x14ac:dyDescent="0.2">
      <c r="A1494" s="4"/>
      <c r="B1494" s="90"/>
      <c r="C1494" s="90"/>
      <c r="D1494" s="90"/>
      <c r="E1494" s="90"/>
      <c r="F1494" s="90"/>
      <c r="G1494" s="90"/>
      <c r="H1494" s="90"/>
      <c r="I1494" s="90"/>
      <c r="J1494" s="90"/>
      <c r="K1494" s="90"/>
      <c r="L1494" s="90"/>
      <c r="M1494" s="90"/>
      <c r="N1494" s="91"/>
      <c r="O1494" s="91"/>
      <c r="P1494" s="91"/>
      <c r="Q1494" s="91"/>
      <c r="R1494" s="91"/>
      <c r="S1494" s="91"/>
      <c r="T1494" s="91"/>
      <c r="U1494" s="91"/>
      <c r="V1494" s="92"/>
      <c r="W1494" s="92"/>
      <c r="X1494" s="93"/>
      <c r="Y1494" s="93"/>
      <c r="Z1494" s="93"/>
      <c r="AA1494" s="4"/>
      <c r="AB1494" s="5"/>
    </row>
    <row r="1495" spans="1:28" x14ac:dyDescent="0.2">
      <c r="A1495" s="4"/>
      <c r="B1495" s="94"/>
      <c r="C1495" s="94"/>
      <c r="D1495" s="94"/>
      <c r="E1495" s="94"/>
      <c r="F1495" s="94"/>
      <c r="G1495" s="94"/>
      <c r="H1495" s="94"/>
      <c r="I1495" s="94"/>
      <c r="J1495" s="94"/>
      <c r="K1495" s="94"/>
      <c r="L1495" s="94"/>
      <c r="M1495" s="94"/>
      <c r="N1495" s="95"/>
      <c r="O1495" s="95"/>
      <c r="P1495" s="95"/>
      <c r="Q1495" s="95"/>
      <c r="R1495" s="95"/>
      <c r="S1495" s="95"/>
      <c r="T1495" s="95"/>
      <c r="U1495" s="95"/>
      <c r="V1495" s="96"/>
      <c r="W1495" s="96"/>
      <c r="X1495" s="97"/>
      <c r="Y1495" s="97"/>
      <c r="Z1495" s="97"/>
      <c r="AA1495" s="4"/>
      <c r="AB1495" s="5"/>
    </row>
    <row r="1496" spans="1:28" x14ac:dyDescent="0.2">
      <c r="A1496" s="4"/>
      <c r="B1496" s="90"/>
      <c r="C1496" s="90"/>
      <c r="D1496" s="90"/>
      <c r="E1496" s="90"/>
      <c r="F1496" s="90"/>
      <c r="G1496" s="90"/>
      <c r="H1496" s="90"/>
      <c r="I1496" s="90"/>
      <c r="J1496" s="90"/>
      <c r="K1496" s="90"/>
      <c r="L1496" s="90"/>
      <c r="M1496" s="90"/>
      <c r="N1496" s="91"/>
      <c r="O1496" s="91"/>
      <c r="P1496" s="91"/>
      <c r="Q1496" s="91"/>
      <c r="R1496" s="91"/>
      <c r="S1496" s="91"/>
      <c r="T1496" s="91"/>
      <c r="U1496" s="91"/>
      <c r="V1496" s="92"/>
      <c r="W1496" s="92"/>
      <c r="X1496" s="93"/>
      <c r="Y1496" s="93"/>
      <c r="Z1496" s="93"/>
      <c r="AA1496" s="4"/>
      <c r="AB1496" s="5"/>
    </row>
    <row r="1497" spans="1:28" x14ac:dyDescent="0.2">
      <c r="A1497" s="4"/>
      <c r="B1497" s="94"/>
      <c r="C1497" s="94"/>
      <c r="D1497" s="94"/>
      <c r="E1497" s="94"/>
      <c r="F1497" s="94"/>
      <c r="G1497" s="94"/>
      <c r="H1497" s="94"/>
      <c r="I1497" s="94"/>
      <c r="J1497" s="94"/>
      <c r="K1497" s="94"/>
      <c r="L1497" s="94"/>
      <c r="M1497" s="94"/>
      <c r="N1497" s="95"/>
      <c r="O1497" s="95"/>
      <c r="P1497" s="95"/>
      <c r="Q1497" s="95"/>
      <c r="R1497" s="95"/>
      <c r="S1497" s="95"/>
      <c r="T1497" s="95"/>
      <c r="U1497" s="95"/>
      <c r="V1497" s="96"/>
      <c r="W1497" s="96"/>
      <c r="X1497" s="97"/>
      <c r="Y1497" s="97"/>
      <c r="Z1497" s="97"/>
      <c r="AA1497" s="4"/>
      <c r="AB1497" s="5"/>
    </row>
    <row r="1498" spans="1:28" x14ac:dyDescent="0.2">
      <c r="A1498" s="4"/>
      <c r="B1498" s="90"/>
      <c r="C1498" s="90"/>
      <c r="D1498" s="90"/>
      <c r="E1498" s="90"/>
      <c r="F1498" s="90"/>
      <c r="G1498" s="90"/>
      <c r="H1498" s="90"/>
      <c r="I1498" s="90"/>
      <c r="J1498" s="90"/>
      <c r="K1498" s="90"/>
      <c r="L1498" s="90"/>
      <c r="M1498" s="90"/>
      <c r="N1498" s="91"/>
      <c r="O1498" s="91"/>
      <c r="P1498" s="91"/>
      <c r="Q1498" s="91"/>
      <c r="R1498" s="91"/>
      <c r="S1498" s="91"/>
      <c r="T1498" s="91"/>
      <c r="U1498" s="91"/>
      <c r="V1498" s="92"/>
      <c r="W1498" s="92"/>
      <c r="X1498" s="93"/>
      <c r="Y1498" s="93"/>
      <c r="Z1498" s="93"/>
      <c r="AA1498" s="4"/>
      <c r="AB1498" s="5"/>
    </row>
    <row r="1499" spans="1:28" x14ac:dyDescent="0.2">
      <c r="A1499" s="4"/>
      <c r="B1499" s="94"/>
      <c r="C1499" s="94"/>
      <c r="D1499" s="94"/>
      <c r="E1499" s="94"/>
      <c r="F1499" s="94"/>
      <c r="G1499" s="94"/>
      <c r="H1499" s="94"/>
      <c r="I1499" s="94"/>
      <c r="J1499" s="94"/>
      <c r="K1499" s="94"/>
      <c r="L1499" s="94"/>
      <c r="M1499" s="94"/>
      <c r="N1499" s="95"/>
      <c r="O1499" s="95"/>
      <c r="P1499" s="95"/>
      <c r="Q1499" s="95"/>
      <c r="R1499" s="95"/>
      <c r="S1499" s="95"/>
      <c r="T1499" s="95"/>
      <c r="U1499" s="95"/>
      <c r="V1499" s="96"/>
      <c r="W1499" s="96"/>
      <c r="X1499" s="97"/>
      <c r="Y1499" s="97"/>
      <c r="Z1499" s="97"/>
      <c r="AA1499" s="4"/>
      <c r="AB1499" s="5"/>
    </row>
    <row r="1500" spans="1:28" x14ac:dyDescent="0.2">
      <c r="A1500" s="4"/>
      <c r="B1500" s="90"/>
      <c r="C1500" s="90"/>
      <c r="D1500" s="90"/>
      <c r="E1500" s="90"/>
      <c r="F1500" s="90"/>
      <c r="G1500" s="90"/>
      <c r="H1500" s="90"/>
      <c r="I1500" s="90"/>
      <c r="J1500" s="90"/>
      <c r="K1500" s="90"/>
      <c r="L1500" s="90"/>
      <c r="M1500" s="90"/>
      <c r="N1500" s="91"/>
      <c r="O1500" s="91"/>
      <c r="P1500" s="91"/>
      <c r="Q1500" s="91"/>
      <c r="R1500" s="91"/>
      <c r="S1500" s="91"/>
      <c r="T1500" s="91"/>
      <c r="U1500" s="91"/>
      <c r="V1500" s="92"/>
      <c r="W1500" s="92"/>
      <c r="X1500" s="93"/>
      <c r="Y1500" s="93"/>
      <c r="Z1500" s="93"/>
      <c r="AA1500" s="4"/>
      <c r="AB1500" s="5"/>
    </row>
    <row r="1501" spans="1:28" x14ac:dyDescent="0.2">
      <c r="A1501" s="4"/>
      <c r="B1501" s="94"/>
      <c r="C1501" s="94"/>
      <c r="D1501" s="94"/>
      <c r="E1501" s="94"/>
      <c r="F1501" s="94"/>
      <c r="G1501" s="94"/>
      <c r="H1501" s="94"/>
      <c r="I1501" s="94"/>
      <c r="J1501" s="94"/>
      <c r="K1501" s="94"/>
      <c r="L1501" s="94"/>
      <c r="M1501" s="94"/>
      <c r="N1501" s="95"/>
      <c r="O1501" s="95"/>
      <c r="P1501" s="95"/>
      <c r="Q1501" s="95"/>
      <c r="R1501" s="95"/>
      <c r="S1501" s="95"/>
      <c r="T1501" s="95"/>
      <c r="U1501" s="95"/>
      <c r="V1501" s="96"/>
      <c r="W1501" s="96"/>
      <c r="X1501" s="97"/>
      <c r="Y1501" s="97"/>
      <c r="Z1501" s="97"/>
      <c r="AA1501" s="4"/>
      <c r="AB1501" s="5"/>
    </row>
    <row r="1502" spans="1:28" x14ac:dyDescent="0.2">
      <c r="A1502" s="4"/>
      <c r="B1502" s="90"/>
      <c r="C1502" s="90"/>
      <c r="D1502" s="90"/>
      <c r="E1502" s="90"/>
      <c r="F1502" s="90"/>
      <c r="G1502" s="90"/>
      <c r="H1502" s="90"/>
      <c r="I1502" s="90"/>
      <c r="J1502" s="90"/>
      <c r="K1502" s="90"/>
      <c r="L1502" s="90"/>
      <c r="M1502" s="90"/>
      <c r="N1502" s="91"/>
      <c r="O1502" s="91"/>
      <c r="P1502" s="91"/>
      <c r="Q1502" s="91"/>
      <c r="R1502" s="91"/>
      <c r="S1502" s="91"/>
      <c r="T1502" s="91"/>
      <c r="U1502" s="91"/>
      <c r="V1502" s="92"/>
      <c r="W1502" s="92"/>
      <c r="X1502" s="93"/>
      <c r="Y1502" s="93"/>
      <c r="Z1502" s="93"/>
      <c r="AA1502" s="4"/>
      <c r="AB1502" s="5"/>
    </row>
    <row r="1503" spans="1:28" x14ac:dyDescent="0.2">
      <c r="A1503" s="4"/>
      <c r="B1503" s="94"/>
      <c r="C1503" s="94"/>
      <c r="D1503" s="94"/>
      <c r="E1503" s="94"/>
      <c r="F1503" s="94"/>
      <c r="G1503" s="94"/>
      <c r="H1503" s="94"/>
      <c r="I1503" s="94"/>
      <c r="J1503" s="94"/>
      <c r="K1503" s="94"/>
      <c r="L1503" s="94"/>
      <c r="M1503" s="94"/>
      <c r="N1503" s="95"/>
      <c r="O1503" s="95"/>
      <c r="P1503" s="95"/>
      <c r="Q1503" s="95"/>
      <c r="R1503" s="95"/>
      <c r="S1503" s="95"/>
      <c r="T1503" s="95"/>
      <c r="U1503" s="95"/>
      <c r="V1503" s="96"/>
      <c r="W1503" s="96"/>
      <c r="X1503" s="97"/>
      <c r="Y1503" s="97"/>
      <c r="Z1503" s="97"/>
      <c r="AA1503" s="4"/>
      <c r="AB1503" s="5"/>
    </row>
    <row r="1504" spans="1:28" x14ac:dyDescent="0.2">
      <c r="A1504" s="4"/>
      <c r="B1504" s="90"/>
      <c r="C1504" s="90"/>
      <c r="D1504" s="90"/>
      <c r="E1504" s="90"/>
      <c r="F1504" s="90"/>
      <c r="G1504" s="90"/>
      <c r="H1504" s="90"/>
      <c r="I1504" s="90"/>
      <c r="J1504" s="90"/>
      <c r="K1504" s="90"/>
      <c r="L1504" s="90"/>
      <c r="M1504" s="90"/>
      <c r="N1504" s="91"/>
      <c r="O1504" s="91"/>
      <c r="P1504" s="91"/>
      <c r="Q1504" s="91"/>
      <c r="R1504" s="91"/>
      <c r="S1504" s="91"/>
      <c r="T1504" s="91"/>
      <c r="U1504" s="91"/>
      <c r="V1504" s="92"/>
      <c r="W1504" s="92"/>
      <c r="X1504" s="93"/>
      <c r="Y1504" s="93"/>
      <c r="Z1504" s="93"/>
      <c r="AA1504" s="4"/>
      <c r="AB1504" s="5"/>
    </row>
    <row r="1505" spans="1:28" x14ac:dyDescent="0.2">
      <c r="A1505" s="4"/>
      <c r="B1505" s="94"/>
      <c r="C1505" s="94"/>
      <c r="D1505" s="94"/>
      <c r="E1505" s="94"/>
      <c r="F1505" s="94"/>
      <c r="G1505" s="94"/>
      <c r="H1505" s="94"/>
      <c r="I1505" s="94"/>
      <c r="J1505" s="94"/>
      <c r="K1505" s="94"/>
      <c r="L1505" s="94"/>
      <c r="M1505" s="94"/>
      <c r="N1505" s="95"/>
      <c r="O1505" s="95"/>
      <c r="P1505" s="95"/>
      <c r="Q1505" s="95"/>
      <c r="R1505" s="95"/>
      <c r="S1505" s="95"/>
      <c r="T1505" s="95"/>
      <c r="U1505" s="95"/>
      <c r="V1505" s="96"/>
      <c r="W1505" s="96"/>
      <c r="X1505" s="97"/>
      <c r="Y1505" s="97"/>
      <c r="Z1505" s="97"/>
      <c r="AA1505" s="4"/>
      <c r="AB1505" s="5"/>
    </row>
    <row r="1506" spans="1:28" x14ac:dyDescent="0.2">
      <c r="A1506" s="4"/>
      <c r="B1506" s="90"/>
      <c r="C1506" s="90"/>
      <c r="D1506" s="90"/>
      <c r="E1506" s="90"/>
      <c r="F1506" s="90"/>
      <c r="G1506" s="90"/>
      <c r="H1506" s="90"/>
      <c r="I1506" s="90"/>
      <c r="J1506" s="90"/>
      <c r="K1506" s="90"/>
      <c r="L1506" s="90"/>
      <c r="M1506" s="90"/>
      <c r="N1506" s="91"/>
      <c r="O1506" s="91"/>
      <c r="P1506" s="91"/>
      <c r="Q1506" s="91"/>
      <c r="R1506" s="91"/>
      <c r="S1506" s="91"/>
      <c r="T1506" s="91"/>
      <c r="U1506" s="91"/>
      <c r="V1506" s="92"/>
      <c r="W1506" s="92"/>
      <c r="X1506" s="93"/>
      <c r="Y1506" s="93"/>
      <c r="Z1506" s="93"/>
      <c r="AA1506" s="4"/>
      <c r="AB1506" s="5"/>
    </row>
    <row r="1507" spans="1:28" x14ac:dyDescent="0.2">
      <c r="A1507" s="4"/>
      <c r="B1507" s="94"/>
      <c r="C1507" s="94"/>
      <c r="D1507" s="94"/>
      <c r="E1507" s="94"/>
      <c r="F1507" s="94"/>
      <c r="G1507" s="94"/>
      <c r="H1507" s="94"/>
      <c r="I1507" s="94"/>
      <c r="J1507" s="94"/>
      <c r="K1507" s="94"/>
      <c r="L1507" s="94"/>
      <c r="M1507" s="94"/>
      <c r="N1507" s="95"/>
      <c r="O1507" s="95"/>
      <c r="P1507" s="95"/>
      <c r="Q1507" s="95"/>
      <c r="R1507" s="95"/>
      <c r="S1507" s="95"/>
      <c r="T1507" s="95"/>
      <c r="U1507" s="95"/>
      <c r="V1507" s="96"/>
      <c r="W1507" s="96"/>
      <c r="X1507" s="97"/>
      <c r="Y1507" s="97"/>
      <c r="Z1507" s="97"/>
      <c r="AA1507" s="4"/>
      <c r="AB1507" s="5"/>
    </row>
    <row r="1508" spans="1:28" x14ac:dyDescent="0.2">
      <c r="A1508" s="4"/>
      <c r="B1508" s="90"/>
      <c r="C1508" s="90"/>
      <c r="D1508" s="90"/>
      <c r="E1508" s="90"/>
      <c r="F1508" s="90"/>
      <c r="G1508" s="90"/>
      <c r="H1508" s="90"/>
      <c r="I1508" s="90"/>
      <c r="J1508" s="90"/>
      <c r="K1508" s="90"/>
      <c r="L1508" s="90"/>
      <c r="M1508" s="90"/>
      <c r="N1508" s="91"/>
      <c r="O1508" s="91"/>
      <c r="P1508" s="91"/>
      <c r="Q1508" s="91"/>
      <c r="R1508" s="91"/>
      <c r="S1508" s="91"/>
      <c r="T1508" s="91"/>
      <c r="U1508" s="91"/>
      <c r="V1508" s="92"/>
      <c r="W1508" s="92"/>
      <c r="X1508" s="93"/>
      <c r="Y1508" s="93"/>
      <c r="Z1508" s="93"/>
      <c r="AA1508" s="4"/>
      <c r="AB1508" s="5"/>
    </row>
    <row r="1509" spans="1:28" x14ac:dyDescent="0.2">
      <c r="A1509" s="4"/>
      <c r="B1509" s="94"/>
      <c r="C1509" s="94"/>
      <c r="D1509" s="94"/>
      <c r="E1509" s="94"/>
      <c r="F1509" s="94"/>
      <c r="G1509" s="94"/>
      <c r="H1509" s="94"/>
      <c r="I1509" s="94"/>
      <c r="J1509" s="94"/>
      <c r="K1509" s="94"/>
      <c r="L1509" s="94"/>
      <c r="M1509" s="94"/>
      <c r="N1509" s="95"/>
      <c r="O1509" s="95"/>
      <c r="P1509" s="95"/>
      <c r="Q1509" s="95"/>
      <c r="R1509" s="95"/>
      <c r="S1509" s="95"/>
      <c r="T1509" s="95"/>
      <c r="U1509" s="95"/>
      <c r="V1509" s="96"/>
      <c r="W1509" s="96"/>
      <c r="X1509" s="97"/>
      <c r="Y1509" s="97"/>
      <c r="Z1509" s="97"/>
      <c r="AA1509" s="4"/>
      <c r="AB1509" s="5"/>
    </row>
    <row r="1510" spans="1:28" x14ac:dyDescent="0.2">
      <c r="A1510" s="4"/>
      <c r="B1510" s="90"/>
      <c r="C1510" s="90"/>
      <c r="D1510" s="90"/>
      <c r="E1510" s="90"/>
      <c r="F1510" s="90"/>
      <c r="G1510" s="90"/>
      <c r="H1510" s="90"/>
      <c r="I1510" s="90"/>
      <c r="J1510" s="90"/>
      <c r="K1510" s="90"/>
      <c r="L1510" s="90"/>
      <c r="M1510" s="90"/>
      <c r="N1510" s="91"/>
      <c r="O1510" s="91"/>
      <c r="P1510" s="91"/>
      <c r="Q1510" s="91"/>
      <c r="R1510" s="91"/>
      <c r="S1510" s="91"/>
      <c r="T1510" s="91"/>
      <c r="U1510" s="91"/>
      <c r="V1510" s="92"/>
      <c r="W1510" s="92"/>
      <c r="X1510" s="93"/>
      <c r="Y1510" s="93"/>
      <c r="Z1510" s="93"/>
      <c r="AA1510" s="4"/>
      <c r="AB1510" s="5"/>
    </row>
    <row r="1511" spans="1:28" x14ac:dyDescent="0.2">
      <c r="A1511" s="4"/>
      <c r="B1511" s="94"/>
      <c r="C1511" s="94"/>
      <c r="D1511" s="94"/>
      <c r="E1511" s="94"/>
      <c r="F1511" s="94"/>
      <c r="G1511" s="94"/>
      <c r="H1511" s="94"/>
      <c r="I1511" s="94"/>
      <c r="J1511" s="94"/>
      <c r="K1511" s="94"/>
      <c r="L1511" s="94"/>
      <c r="M1511" s="94"/>
      <c r="N1511" s="95"/>
      <c r="O1511" s="95"/>
      <c r="P1511" s="95"/>
      <c r="Q1511" s="95"/>
      <c r="R1511" s="95"/>
      <c r="S1511" s="95"/>
      <c r="T1511" s="95"/>
      <c r="U1511" s="95"/>
      <c r="V1511" s="96"/>
      <c r="W1511" s="96"/>
      <c r="X1511" s="97"/>
      <c r="Y1511" s="97"/>
      <c r="Z1511" s="97"/>
      <c r="AA1511" s="4"/>
      <c r="AB1511" s="5"/>
    </row>
    <row r="1512" spans="1:28" x14ac:dyDescent="0.2">
      <c r="A1512" s="4"/>
      <c r="B1512" s="90"/>
      <c r="C1512" s="90"/>
      <c r="D1512" s="90"/>
      <c r="E1512" s="90"/>
      <c r="F1512" s="90"/>
      <c r="G1512" s="90"/>
      <c r="H1512" s="90"/>
      <c r="I1512" s="90"/>
      <c r="J1512" s="90"/>
      <c r="K1512" s="90"/>
      <c r="L1512" s="90"/>
      <c r="M1512" s="90"/>
      <c r="N1512" s="91"/>
      <c r="O1512" s="91"/>
      <c r="P1512" s="91"/>
      <c r="Q1512" s="91"/>
      <c r="R1512" s="91"/>
      <c r="S1512" s="91"/>
      <c r="T1512" s="91"/>
      <c r="U1512" s="91"/>
      <c r="V1512" s="92"/>
      <c r="W1512" s="92"/>
      <c r="X1512" s="93"/>
      <c r="Y1512" s="93"/>
      <c r="Z1512" s="93"/>
      <c r="AA1512" s="4"/>
      <c r="AB1512" s="5"/>
    </row>
    <row r="1513" spans="1:28" x14ac:dyDescent="0.2">
      <c r="A1513" s="4"/>
      <c r="B1513" s="94"/>
      <c r="C1513" s="94"/>
      <c r="D1513" s="94"/>
      <c r="E1513" s="94"/>
      <c r="F1513" s="94"/>
      <c r="G1513" s="94"/>
      <c r="H1513" s="94"/>
      <c r="I1513" s="94"/>
      <c r="J1513" s="94"/>
      <c r="K1513" s="94"/>
      <c r="L1513" s="94"/>
      <c r="M1513" s="94"/>
      <c r="N1513" s="95"/>
      <c r="O1513" s="95"/>
      <c r="P1513" s="95"/>
      <c r="Q1513" s="95"/>
      <c r="R1513" s="95"/>
      <c r="S1513" s="95"/>
      <c r="T1513" s="95"/>
      <c r="U1513" s="95"/>
      <c r="V1513" s="96"/>
      <c r="W1513" s="96"/>
      <c r="X1513" s="97"/>
      <c r="Y1513" s="97"/>
      <c r="Z1513" s="97"/>
      <c r="AA1513" s="4"/>
      <c r="AB1513" s="5"/>
    </row>
    <row r="1514" spans="1:28" x14ac:dyDescent="0.2">
      <c r="A1514" s="4"/>
      <c r="B1514" s="90"/>
      <c r="C1514" s="90"/>
      <c r="D1514" s="90"/>
      <c r="E1514" s="90"/>
      <c r="F1514" s="90"/>
      <c r="G1514" s="90"/>
      <c r="H1514" s="90"/>
      <c r="I1514" s="90"/>
      <c r="J1514" s="90"/>
      <c r="K1514" s="90"/>
      <c r="L1514" s="90"/>
      <c r="M1514" s="90"/>
      <c r="N1514" s="91"/>
      <c r="O1514" s="91"/>
      <c r="P1514" s="91"/>
      <c r="Q1514" s="91"/>
      <c r="R1514" s="91"/>
      <c r="S1514" s="91"/>
      <c r="T1514" s="91"/>
      <c r="U1514" s="91"/>
      <c r="V1514" s="92"/>
      <c r="W1514" s="92"/>
      <c r="X1514" s="93"/>
      <c r="Y1514" s="93"/>
      <c r="Z1514" s="93"/>
      <c r="AA1514" s="4"/>
      <c r="AB1514" s="5"/>
    </row>
    <row r="1515" spans="1:28" x14ac:dyDescent="0.2">
      <c r="A1515" s="4"/>
      <c r="B1515" s="94"/>
      <c r="C1515" s="94"/>
      <c r="D1515" s="94"/>
      <c r="E1515" s="94"/>
      <c r="F1515" s="94"/>
      <c r="G1515" s="94"/>
      <c r="H1515" s="94"/>
      <c r="I1515" s="94"/>
      <c r="J1515" s="94"/>
      <c r="K1515" s="94"/>
      <c r="L1515" s="94"/>
      <c r="M1515" s="94"/>
      <c r="N1515" s="95"/>
      <c r="O1515" s="95"/>
      <c r="P1515" s="95"/>
      <c r="Q1515" s="95"/>
      <c r="R1515" s="95"/>
      <c r="S1515" s="95"/>
      <c r="T1515" s="95"/>
      <c r="U1515" s="95"/>
      <c r="V1515" s="96"/>
      <c r="W1515" s="96"/>
      <c r="X1515" s="97"/>
      <c r="Y1515" s="97"/>
      <c r="Z1515" s="97"/>
      <c r="AA1515" s="4"/>
      <c r="AB1515" s="5"/>
    </row>
    <row r="1516" spans="1:28" x14ac:dyDescent="0.2">
      <c r="A1516" s="4"/>
      <c r="B1516" s="90"/>
      <c r="C1516" s="90"/>
      <c r="D1516" s="90"/>
      <c r="E1516" s="90"/>
      <c r="F1516" s="90"/>
      <c r="G1516" s="90"/>
      <c r="H1516" s="90"/>
      <c r="I1516" s="90"/>
      <c r="J1516" s="90"/>
      <c r="K1516" s="90"/>
      <c r="L1516" s="90"/>
      <c r="M1516" s="90"/>
      <c r="N1516" s="91"/>
      <c r="O1516" s="91"/>
      <c r="P1516" s="91"/>
      <c r="Q1516" s="91"/>
      <c r="R1516" s="91"/>
      <c r="S1516" s="91"/>
      <c r="T1516" s="91"/>
      <c r="U1516" s="91"/>
      <c r="V1516" s="92"/>
      <c r="W1516" s="92"/>
      <c r="X1516" s="93"/>
      <c r="Y1516" s="93"/>
      <c r="Z1516" s="93"/>
      <c r="AA1516" s="4"/>
      <c r="AB1516" s="5"/>
    </row>
    <row r="1517" spans="1:28" x14ac:dyDescent="0.2">
      <c r="A1517" s="4"/>
      <c r="B1517" s="94"/>
      <c r="C1517" s="94"/>
      <c r="D1517" s="94"/>
      <c r="E1517" s="94"/>
      <c r="F1517" s="94"/>
      <c r="G1517" s="94"/>
      <c r="H1517" s="94"/>
      <c r="I1517" s="94"/>
      <c r="J1517" s="94"/>
      <c r="K1517" s="94"/>
      <c r="L1517" s="94"/>
      <c r="M1517" s="94"/>
      <c r="N1517" s="95"/>
      <c r="O1517" s="95"/>
      <c r="P1517" s="95"/>
      <c r="Q1517" s="95"/>
      <c r="R1517" s="95"/>
      <c r="S1517" s="95"/>
      <c r="T1517" s="95"/>
      <c r="U1517" s="95"/>
      <c r="V1517" s="96"/>
      <c r="W1517" s="96"/>
      <c r="X1517" s="97"/>
      <c r="Y1517" s="97"/>
      <c r="Z1517" s="97"/>
      <c r="AA1517" s="4"/>
      <c r="AB1517" s="5"/>
    </row>
    <row r="1518" spans="1:28" x14ac:dyDescent="0.2">
      <c r="A1518" s="4"/>
      <c r="B1518" s="90"/>
      <c r="C1518" s="90"/>
      <c r="D1518" s="90"/>
      <c r="E1518" s="90"/>
      <c r="F1518" s="90"/>
      <c r="G1518" s="90"/>
      <c r="H1518" s="90"/>
      <c r="I1518" s="90"/>
      <c r="J1518" s="90"/>
      <c r="K1518" s="90"/>
      <c r="L1518" s="90"/>
      <c r="M1518" s="90"/>
      <c r="N1518" s="91"/>
      <c r="O1518" s="91"/>
      <c r="P1518" s="91"/>
      <c r="Q1518" s="91"/>
      <c r="R1518" s="91"/>
      <c r="S1518" s="91"/>
      <c r="T1518" s="91"/>
      <c r="U1518" s="91"/>
      <c r="V1518" s="92"/>
      <c r="W1518" s="92"/>
      <c r="X1518" s="93"/>
      <c r="Y1518" s="93"/>
      <c r="Z1518" s="93"/>
      <c r="AA1518" s="4"/>
      <c r="AB1518" s="5"/>
    </row>
    <row r="1519" spans="1:28" x14ac:dyDescent="0.2">
      <c r="A1519" s="4"/>
      <c r="B1519" s="94"/>
      <c r="C1519" s="94"/>
      <c r="D1519" s="94"/>
      <c r="E1519" s="94"/>
      <c r="F1519" s="94"/>
      <c r="G1519" s="94"/>
      <c r="H1519" s="94"/>
      <c r="I1519" s="94"/>
      <c r="J1519" s="94"/>
      <c r="K1519" s="94"/>
      <c r="L1519" s="94"/>
      <c r="M1519" s="94"/>
      <c r="N1519" s="95"/>
      <c r="O1519" s="95"/>
      <c r="P1519" s="95"/>
      <c r="Q1519" s="95"/>
      <c r="R1519" s="95"/>
      <c r="S1519" s="95"/>
      <c r="T1519" s="95"/>
      <c r="U1519" s="95"/>
      <c r="V1519" s="96"/>
      <c r="W1519" s="96"/>
      <c r="X1519" s="97"/>
      <c r="Y1519" s="97"/>
      <c r="Z1519" s="97"/>
      <c r="AA1519" s="4"/>
      <c r="AB1519" s="5"/>
    </row>
    <row r="1520" spans="1:28" x14ac:dyDescent="0.2">
      <c r="A1520" s="4"/>
      <c r="B1520" s="90"/>
      <c r="C1520" s="90"/>
      <c r="D1520" s="90"/>
      <c r="E1520" s="90"/>
      <c r="F1520" s="90"/>
      <c r="G1520" s="90"/>
      <c r="H1520" s="90"/>
      <c r="I1520" s="90"/>
      <c r="J1520" s="90"/>
      <c r="K1520" s="90"/>
      <c r="L1520" s="90"/>
      <c r="M1520" s="90"/>
      <c r="N1520" s="91"/>
      <c r="O1520" s="91"/>
      <c r="P1520" s="91"/>
      <c r="Q1520" s="91"/>
      <c r="R1520" s="91"/>
      <c r="S1520" s="91"/>
      <c r="T1520" s="91"/>
      <c r="U1520" s="91"/>
      <c r="V1520" s="92"/>
      <c r="W1520" s="92"/>
      <c r="X1520" s="93"/>
      <c r="Y1520" s="93"/>
      <c r="Z1520" s="93"/>
      <c r="AA1520" s="4"/>
      <c r="AB1520" s="5"/>
    </row>
    <row r="1521" spans="1:28" x14ac:dyDescent="0.2">
      <c r="A1521" s="4"/>
      <c r="B1521" s="94"/>
      <c r="C1521" s="94"/>
      <c r="D1521" s="94"/>
      <c r="E1521" s="94"/>
      <c r="F1521" s="94"/>
      <c r="G1521" s="94"/>
      <c r="H1521" s="94"/>
      <c r="I1521" s="94"/>
      <c r="J1521" s="94"/>
      <c r="K1521" s="94"/>
      <c r="L1521" s="94"/>
      <c r="M1521" s="94"/>
      <c r="N1521" s="95"/>
      <c r="O1521" s="95"/>
      <c r="P1521" s="95"/>
      <c r="Q1521" s="95"/>
      <c r="R1521" s="95"/>
      <c r="S1521" s="95"/>
      <c r="T1521" s="95"/>
      <c r="U1521" s="95"/>
      <c r="V1521" s="96"/>
      <c r="W1521" s="96"/>
      <c r="X1521" s="97"/>
      <c r="Y1521" s="97"/>
      <c r="Z1521" s="97"/>
      <c r="AA1521" s="4"/>
      <c r="AB1521" s="5"/>
    </row>
    <row r="1522" spans="1:28" x14ac:dyDescent="0.2">
      <c r="A1522" s="4"/>
      <c r="B1522" s="90"/>
      <c r="C1522" s="90"/>
      <c r="D1522" s="90"/>
      <c r="E1522" s="90"/>
      <c r="F1522" s="90"/>
      <c r="G1522" s="90"/>
      <c r="H1522" s="90"/>
      <c r="I1522" s="90"/>
      <c r="J1522" s="90"/>
      <c r="K1522" s="90"/>
      <c r="L1522" s="90"/>
      <c r="M1522" s="90"/>
      <c r="N1522" s="91"/>
      <c r="O1522" s="91"/>
      <c r="P1522" s="91"/>
      <c r="Q1522" s="91"/>
      <c r="R1522" s="91"/>
      <c r="S1522" s="91"/>
      <c r="T1522" s="91"/>
      <c r="U1522" s="91"/>
      <c r="V1522" s="92"/>
      <c r="W1522" s="92"/>
      <c r="X1522" s="93"/>
      <c r="Y1522" s="93"/>
      <c r="Z1522" s="93"/>
      <c r="AA1522" s="4"/>
      <c r="AB1522" s="5"/>
    </row>
    <row r="1523" spans="1:28" x14ac:dyDescent="0.2">
      <c r="A1523" s="4"/>
      <c r="B1523" s="94"/>
      <c r="C1523" s="94"/>
      <c r="D1523" s="94"/>
      <c r="E1523" s="94"/>
      <c r="F1523" s="94"/>
      <c r="G1523" s="94"/>
      <c r="H1523" s="94"/>
      <c r="I1523" s="94"/>
      <c r="J1523" s="94"/>
      <c r="K1523" s="94"/>
      <c r="L1523" s="94"/>
      <c r="M1523" s="94"/>
      <c r="N1523" s="95"/>
      <c r="O1523" s="95"/>
      <c r="P1523" s="95"/>
      <c r="Q1523" s="95"/>
      <c r="R1523" s="95"/>
      <c r="S1523" s="95"/>
      <c r="T1523" s="95"/>
      <c r="U1523" s="95"/>
      <c r="V1523" s="96"/>
      <c r="W1523" s="96"/>
      <c r="X1523" s="97"/>
      <c r="Y1523" s="97"/>
      <c r="Z1523" s="97"/>
      <c r="AA1523" s="4"/>
      <c r="AB1523" s="5"/>
    </row>
    <row r="1524" spans="1:28" x14ac:dyDescent="0.2">
      <c r="A1524" s="4"/>
      <c r="B1524" s="90"/>
      <c r="C1524" s="90"/>
      <c r="D1524" s="90"/>
      <c r="E1524" s="90"/>
      <c r="F1524" s="90"/>
      <c r="G1524" s="90"/>
      <c r="H1524" s="90"/>
      <c r="I1524" s="90"/>
      <c r="J1524" s="90"/>
      <c r="K1524" s="90"/>
      <c r="L1524" s="90"/>
      <c r="M1524" s="90"/>
      <c r="N1524" s="91"/>
      <c r="O1524" s="91"/>
      <c r="P1524" s="91"/>
      <c r="Q1524" s="91"/>
      <c r="R1524" s="91"/>
      <c r="S1524" s="91"/>
      <c r="T1524" s="91"/>
      <c r="U1524" s="91"/>
      <c r="V1524" s="92"/>
      <c r="W1524" s="92"/>
      <c r="X1524" s="93"/>
      <c r="Y1524" s="93"/>
      <c r="Z1524" s="93"/>
      <c r="AA1524" s="4"/>
      <c r="AB1524" s="5"/>
    </row>
    <row r="1525" spans="1:28" x14ac:dyDescent="0.2">
      <c r="A1525" s="4"/>
      <c r="B1525" s="94"/>
      <c r="C1525" s="94"/>
      <c r="D1525" s="94"/>
      <c r="E1525" s="94"/>
      <c r="F1525" s="94"/>
      <c r="G1525" s="94"/>
      <c r="H1525" s="94"/>
      <c r="I1525" s="94"/>
      <c r="J1525" s="94"/>
      <c r="K1525" s="94"/>
      <c r="L1525" s="94"/>
      <c r="M1525" s="94"/>
      <c r="N1525" s="95"/>
      <c r="O1525" s="95"/>
      <c r="P1525" s="95"/>
      <c r="Q1525" s="95"/>
      <c r="R1525" s="95"/>
      <c r="S1525" s="95"/>
      <c r="T1525" s="95"/>
      <c r="U1525" s="95"/>
      <c r="V1525" s="96"/>
      <c r="W1525" s="96"/>
      <c r="X1525" s="97"/>
      <c r="Y1525" s="97"/>
      <c r="Z1525" s="97"/>
      <c r="AA1525" s="4"/>
      <c r="AB1525" s="5"/>
    </row>
    <row r="1526" spans="1:28" x14ac:dyDescent="0.2">
      <c r="A1526" s="4"/>
      <c r="B1526" s="90"/>
      <c r="C1526" s="90"/>
      <c r="D1526" s="90"/>
      <c r="E1526" s="90"/>
      <c r="F1526" s="90"/>
      <c r="G1526" s="90"/>
      <c r="H1526" s="90"/>
      <c r="I1526" s="90"/>
      <c r="J1526" s="90"/>
      <c r="K1526" s="90"/>
      <c r="L1526" s="90"/>
      <c r="M1526" s="90"/>
      <c r="N1526" s="91"/>
      <c r="O1526" s="91"/>
      <c r="P1526" s="91"/>
      <c r="Q1526" s="91"/>
      <c r="R1526" s="91"/>
      <c r="S1526" s="91"/>
      <c r="T1526" s="91"/>
      <c r="U1526" s="91"/>
      <c r="V1526" s="92"/>
      <c r="W1526" s="92"/>
      <c r="X1526" s="93"/>
      <c r="Y1526" s="93"/>
      <c r="Z1526" s="93"/>
      <c r="AA1526" s="4"/>
      <c r="AB1526" s="5"/>
    </row>
    <row r="1527" spans="1:28" x14ac:dyDescent="0.2">
      <c r="A1527" s="4"/>
      <c r="B1527" s="94"/>
      <c r="C1527" s="94"/>
      <c r="D1527" s="94"/>
      <c r="E1527" s="94"/>
      <c r="F1527" s="94"/>
      <c r="G1527" s="94"/>
      <c r="H1527" s="94"/>
      <c r="I1527" s="94"/>
      <c r="J1527" s="94"/>
      <c r="K1527" s="94"/>
      <c r="L1527" s="94"/>
      <c r="M1527" s="94"/>
      <c r="N1527" s="95"/>
      <c r="O1527" s="95"/>
      <c r="P1527" s="95"/>
      <c r="Q1527" s="95"/>
      <c r="R1527" s="95"/>
      <c r="S1527" s="95"/>
      <c r="T1527" s="95"/>
      <c r="U1527" s="95"/>
      <c r="V1527" s="96"/>
      <c r="W1527" s="96"/>
      <c r="X1527" s="97"/>
      <c r="Y1527" s="97"/>
      <c r="Z1527" s="97"/>
      <c r="AA1527" s="4"/>
      <c r="AB1527" s="5"/>
    </row>
    <row r="1528" spans="1:28" x14ac:dyDescent="0.2">
      <c r="A1528" s="4"/>
      <c r="B1528" s="90"/>
      <c r="C1528" s="90"/>
      <c r="D1528" s="90"/>
      <c r="E1528" s="90"/>
      <c r="F1528" s="90"/>
      <c r="G1528" s="90"/>
      <c r="H1528" s="90"/>
      <c r="I1528" s="90"/>
      <c r="J1528" s="90"/>
      <c r="K1528" s="90"/>
      <c r="L1528" s="90"/>
      <c r="M1528" s="90"/>
      <c r="N1528" s="91"/>
      <c r="O1528" s="91"/>
      <c r="P1528" s="91"/>
      <c r="Q1528" s="91"/>
      <c r="R1528" s="91"/>
      <c r="S1528" s="91"/>
      <c r="T1528" s="91"/>
      <c r="U1528" s="91"/>
      <c r="V1528" s="92"/>
      <c r="W1528" s="92"/>
      <c r="X1528" s="93"/>
      <c r="Y1528" s="93"/>
      <c r="Z1528" s="93"/>
      <c r="AA1528" s="4"/>
      <c r="AB1528" s="5"/>
    </row>
    <row r="1529" spans="1:28" x14ac:dyDescent="0.2">
      <c r="A1529" s="4"/>
      <c r="B1529" s="94"/>
      <c r="C1529" s="94"/>
      <c r="D1529" s="94"/>
      <c r="E1529" s="94"/>
      <c r="F1529" s="94"/>
      <c r="G1529" s="94"/>
      <c r="H1529" s="94"/>
      <c r="I1529" s="94"/>
      <c r="J1529" s="94"/>
      <c r="K1529" s="94"/>
      <c r="L1529" s="94"/>
      <c r="M1529" s="94"/>
      <c r="N1529" s="95"/>
      <c r="O1529" s="95"/>
      <c r="P1529" s="95"/>
      <c r="Q1529" s="95"/>
      <c r="R1529" s="95"/>
      <c r="S1529" s="95"/>
      <c r="T1529" s="95"/>
      <c r="U1529" s="95"/>
      <c r="V1529" s="96"/>
      <c r="W1529" s="96"/>
      <c r="X1529" s="97"/>
      <c r="Y1529" s="97"/>
      <c r="Z1529" s="97"/>
      <c r="AA1529" s="4"/>
      <c r="AB1529" s="5"/>
    </row>
    <row r="1530" spans="1:28" x14ac:dyDescent="0.2">
      <c r="A1530" s="4"/>
      <c r="B1530" s="90"/>
      <c r="C1530" s="90"/>
      <c r="D1530" s="90"/>
      <c r="E1530" s="90"/>
      <c r="F1530" s="90"/>
      <c r="G1530" s="90"/>
      <c r="H1530" s="90"/>
      <c r="I1530" s="90"/>
      <c r="J1530" s="90"/>
      <c r="K1530" s="90"/>
      <c r="L1530" s="90"/>
      <c r="M1530" s="90"/>
      <c r="N1530" s="91"/>
      <c r="O1530" s="91"/>
      <c r="P1530" s="91"/>
      <c r="Q1530" s="91"/>
      <c r="R1530" s="91"/>
      <c r="S1530" s="91"/>
      <c r="T1530" s="91"/>
      <c r="U1530" s="91"/>
      <c r="V1530" s="92"/>
      <c r="W1530" s="92"/>
      <c r="X1530" s="93"/>
      <c r="Y1530" s="93"/>
      <c r="Z1530" s="93"/>
      <c r="AA1530" s="4"/>
      <c r="AB1530" s="5"/>
    </row>
    <row r="1531" spans="1:28" x14ac:dyDescent="0.2">
      <c r="A1531" s="4"/>
      <c r="B1531" s="94"/>
      <c r="C1531" s="94"/>
      <c r="D1531" s="94"/>
      <c r="E1531" s="94"/>
      <c r="F1531" s="94"/>
      <c r="G1531" s="94"/>
      <c r="H1531" s="94"/>
      <c r="I1531" s="94"/>
      <c r="J1531" s="94"/>
      <c r="K1531" s="94"/>
      <c r="L1531" s="94"/>
      <c r="M1531" s="94"/>
      <c r="N1531" s="95"/>
      <c r="O1531" s="95"/>
      <c r="P1531" s="95"/>
      <c r="Q1531" s="95"/>
      <c r="R1531" s="95"/>
      <c r="S1531" s="95"/>
      <c r="T1531" s="95"/>
      <c r="U1531" s="95"/>
      <c r="V1531" s="96"/>
      <c r="W1531" s="96"/>
      <c r="X1531" s="97"/>
      <c r="Y1531" s="97"/>
      <c r="Z1531" s="97"/>
      <c r="AA1531" s="4"/>
      <c r="AB1531" s="5"/>
    </row>
    <row r="1532" spans="1:28" x14ac:dyDescent="0.2">
      <c r="A1532" s="4"/>
      <c r="B1532" s="90"/>
      <c r="C1532" s="90"/>
      <c r="D1532" s="90"/>
      <c r="E1532" s="90"/>
      <c r="F1532" s="90"/>
      <c r="G1532" s="90"/>
      <c r="H1532" s="90"/>
      <c r="I1532" s="90"/>
      <c r="J1532" s="90"/>
      <c r="K1532" s="90"/>
      <c r="L1532" s="90"/>
      <c r="M1532" s="90"/>
      <c r="N1532" s="91"/>
      <c r="O1532" s="91"/>
      <c r="P1532" s="91"/>
      <c r="Q1532" s="91"/>
      <c r="R1532" s="91"/>
      <c r="S1532" s="91"/>
      <c r="T1532" s="91"/>
      <c r="U1532" s="91"/>
      <c r="V1532" s="92"/>
      <c r="W1532" s="92"/>
      <c r="X1532" s="93"/>
      <c r="Y1532" s="93"/>
      <c r="Z1532" s="93"/>
      <c r="AA1532" s="4"/>
      <c r="AB1532" s="5"/>
    </row>
    <row r="1533" spans="1:28" x14ac:dyDescent="0.2">
      <c r="A1533" s="4"/>
      <c r="B1533" s="94"/>
      <c r="C1533" s="94"/>
      <c r="D1533" s="94"/>
      <c r="E1533" s="94"/>
      <c r="F1533" s="94"/>
      <c r="G1533" s="94"/>
      <c r="H1533" s="94"/>
      <c r="I1533" s="94"/>
      <c r="J1533" s="94"/>
      <c r="K1533" s="94"/>
      <c r="L1533" s="94"/>
      <c r="M1533" s="94"/>
      <c r="N1533" s="95"/>
      <c r="O1533" s="95"/>
      <c r="P1533" s="95"/>
      <c r="Q1533" s="95"/>
      <c r="R1533" s="95"/>
      <c r="S1533" s="95"/>
      <c r="T1533" s="95"/>
      <c r="U1533" s="95"/>
      <c r="V1533" s="96"/>
      <c r="W1533" s="96"/>
      <c r="X1533" s="97"/>
      <c r="Y1533" s="97"/>
      <c r="Z1533" s="97"/>
      <c r="AA1533" s="4"/>
      <c r="AB1533" s="5"/>
    </row>
    <row r="1534" spans="1:28" x14ac:dyDescent="0.2">
      <c r="A1534" s="4"/>
      <c r="B1534" s="90"/>
      <c r="C1534" s="90"/>
      <c r="D1534" s="90"/>
      <c r="E1534" s="90"/>
      <c r="F1534" s="90"/>
      <c r="G1534" s="90"/>
      <c r="H1534" s="90"/>
      <c r="I1534" s="90"/>
      <c r="J1534" s="90"/>
      <c r="K1534" s="90"/>
      <c r="L1534" s="90"/>
      <c r="M1534" s="90"/>
      <c r="N1534" s="91"/>
      <c r="O1534" s="91"/>
      <c r="P1534" s="91"/>
      <c r="Q1534" s="91"/>
      <c r="R1534" s="91"/>
      <c r="S1534" s="91"/>
      <c r="T1534" s="91"/>
      <c r="U1534" s="91"/>
      <c r="V1534" s="92"/>
      <c r="W1534" s="92"/>
      <c r="X1534" s="93"/>
      <c r="Y1534" s="93"/>
      <c r="Z1534" s="93"/>
      <c r="AA1534" s="4"/>
      <c r="AB1534" s="5"/>
    </row>
    <row r="1535" spans="1:28" x14ac:dyDescent="0.2">
      <c r="A1535" s="4"/>
      <c r="B1535" s="94"/>
      <c r="C1535" s="94"/>
      <c r="D1535" s="94"/>
      <c r="E1535" s="94"/>
      <c r="F1535" s="94"/>
      <c r="G1535" s="94"/>
      <c r="H1535" s="94"/>
      <c r="I1535" s="94"/>
      <c r="J1535" s="94"/>
      <c r="K1535" s="94"/>
      <c r="L1535" s="94"/>
      <c r="M1535" s="94"/>
      <c r="N1535" s="95"/>
      <c r="O1535" s="95"/>
      <c r="P1535" s="95"/>
      <c r="Q1535" s="95"/>
      <c r="R1535" s="95"/>
      <c r="S1535" s="95"/>
      <c r="T1535" s="95"/>
      <c r="U1535" s="95"/>
      <c r="V1535" s="96"/>
      <c r="W1535" s="96"/>
      <c r="X1535" s="97"/>
      <c r="Y1535" s="97"/>
      <c r="Z1535" s="97"/>
      <c r="AA1535" s="4"/>
      <c r="AB1535" s="5"/>
    </row>
    <row r="1536" spans="1:28" x14ac:dyDescent="0.2">
      <c r="A1536" s="4"/>
      <c r="B1536" s="90"/>
      <c r="C1536" s="90"/>
      <c r="D1536" s="90"/>
      <c r="E1536" s="90"/>
      <c r="F1536" s="90"/>
      <c r="G1536" s="90"/>
      <c r="H1536" s="90"/>
      <c r="I1536" s="90"/>
      <c r="J1536" s="90"/>
      <c r="K1536" s="90"/>
      <c r="L1536" s="90"/>
      <c r="M1536" s="90"/>
      <c r="N1536" s="91"/>
      <c r="O1536" s="91"/>
      <c r="P1536" s="91"/>
      <c r="Q1536" s="91"/>
      <c r="R1536" s="91"/>
      <c r="S1536" s="91"/>
      <c r="T1536" s="91"/>
      <c r="U1536" s="91"/>
      <c r="V1536" s="92"/>
      <c r="W1536" s="92"/>
      <c r="X1536" s="93"/>
      <c r="Y1536" s="93"/>
      <c r="Z1536" s="93"/>
      <c r="AA1536" s="4"/>
      <c r="AB1536" s="5"/>
    </row>
    <row r="1537" spans="1:28" x14ac:dyDescent="0.2">
      <c r="A1537" s="4"/>
      <c r="B1537" s="94"/>
      <c r="C1537" s="94"/>
      <c r="D1537" s="94"/>
      <c r="E1537" s="94"/>
      <c r="F1537" s="94"/>
      <c r="G1537" s="94"/>
      <c r="H1537" s="94"/>
      <c r="I1537" s="94"/>
      <c r="J1537" s="94"/>
      <c r="K1537" s="94"/>
      <c r="L1537" s="94"/>
      <c r="M1537" s="94"/>
      <c r="N1537" s="95"/>
      <c r="O1537" s="95"/>
      <c r="P1537" s="95"/>
      <c r="Q1537" s="95"/>
      <c r="R1537" s="95"/>
      <c r="S1537" s="95"/>
      <c r="T1537" s="95"/>
      <c r="U1537" s="95"/>
      <c r="V1537" s="96"/>
      <c r="W1537" s="96"/>
      <c r="X1537" s="97"/>
      <c r="Y1537" s="97"/>
      <c r="Z1537" s="97"/>
      <c r="AA1537" s="4"/>
      <c r="AB1537" s="5"/>
    </row>
    <row r="1538" spans="1:28" x14ac:dyDescent="0.2">
      <c r="A1538" s="4"/>
      <c r="B1538" s="90"/>
      <c r="C1538" s="90"/>
      <c r="D1538" s="90"/>
      <c r="E1538" s="90"/>
      <c r="F1538" s="90"/>
      <c r="G1538" s="90"/>
      <c r="H1538" s="90"/>
      <c r="I1538" s="90"/>
      <c r="J1538" s="90"/>
      <c r="K1538" s="90"/>
      <c r="L1538" s="90"/>
      <c r="M1538" s="90"/>
      <c r="N1538" s="91"/>
      <c r="O1538" s="91"/>
      <c r="P1538" s="91"/>
      <c r="Q1538" s="91"/>
      <c r="R1538" s="91"/>
      <c r="S1538" s="91"/>
      <c r="T1538" s="91"/>
      <c r="U1538" s="91"/>
      <c r="V1538" s="92"/>
      <c r="W1538" s="92"/>
      <c r="X1538" s="93"/>
      <c r="Y1538" s="93"/>
      <c r="Z1538" s="93"/>
      <c r="AA1538" s="4"/>
      <c r="AB1538" s="5"/>
    </row>
    <row r="1539" spans="1:28" x14ac:dyDescent="0.2">
      <c r="A1539" s="4"/>
      <c r="B1539" s="94"/>
      <c r="C1539" s="94"/>
      <c r="D1539" s="94"/>
      <c r="E1539" s="94"/>
      <c r="F1539" s="94"/>
      <c r="G1539" s="94"/>
      <c r="H1539" s="94"/>
      <c r="I1539" s="94"/>
      <c r="J1539" s="94"/>
      <c r="K1539" s="94"/>
      <c r="L1539" s="94"/>
      <c r="M1539" s="94"/>
      <c r="N1539" s="95"/>
      <c r="O1539" s="95"/>
      <c r="P1539" s="95"/>
      <c r="Q1539" s="95"/>
      <c r="R1539" s="95"/>
      <c r="S1539" s="95"/>
      <c r="T1539" s="95"/>
      <c r="U1539" s="95"/>
      <c r="V1539" s="96"/>
      <c r="W1539" s="96"/>
      <c r="X1539" s="97"/>
      <c r="Y1539" s="97"/>
      <c r="Z1539" s="97"/>
      <c r="AA1539" s="4"/>
      <c r="AB1539" s="5"/>
    </row>
    <row r="1540" spans="1:28" x14ac:dyDescent="0.2">
      <c r="A1540" s="4"/>
      <c r="B1540" s="90"/>
      <c r="C1540" s="90"/>
      <c r="D1540" s="90"/>
      <c r="E1540" s="90"/>
      <c r="F1540" s="90"/>
      <c r="G1540" s="90"/>
      <c r="H1540" s="90"/>
      <c r="I1540" s="90"/>
      <c r="J1540" s="90"/>
      <c r="K1540" s="90"/>
      <c r="L1540" s="90"/>
      <c r="M1540" s="90"/>
      <c r="N1540" s="91"/>
      <c r="O1540" s="91"/>
      <c r="P1540" s="91"/>
      <c r="Q1540" s="91"/>
      <c r="R1540" s="91"/>
      <c r="S1540" s="91"/>
      <c r="T1540" s="91"/>
      <c r="U1540" s="91"/>
      <c r="V1540" s="92"/>
      <c r="W1540" s="92"/>
      <c r="X1540" s="93"/>
      <c r="Y1540" s="93"/>
      <c r="Z1540" s="93"/>
      <c r="AA1540" s="4"/>
      <c r="AB1540" s="5"/>
    </row>
    <row r="1541" spans="1:28" x14ac:dyDescent="0.2">
      <c r="A1541" s="4"/>
      <c r="B1541" s="94"/>
      <c r="C1541" s="94"/>
      <c r="D1541" s="94"/>
      <c r="E1541" s="94"/>
      <c r="F1541" s="94"/>
      <c r="G1541" s="94"/>
      <c r="H1541" s="94"/>
      <c r="I1541" s="94"/>
      <c r="J1541" s="94"/>
      <c r="K1541" s="94"/>
      <c r="L1541" s="94"/>
      <c r="M1541" s="94"/>
      <c r="N1541" s="95"/>
      <c r="O1541" s="95"/>
      <c r="P1541" s="95"/>
      <c r="Q1541" s="95"/>
      <c r="R1541" s="95"/>
      <c r="S1541" s="95"/>
      <c r="T1541" s="95"/>
      <c r="U1541" s="95"/>
      <c r="V1541" s="96"/>
      <c r="W1541" s="96"/>
      <c r="X1541" s="97"/>
      <c r="Y1541" s="97"/>
      <c r="Z1541" s="97"/>
      <c r="AA1541" s="4"/>
      <c r="AB1541" s="5"/>
    </row>
    <row r="1542" spans="1:28" x14ac:dyDescent="0.2">
      <c r="A1542" s="4"/>
      <c r="B1542" s="90"/>
      <c r="C1542" s="90"/>
      <c r="D1542" s="90"/>
      <c r="E1542" s="90"/>
      <c r="F1542" s="90"/>
      <c r="G1542" s="90"/>
      <c r="H1542" s="90"/>
      <c r="I1542" s="90"/>
      <c r="J1542" s="90"/>
      <c r="K1542" s="90"/>
      <c r="L1542" s="90"/>
      <c r="M1542" s="90"/>
      <c r="N1542" s="91"/>
      <c r="O1542" s="91"/>
      <c r="P1542" s="91"/>
      <c r="Q1542" s="91"/>
      <c r="R1542" s="91"/>
      <c r="S1542" s="91"/>
      <c r="T1542" s="91"/>
      <c r="U1542" s="91"/>
      <c r="V1542" s="92"/>
      <c r="W1542" s="92"/>
      <c r="X1542" s="93"/>
      <c r="Y1542" s="93"/>
      <c r="Z1542" s="93"/>
      <c r="AA1542" s="4"/>
      <c r="AB1542" s="5"/>
    </row>
    <row r="1543" spans="1:28" x14ac:dyDescent="0.2">
      <c r="A1543" s="4"/>
      <c r="B1543" s="94"/>
      <c r="C1543" s="94"/>
      <c r="D1543" s="94"/>
      <c r="E1543" s="94"/>
      <c r="F1543" s="94"/>
      <c r="G1543" s="94"/>
      <c r="H1543" s="94"/>
      <c r="I1543" s="94"/>
      <c r="J1543" s="94"/>
      <c r="K1543" s="94"/>
      <c r="L1543" s="94"/>
      <c r="M1543" s="94"/>
      <c r="N1543" s="95"/>
      <c r="O1543" s="95"/>
      <c r="P1543" s="95"/>
      <c r="Q1543" s="95"/>
      <c r="R1543" s="95"/>
      <c r="S1543" s="95"/>
      <c r="T1543" s="95"/>
      <c r="U1543" s="95"/>
      <c r="V1543" s="96"/>
      <c r="W1543" s="96"/>
      <c r="X1543" s="97"/>
      <c r="Y1543" s="97"/>
      <c r="Z1543" s="97"/>
      <c r="AA1543" s="4"/>
      <c r="AB1543" s="5"/>
    </row>
    <row r="1544" spans="1:28" x14ac:dyDescent="0.2">
      <c r="A1544" s="4"/>
      <c r="B1544" s="90"/>
      <c r="C1544" s="90"/>
      <c r="D1544" s="90"/>
      <c r="E1544" s="90"/>
      <c r="F1544" s="90"/>
      <c r="G1544" s="90"/>
      <c r="H1544" s="90"/>
      <c r="I1544" s="90"/>
      <c r="J1544" s="90"/>
      <c r="K1544" s="90"/>
      <c r="L1544" s="90"/>
      <c r="M1544" s="90"/>
      <c r="N1544" s="91"/>
      <c r="O1544" s="91"/>
      <c r="P1544" s="91"/>
      <c r="Q1544" s="91"/>
      <c r="R1544" s="91"/>
      <c r="S1544" s="91"/>
      <c r="T1544" s="91"/>
      <c r="U1544" s="91"/>
      <c r="V1544" s="92"/>
      <c r="W1544" s="92"/>
      <c r="X1544" s="93"/>
      <c r="Y1544" s="93"/>
      <c r="Z1544" s="93"/>
      <c r="AA1544" s="4"/>
      <c r="AB1544" s="5"/>
    </row>
    <row r="1545" spans="1:28" x14ac:dyDescent="0.2">
      <c r="A1545" s="4"/>
      <c r="B1545" s="94"/>
      <c r="C1545" s="94"/>
      <c r="D1545" s="94"/>
      <c r="E1545" s="94"/>
      <c r="F1545" s="94"/>
      <c r="G1545" s="94"/>
      <c r="H1545" s="94"/>
      <c r="I1545" s="94"/>
      <c r="J1545" s="94"/>
      <c r="K1545" s="94"/>
      <c r="L1545" s="94"/>
      <c r="M1545" s="94"/>
      <c r="N1545" s="95"/>
      <c r="O1545" s="95"/>
      <c r="P1545" s="95"/>
      <c r="Q1545" s="95"/>
      <c r="R1545" s="95"/>
      <c r="S1545" s="95"/>
      <c r="T1545" s="95"/>
      <c r="U1545" s="95"/>
      <c r="V1545" s="96"/>
      <c r="W1545" s="96"/>
      <c r="X1545" s="97"/>
      <c r="Y1545" s="97"/>
      <c r="Z1545" s="97"/>
      <c r="AA1545" s="4"/>
      <c r="AB1545" s="5"/>
    </row>
    <row r="1546" spans="1:28" x14ac:dyDescent="0.2">
      <c r="A1546" s="4"/>
      <c r="B1546" s="90"/>
      <c r="C1546" s="90"/>
      <c r="D1546" s="90"/>
      <c r="E1546" s="90"/>
      <c r="F1546" s="90"/>
      <c r="G1546" s="90"/>
      <c r="H1546" s="90"/>
      <c r="I1546" s="90"/>
      <c r="J1546" s="90"/>
      <c r="K1546" s="90"/>
      <c r="L1546" s="90"/>
      <c r="M1546" s="90"/>
      <c r="N1546" s="91"/>
      <c r="O1546" s="91"/>
      <c r="P1546" s="91"/>
      <c r="Q1546" s="91"/>
      <c r="R1546" s="91"/>
      <c r="S1546" s="91"/>
      <c r="T1546" s="91"/>
      <c r="U1546" s="91"/>
      <c r="V1546" s="92"/>
      <c r="W1546" s="92"/>
      <c r="X1546" s="93"/>
      <c r="Y1546" s="93"/>
      <c r="Z1546" s="93"/>
      <c r="AA1546" s="4"/>
      <c r="AB1546" s="5"/>
    </row>
    <row r="1547" spans="1:28" x14ac:dyDescent="0.2">
      <c r="A1547" s="4"/>
      <c r="B1547" s="94"/>
      <c r="C1547" s="94"/>
      <c r="D1547" s="94"/>
      <c r="E1547" s="94"/>
      <c r="F1547" s="94"/>
      <c r="G1547" s="94"/>
      <c r="H1547" s="94"/>
      <c r="I1547" s="94"/>
      <c r="J1547" s="94"/>
      <c r="K1547" s="94"/>
      <c r="L1547" s="94"/>
      <c r="M1547" s="94"/>
      <c r="N1547" s="95"/>
      <c r="O1547" s="95"/>
      <c r="P1547" s="95"/>
      <c r="Q1547" s="95"/>
      <c r="R1547" s="95"/>
      <c r="S1547" s="95"/>
      <c r="T1547" s="95"/>
      <c r="U1547" s="95"/>
      <c r="V1547" s="96"/>
      <c r="W1547" s="96"/>
      <c r="X1547" s="97"/>
      <c r="Y1547" s="97"/>
      <c r="Z1547" s="97"/>
      <c r="AA1547" s="4"/>
      <c r="AB1547" s="5"/>
    </row>
    <row r="1548" spans="1:28" x14ac:dyDescent="0.2">
      <c r="A1548" s="4"/>
      <c r="B1548" s="90"/>
      <c r="C1548" s="90"/>
      <c r="D1548" s="90"/>
      <c r="E1548" s="90"/>
      <c r="F1548" s="90"/>
      <c r="G1548" s="90"/>
      <c r="H1548" s="90"/>
      <c r="I1548" s="90"/>
      <c r="J1548" s="90"/>
      <c r="K1548" s="90"/>
      <c r="L1548" s="90"/>
      <c r="M1548" s="90"/>
      <c r="N1548" s="91"/>
      <c r="O1548" s="91"/>
      <c r="P1548" s="91"/>
      <c r="Q1548" s="91"/>
      <c r="R1548" s="91"/>
      <c r="S1548" s="91"/>
      <c r="T1548" s="91"/>
      <c r="U1548" s="91"/>
      <c r="V1548" s="92"/>
      <c r="W1548" s="92"/>
      <c r="X1548" s="93"/>
      <c r="Y1548" s="93"/>
      <c r="Z1548" s="93"/>
      <c r="AA1548" s="4"/>
      <c r="AB1548" s="5"/>
    </row>
    <row r="1549" spans="1:28" x14ac:dyDescent="0.2">
      <c r="A1549" s="4"/>
      <c r="B1549" s="94"/>
      <c r="C1549" s="94"/>
      <c r="D1549" s="94"/>
      <c r="E1549" s="94"/>
      <c r="F1549" s="94"/>
      <c r="G1549" s="94"/>
      <c r="H1549" s="94"/>
      <c r="I1549" s="94"/>
      <c r="J1549" s="94"/>
      <c r="K1549" s="94"/>
      <c r="L1549" s="94"/>
      <c r="M1549" s="94"/>
      <c r="N1549" s="95"/>
      <c r="O1549" s="95"/>
      <c r="P1549" s="95"/>
      <c r="Q1549" s="95"/>
      <c r="R1549" s="95"/>
      <c r="S1549" s="95"/>
      <c r="T1549" s="95"/>
      <c r="U1549" s="95"/>
      <c r="V1549" s="96"/>
      <c r="W1549" s="96"/>
      <c r="X1549" s="97"/>
      <c r="Y1549" s="97"/>
      <c r="Z1549" s="97"/>
      <c r="AA1549" s="4"/>
      <c r="AB1549" s="5"/>
    </row>
    <row r="1550" spans="1:28" x14ac:dyDescent="0.2">
      <c r="A1550" s="4"/>
      <c r="B1550" s="90"/>
      <c r="C1550" s="90"/>
      <c r="D1550" s="90"/>
      <c r="E1550" s="90"/>
      <c r="F1550" s="90"/>
      <c r="G1550" s="90"/>
      <c r="H1550" s="90"/>
      <c r="I1550" s="90"/>
      <c r="J1550" s="90"/>
      <c r="K1550" s="90"/>
      <c r="L1550" s="90"/>
      <c r="M1550" s="90"/>
      <c r="N1550" s="91"/>
      <c r="O1550" s="91"/>
      <c r="P1550" s="91"/>
      <c r="Q1550" s="91"/>
      <c r="R1550" s="91"/>
      <c r="S1550" s="91"/>
      <c r="T1550" s="91"/>
      <c r="U1550" s="91"/>
      <c r="V1550" s="92"/>
      <c r="W1550" s="92"/>
      <c r="X1550" s="93"/>
      <c r="Y1550" s="93"/>
      <c r="Z1550" s="93"/>
      <c r="AA1550" s="4"/>
      <c r="AB1550" s="5"/>
    </row>
    <row r="1551" spans="1:28" x14ac:dyDescent="0.2">
      <c r="A1551" s="4"/>
      <c r="B1551" s="94"/>
      <c r="C1551" s="94"/>
      <c r="D1551" s="94"/>
      <c r="E1551" s="94"/>
      <c r="F1551" s="94"/>
      <c r="G1551" s="94"/>
      <c r="H1551" s="94"/>
      <c r="I1551" s="94"/>
      <c r="J1551" s="94"/>
      <c r="K1551" s="94"/>
      <c r="L1551" s="94"/>
      <c r="M1551" s="94"/>
      <c r="N1551" s="95"/>
      <c r="O1551" s="95"/>
      <c r="P1551" s="95"/>
      <c r="Q1551" s="95"/>
      <c r="R1551" s="95"/>
      <c r="S1551" s="95"/>
      <c r="T1551" s="95"/>
      <c r="U1551" s="95"/>
      <c r="V1551" s="96"/>
      <c r="W1551" s="96"/>
      <c r="X1551" s="97"/>
      <c r="Y1551" s="97"/>
      <c r="Z1551" s="97"/>
      <c r="AA1551" s="4"/>
      <c r="AB1551" s="5"/>
    </row>
    <row r="1552" spans="1:28" x14ac:dyDescent="0.2">
      <c r="A1552" s="4"/>
      <c r="B1552" s="90"/>
      <c r="C1552" s="90"/>
      <c r="D1552" s="90"/>
      <c r="E1552" s="90"/>
      <c r="F1552" s="90"/>
      <c r="G1552" s="90"/>
      <c r="H1552" s="90"/>
      <c r="I1552" s="90"/>
      <c r="J1552" s="90"/>
      <c r="K1552" s="90"/>
      <c r="L1552" s="90"/>
      <c r="M1552" s="90"/>
      <c r="N1552" s="91"/>
      <c r="O1552" s="91"/>
      <c r="P1552" s="91"/>
      <c r="Q1552" s="91"/>
      <c r="R1552" s="91"/>
      <c r="S1552" s="91"/>
      <c r="T1552" s="91"/>
      <c r="U1552" s="91"/>
      <c r="V1552" s="92"/>
      <c r="W1552" s="92"/>
      <c r="X1552" s="93"/>
      <c r="Y1552" s="93"/>
      <c r="Z1552" s="93"/>
      <c r="AA1552" s="4"/>
      <c r="AB1552" s="5"/>
    </row>
    <row r="1553" spans="1:28" x14ac:dyDescent="0.2">
      <c r="A1553" s="4"/>
      <c r="B1553" s="94"/>
      <c r="C1553" s="94"/>
      <c r="D1553" s="94"/>
      <c r="E1553" s="94"/>
      <c r="F1553" s="94"/>
      <c r="G1553" s="94"/>
      <c r="H1553" s="94"/>
      <c r="I1553" s="94"/>
      <c r="J1553" s="94"/>
      <c r="K1553" s="94"/>
      <c r="L1553" s="94"/>
      <c r="M1553" s="94"/>
      <c r="N1553" s="95"/>
      <c r="O1553" s="95"/>
      <c r="P1553" s="95"/>
      <c r="Q1553" s="95"/>
      <c r="R1553" s="95"/>
      <c r="S1553" s="95"/>
      <c r="T1553" s="95"/>
      <c r="U1553" s="95"/>
      <c r="V1553" s="96"/>
      <c r="W1553" s="96"/>
      <c r="X1553" s="97"/>
      <c r="Y1553" s="97"/>
      <c r="Z1553" s="97"/>
      <c r="AA1553" s="4"/>
      <c r="AB1553" s="5"/>
    </row>
    <row r="1554" spans="1:28" x14ac:dyDescent="0.2">
      <c r="A1554" s="4"/>
      <c r="B1554" s="90"/>
      <c r="C1554" s="90"/>
      <c r="D1554" s="90"/>
      <c r="E1554" s="90"/>
      <c r="F1554" s="90"/>
      <c r="G1554" s="90"/>
      <c r="H1554" s="90"/>
      <c r="I1554" s="90"/>
      <c r="J1554" s="90"/>
      <c r="K1554" s="90"/>
      <c r="L1554" s="90"/>
      <c r="M1554" s="90"/>
      <c r="N1554" s="91"/>
      <c r="O1554" s="91"/>
      <c r="P1554" s="91"/>
      <c r="Q1554" s="91"/>
      <c r="R1554" s="91"/>
      <c r="S1554" s="91"/>
      <c r="T1554" s="91"/>
      <c r="U1554" s="91"/>
      <c r="V1554" s="92"/>
      <c r="W1554" s="92"/>
      <c r="X1554" s="93"/>
      <c r="Y1554" s="93"/>
      <c r="Z1554" s="93"/>
      <c r="AA1554" s="4"/>
      <c r="AB1554" s="5"/>
    </row>
    <row r="1555" spans="1:28" x14ac:dyDescent="0.2">
      <c r="A1555" s="4"/>
      <c r="B1555" s="94"/>
      <c r="C1555" s="94"/>
      <c r="D1555" s="94"/>
      <c r="E1555" s="94"/>
      <c r="F1555" s="94"/>
      <c r="G1555" s="94"/>
      <c r="H1555" s="94"/>
      <c r="I1555" s="94"/>
      <c r="J1555" s="94"/>
      <c r="K1555" s="94"/>
      <c r="L1555" s="94"/>
      <c r="M1555" s="94"/>
      <c r="N1555" s="95"/>
      <c r="O1555" s="95"/>
      <c r="P1555" s="95"/>
      <c r="Q1555" s="95"/>
      <c r="R1555" s="95"/>
      <c r="S1555" s="95"/>
      <c r="T1555" s="95"/>
      <c r="U1555" s="95"/>
      <c r="V1555" s="96"/>
      <c r="W1555" s="96"/>
      <c r="X1555" s="97"/>
      <c r="Y1555" s="97"/>
      <c r="Z1555" s="97"/>
      <c r="AA1555" s="4"/>
      <c r="AB1555" s="5"/>
    </row>
    <row r="1556" spans="1:28" x14ac:dyDescent="0.2">
      <c r="A1556" s="4"/>
      <c r="B1556" s="90"/>
      <c r="C1556" s="90"/>
      <c r="D1556" s="90"/>
      <c r="E1556" s="90"/>
      <c r="F1556" s="90"/>
      <c r="G1556" s="90"/>
      <c r="H1556" s="90"/>
      <c r="I1556" s="90"/>
      <c r="J1556" s="90"/>
      <c r="K1556" s="90"/>
      <c r="L1556" s="90"/>
      <c r="M1556" s="90"/>
      <c r="N1556" s="91"/>
      <c r="O1556" s="91"/>
      <c r="P1556" s="91"/>
      <c r="Q1556" s="91"/>
      <c r="R1556" s="91"/>
      <c r="S1556" s="91"/>
      <c r="T1556" s="91"/>
      <c r="U1556" s="91"/>
      <c r="V1556" s="92"/>
      <c r="W1556" s="92"/>
      <c r="X1556" s="93"/>
      <c r="Y1556" s="93"/>
      <c r="Z1556" s="93"/>
      <c r="AA1556" s="4"/>
      <c r="AB1556" s="5"/>
    </row>
    <row r="1557" spans="1:28" x14ac:dyDescent="0.2">
      <c r="A1557" s="4"/>
      <c r="B1557" s="94"/>
      <c r="C1557" s="94"/>
      <c r="D1557" s="94"/>
      <c r="E1557" s="94"/>
      <c r="F1557" s="94"/>
      <c r="G1557" s="94"/>
      <c r="H1557" s="94"/>
      <c r="I1557" s="94"/>
      <c r="J1557" s="94"/>
      <c r="K1557" s="94"/>
      <c r="L1557" s="94"/>
      <c r="M1557" s="94"/>
      <c r="N1557" s="95"/>
      <c r="O1557" s="95"/>
      <c r="P1557" s="95"/>
      <c r="Q1557" s="95"/>
      <c r="R1557" s="95"/>
      <c r="S1557" s="95"/>
      <c r="T1557" s="95"/>
      <c r="U1557" s="95"/>
      <c r="V1557" s="96"/>
      <c r="W1557" s="96"/>
      <c r="X1557" s="97"/>
      <c r="Y1557" s="97"/>
      <c r="Z1557" s="97"/>
      <c r="AA1557" s="4"/>
      <c r="AB1557" s="5"/>
    </row>
    <row r="1558" spans="1:28" x14ac:dyDescent="0.2">
      <c r="A1558" s="4"/>
      <c r="B1558" s="90"/>
      <c r="C1558" s="90"/>
      <c r="D1558" s="90"/>
      <c r="E1558" s="90"/>
      <c r="F1558" s="90"/>
      <c r="G1558" s="90"/>
      <c r="H1558" s="90"/>
      <c r="I1558" s="90"/>
      <c r="J1558" s="90"/>
      <c r="K1558" s="90"/>
      <c r="L1558" s="90"/>
      <c r="M1558" s="90"/>
      <c r="N1558" s="91"/>
      <c r="O1558" s="91"/>
      <c r="P1558" s="91"/>
      <c r="Q1558" s="91"/>
      <c r="R1558" s="91"/>
      <c r="S1558" s="91"/>
      <c r="T1558" s="91"/>
      <c r="U1558" s="91"/>
      <c r="V1558" s="92"/>
      <c r="W1558" s="92"/>
      <c r="X1558" s="93"/>
      <c r="Y1558" s="93"/>
      <c r="Z1558" s="93"/>
      <c r="AA1558" s="4"/>
      <c r="AB1558" s="5"/>
    </row>
    <row r="1559" spans="1:28" x14ac:dyDescent="0.2">
      <c r="A1559" s="4"/>
      <c r="B1559" s="94"/>
      <c r="C1559" s="94"/>
      <c r="D1559" s="94"/>
      <c r="E1559" s="94"/>
      <c r="F1559" s="94"/>
      <c r="G1559" s="94"/>
      <c r="H1559" s="94"/>
      <c r="I1559" s="94"/>
      <c r="J1559" s="94"/>
      <c r="K1559" s="94"/>
      <c r="L1559" s="94"/>
      <c r="M1559" s="94"/>
      <c r="N1559" s="95"/>
      <c r="O1559" s="95"/>
      <c r="P1559" s="95"/>
      <c r="Q1559" s="95"/>
      <c r="R1559" s="95"/>
      <c r="S1559" s="95"/>
      <c r="T1559" s="95"/>
      <c r="U1559" s="95"/>
      <c r="V1559" s="96"/>
      <c r="W1559" s="96"/>
      <c r="X1559" s="97"/>
      <c r="Y1559" s="97"/>
      <c r="Z1559" s="97"/>
      <c r="AA1559" s="4"/>
      <c r="AB1559" s="5"/>
    </row>
    <row r="1560" spans="1:28" x14ac:dyDescent="0.2">
      <c r="A1560" s="4"/>
      <c r="B1560" s="90"/>
      <c r="C1560" s="90"/>
      <c r="D1560" s="90"/>
      <c r="E1560" s="90"/>
      <c r="F1560" s="90"/>
      <c r="G1560" s="90"/>
      <c r="H1560" s="90"/>
      <c r="I1560" s="90"/>
      <c r="J1560" s="90"/>
      <c r="K1560" s="90"/>
      <c r="L1560" s="90"/>
      <c r="M1560" s="90"/>
      <c r="N1560" s="91"/>
      <c r="O1560" s="91"/>
      <c r="P1560" s="91"/>
      <c r="Q1560" s="91"/>
      <c r="R1560" s="91"/>
      <c r="S1560" s="91"/>
      <c r="T1560" s="91"/>
      <c r="U1560" s="91"/>
      <c r="V1560" s="92"/>
      <c r="W1560" s="92"/>
      <c r="X1560" s="93"/>
      <c r="Y1560" s="93"/>
      <c r="Z1560" s="93"/>
      <c r="AA1560" s="4"/>
      <c r="AB1560" s="5"/>
    </row>
    <row r="1561" spans="1:28" x14ac:dyDescent="0.2">
      <c r="A1561" s="4"/>
      <c r="B1561" s="94"/>
      <c r="C1561" s="94"/>
      <c r="D1561" s="94"/>
      <c r="E1561" s="94"/>
      <c r="F1561" s="94"/>
      <c r="G1561" s="94"/>
      <c r="H1561" s="94"/>
      <c r="I1561" s="94"/>
      <c r="J1561" s="94"/>
      <c r="K1561" s="94"/>
      <c r="L1561" s="94"/>
      <c r="M1561" s="94"/>
      <c r="N1561" s="95"/>
      <c r="O1561" s="95"/>
      <c r="P1561" s="95"/>
      <c r="Q1561" s="95"/>
      <c r="R1561" s="95"/>
      <c r="S1561" s="95"/>
      <c r="T1561" s="95"/>
      <c r="U1561" s="95"/>
      <c r="V1561" s="96"/>
      <c r="W1561" s="96"/>
      <c r="X1561" s="97"/>
      <c r="Y1561" s="97"/>
      <c r="Z1561" s="97"/>
      <c r="AA1561" s="4"/>
      <c r="AB1561" s="5"/>
    </row>
    <row r="1562" spans="1:28" x14ac:dyDescent="0.2">
      <c r="A1562" s="4"/>
      <c r="B1562" s="90"/>
      <c r="C1562" s="90"/>
      <c r="D1562" s="90"/>
      <c r="E1562" s="90"/>
      <c r="F1562" s="90"/>
      <c r="G1562" s="90"/>
      <c r="H1562" s="90"/>
      <c r="I1562" s="90"/>
      <c r="J1562" s="90"/>
      <c r="K1562" s="90"/>
      <c r="L1562" s="90"/>
      <c r="M1562" s="90"/>
      <c r="N1562" s="91"/>
      <c r="O1562" s="91"/>
      <c r="P1562" s="91"/>
      <c r="Q1562" s="91"/>
      <c r="R1562" s="91"/>
      <c r="S1562" s="91"/>
      <c r="T1562" s="91"/>
      <c r="U1562" s="91"/>
      <c r="V1562" s="92"/>
      <c r="W1562" s="92"/>
      <c r="X1562" s="93"/>
      <c r="Y1562" s="93"/>
      <c r="Z1562" s="93"/>
      <c r="AA1562" s="4"/>
      <c r="AB1562" s="5"/>
    </row>
    <row r="1563" spans="1:28" x14ac:dyDescent="0.2">
      <c r="A1563" s="4"/>
      <c r="B1563" s="94"/>
      <c r="C1563" s="94"/>
      <c r="D1563" s="94"/>
      <c r="E1563" s="94"/>
      <c r="F1563" s="94"/>
      <c r="G1563" s="94"/>
      <c r="H1563" s="94"/>
      <c r="I1563" s="94"/>
      <c r="J1563" s="94"/>
      <c r="K1563" s="94"/>
      <c r="L1563" s="94"/>
      <c r="M1563" s="94"/>
      <c r="N1563" s="95"/>
      <c r="O1563" s="95"/>
      <c r="P1563" s="95"/>
      <c r="Q1563" s="95"/>
      <c r="R1563" s="95"/>
      <c r="S1563" s="95"/>
      <c r="T1563" s="95"/>
      <c r="U1563" s="95"/>
      <c r="V1563" s="96"/>
      <c r="W1563" s="96"/>
      <c r="X1563" s="97"/>
      <c r="Y1563" s="97"/>
      <c r="Z1563" s="97"/>
      <c r="AA1563" s="4"/>
      <c r="AB1563" s="5"/>
    </row>
    <row r="1564" spans="1:28" x14ac:dyDescent="0.2">
      <c r="A1564" s="4"/>
      <c r="B1564" s="90"/>
      <c r="C1564" s="90"/>
      <c r="D1564" s="90"/>
      <c r="E1564" s="90"/>
      <c r="F1564" s="90"/>
      <c r="G1564" s="90"/>
      <c r="H1564" s="90"/>
      <c r="I1564" s="90"/>
      <c r="J1564" s="90"/>
      <c r="K1564" s="90"/>
      <c r="L1564" s="90"/>
      <c r="M1564" s="90"/>
      <c r="N1564" s="91"/>
      <c r="O1564" s="91"/>
      <c r="P1564" s="91"/>
      <c r="Q1564" s="91"/>
      <c r="R1564" s="91"/>
      <c r="S1564" s="91"/>
      <c r="T1564" s="91"/>
      <c r="U1564" s="91"/>
      <c r="V1564" s="92"/>
      <c r="W1564" s="92"/>
      <c r="X1564" s="93"/>
      <c r="Y1564" s="93"/>
      <c r="Z1564" s="93"/>
      <c r="AA1564" s="4"/>
      <c r="AB1564" s="5"/>
    </row>
    <row r="1565" spans="1:28" x14ac:dyDescent="0.2">
      <c r="A1565" s="4"/>
      <c r="B1565" s="94"/>
      <c r="C1565" s="94"/>
      <c r="D1565" s="94"/>
      <c r="E1565" s="94"/>
      <c r="F1565" s="94"/>
      <c r="G1565" s="94"/>
      <c r="H1565" s="94"/>
      <c r="I1565" s="94"/>
      <c r="J1565" s="94"/>
      <c r="K1565" s="94"/>
      <c r="L1565" s="94"/>
      <c r="M1565" s="94"/>
      <c r="N1565" s="95"/>
      <c r="O1565" s="95"/>
      <c r="P1565" s="95"/>
      <c r="Q1565" s="95"/>
      <c r="R1565" s="95"/>
      <c r="S1565" s="95"/>
      <c r="T1565" s="95"/>
      <c r="U1565" s="95"/>
      <c r="V1565" s="96"/>
      <c r="W1565" s="96"/>
      <c r="X1565" s="97"/>
      <c r="Y1565" s="97"/>
      <c r="Z1565" s="97"/>
      <c r="AA1565" s="4"/>
      <c r="AB1565" s="5"/>
    </row>
    <row r="1566" spans="1:28" x14ac:dyDescent="0.2">
      <c r="A1566" s="4"/>
      <c r="B1566" s="90"/>
      <c r="C1566" s="90"/>
      <c r="D1566" s="90"/>
      <c r="E1566" s="90"/>
      <c r="F1566" s="90"/>
      <c r="G1566" s="90"/>
      <c r="H1566" s="90"/>
      <c r="I1566" s="90"/>
      <c r="J1566" s="90"/>
      <c r="K1566" s="90"/>
      <c r="L1566" s="90"/>
      <c r="M1566" s="90"/>
      <c r="N1566" s="91"/>
      <c r="O1566" s="91"/>
      <c r="P1566" s="91"/>
      <c r="Q1566" s="91"/>
      <c r="R1566" s="91"/>
      <c r="S1566" s="91"/>
      <c r="T1566" s="91"/>
      <c r="U1566" s="91"/>
      <c r="V1566" s="92"/>
      <c r="W1566" s="92"/>
      <c r="X1566" s="93"/>
      <c r="Y1566" s="93"/>
      <c r="Z1566" s="93"/>
      <c r="AA1566" s="4"/>
      <c r="AB1566" s="5"/>
    </row>
    <row r="1567" spans="1:28" x14ac:dyDescent="0.2">
      <c r="A1567" s="4"/>
      <c r="B1567" s="94"/>
      <c r="C1567" s="94"/>
      <c r="D1567" s="94"/>
      <c r="E1567" s="94"/>
      <c r="F1567" s="94"/>
      <c r="G1567" s="94"/>
      <c r="H1567" s="94"/>
      <c r="I1567" s="94"/>
      <c r="J1567" s="94"/>
      <c r="K1567" s="94"/>
      <c r="L1567" s="94"/>
      <c r="M1567" s="94"/>
      <c r="N1567" s="95"/>
      <c r="O1567" s="95"/>
      <c r="P1567" s="95"/>
      <c r="Q1567" s="95"/>
      <c r="R1567" s="95"/>
      <c r="S1567" s="95"/>
      <c r="T1567" s="95"/>
      <c r="U1567" s="95"/>
      <c r="V1567" s="96"/>
      <c r="W1567" s="96"/>
      <c r="X1567" s="97"/>
      <c r="Y1567" s="97"/>
      <c r="Z1567" s="97"/>
      <c r="AA1567" s="4"/>
      <c r="AB1567" s="5"/>
    </row>
    <row r="1568" spans="1:28" x14ac:dyDescent="0.2">
      <c r="A1568" s="4"/>
      <c r="B1568" s="90"/>
      <c r="C1568" s="90"/>
      <c r="D1568" s="90"/>
      <c r="E1568" s="90"/>
      <c r="F1568" s="90"/>
      <c r="G1568" s="90"/>
      <c r="H1568" s="90"/>
      <c r="I1568" s="90"/>
      <c r="J1568" s="90"/>
      <c r="K1568" s="90"/>
      <c r="L1568" s="90"/>
      <c r="M1568" s="90"/>
      <c r="N1568" s="91"/>
      <c r="O1568" s="91"/>
      <c r="P1568" s="91"/>
      <c r="Q1568" s="91"/>
      <c r="R1568" s="91"/>
      <c r="S1568" s="91"/>
      <c r="T1568" s="91"/>
      <c r="U1568" s="91"/>
      <c r="V1568" s="92"/>
      <c r="W1568" s="92"/>
      <c r="X1568" s="93"/>
      <c r="Y1568" s="93"/>
      <c r="Z1568" s="93"/>
      <c r="AA1568" s="4"/>
      <c r="AB1568" s="5"/>
    </row>
    <row r="1569" spans="1:28" x14ac:dyDescent="0.2">
      <c r="A1569" s="4"/>
      <c r="B1569" s="94"/>
      <c r="C1569" s="94"/>
      <c r="D1569" s="94"/>
      <c r="E1569" s="94"/>
      <c r="F1569" s="94"/>
      <c r="G1569" s="94"/>
      <c r="H1569" s="94"/>
      <c r="I1569" s="94"/>
      <c r="J1569" s="94"/>
      <c r="K1569" s="94"/>
      <c r="L1569" s="94"/>
      <c r="M1569" s="94"/>
      <c r="N1569" s="95"/>
      <c r="O1569" s="95"/>
      <c r="P1569" s="95"/>
      <c r="Q1569" s="95"/>
      <c r="R1569" s="95"/>
      <c r="S1569" s="95"/>
      <c r="T1569" s="95"/>
      <c r="U1569" s="95"/>
      <c r="V1569" s="96"/>
      <c r="W1569" s="96"/>
      <c r="X1569" s="97"/>
      <c r="Y1569" s="97"/>
      <c r="Z1569" s="97"/>
      <c r="AA1569" s="4"/>
      <c r="AB1569" s="5"/>
    </row>
    <row r="1570" spans="1:28" x14ac:dyDescent="0.2">
      <c r="A1570" s="4"/>
      <c r="B1570" s="90"/>
      <c r="C1570" s="90"/>
      <c r="D1570" s="90"/>
      <c r="E1570" s="90"/>
      <c r="F1570" s="90"/>
      <c r="G1570" s="90"/>
      <c r="H1570" s="90"/>
      <c r="I1570" s="90"/>
      <c r="J1570" s="90"/>
      <c r="K1570" s="90"/>
      <c r="L1570" s="90"/>
      <c r="M1570" s="90"/>
      <c r="N1570" s="91"/>
      <c r="O1570" s="91"/>
      <c r="P1570" s="91"/>
      <c r="Q1570" s="91"/>
      <c r="R1570" s="91"/>
      <c r="S1570" s="91"/>
      <c r="T1570" s="91"/>
      <c r="U1570" s="91"/>
      <c r="V1570" s="92"/>
      <c r="W1570" s="92"/>
      <c r="X1570" s="93"/>
      <c r="Y1570" s="93"/>
      <c r="Z1570" s="93"/>
      <c r="AA1570" s="4"/>
      <c r="AB1570" s="5"/>
    </row>
    <row r="1571" spans="1:28" x14ac:dyDescent="0.2">
      <c r="A1571" s="4"/>
      <c r="B1571" s="94"/>
      <c r="C1571" s="94"/>
      <c r="D1571" s="94"/>
      <c r="E1571" s="94"/>
      <c r="F1571" s="94"/>
      <c r="G1571" s="94"/>
      <c r="H1571" s="94"/>
      <c r="I1571" s="94"/>
      <c r="J1571" s="94"/>
      <c r="K1571" s="94"/>
      <c r="L1571" s="94"/>
      <c r="M1571" s="94"/>
      <c r="N1571" s="95"/>
      <c r="O1571" s="95"/>
      <c r="P1571" s="95"/>
      <c r="Q1571" s="95"/>
      <c r="R1571" s="95"/>
      <c r="S1571" s="95"/>
      <c r="T1571" s="95"/>
      <c r="U1571" s="95"/>
      <c r="V1571" s="96"/>
      <c r="W1571" s="96"/>
      <c r="X1571" s="97"/>
      <c r="Y1571" s="97"/>
      <c r="Z1571" s="97"/>
      <c r="AA1571" s="4"/>
      <c r="AB1571" s="5"/>
    </row>
    <row r="1572" spans="1:28" x14ac:dyDescent="0.2">
      <c r="A1572" s="4"/>
      <c r="B1572" s="90"/>
      <c r="C1572" s="90"/>
      <c r="D1572" s="90"/>
      <c r="E1572" s="90"/>
      <c r="F1572" s="90"/>
      <c r="G1572" s="90"/>
      <c r="H1572" s="90"/>
      <c r="I1572" s="90"/>
      <c r="J1572" s="90"/>
      <c r="K1572" s="90"/>
      <c r="L1572" s="90"/>
      <c r="M1572" s="90"/>
      <c r="N1572" s="91"/>
      <c r="O1572" s="91"/>
      <c r="P1572" s="91"/>
      <c r="Q1572" s="91"/>
      <c r="R1572" s="91"/>
      <c r="S1572" s="91"/>
      <c r="T1572" s="91"/>
      <c r="U1572" s="91"/>
      <c r="V1572" s="92"/>
      <c r="W1572" s="92"/>
      <c r="X1572" s="93"/>
      <c r="Y1572" s="93"/>
      <c r="Z1572" s="93"/>
      <c r="AA1572" s="4"/>
      <c r="AB1572" s="5"/>
    </row>
    <row r="1573" spans="1:28" x14ac:dyDescent="0.2">
      <c r="A1573" s="4"/>
      <c r="B1573" s="94"/>
      <c r="C1573" s="94"/>
      <c r="D1573" s="94"/>
      <c r="E1573" s="94"/>
      <c r="F1573" s="94"/>
      <c r="G1573" s="94"/>
      <c r="H1573" s="94"/>
      <c r="I1573" s="94"/>
      <c r="J1573" s="94"/>
      <c r="K1573" s="94"/>
      <c r="L1573" s="94"/>
      <c r="M1573" s="94"/>
      <c r="N1573" s="95"/>
      <c r="O1573" s="95"/>
      <c r="P1573" s="95"/>
      <c r="Q1573" s="95"/>
      <c r="R1573" s="95"/>
      <c r="S1573" s="95"/>
      <c r="T1573" s="95"/>
      <c r="U1573" s="95"/>
      <c r="V1573" s="96"/>
      <c r="W1573" s="96"/>
      <c r="X1573" s="97"/>
      <c r="Y1573" s="97"/>
      <c r="Z1573" s="97"/>
      <c r="AA1573" s="4"/>
      <c r="AB1573" s="5"/>
    </row>
    <row r="1574" spans="1:28" x14ac:dyDescent="0.2">
      <c r="A1574" s="4"/>
      <c r="B1574" s="90"/>
      <c r="C1574" s="90"/>
      <c r="D1574" s="90"/>
      <c r="E1574" s="90"/>
      <c r="F1574" s="90"/>
      <c r="G1574" s="90"/>
      <c r="H1574" s="90"/>
      <c r="I1574" s="90"/>
      <c r="J1574" s="90"/>
      <c r="K1574" s="90"/>
      <c r="L1574" s="90"/>
      <c r="M1574" s="90"/>
      <c r="N1574" s="91"/>
      <c r="O1574" s="91"/>
      <c r="P1574" s="91"/>
      <c r="Q1574" s="91"/>
      <c r="R1574" s="91"/>
      <c r="S1574" s="91"/>
      <c r="T1574" s="91"/>
      <c r="U1574" s="91"/>
      <c r="V1574" s="92"/>
      <c r="W1574" s="92"/>
      <c r="X1574" s="93"/>
      <c r="Y1574" s="93"/>
      <c r="Z1574" s="93"/>
      <c r="AA1574" s="4"/>
      <c r="AB1574" s="5"/>
    </row>
    <row r="1575" spans="1:28" x14ac:dyDescent="0.2">
      <c r="A1575" s="4"/>
      <c r="B1575" s="94"/>
      <c r="C1575" s="94"/>
      <c r="D1575" s="94"/>
      <c r="E1575" s="94"/>
      <c r="F1575" s="94"/>
      <c r="G1575" s="94"/>
      <c r="H1575" s="94"/>
      <c r="I1575" s="94"/>
      <c r="J1575" s="94"/>
      <c r="K1575" s="94"/>
      <c r="L1575" s="94"/>
      <c r="M1575" s="94"/>
      <c r="N1575" s="95"/>
      <c r="O1575" s="95"/>
      <c r="P1575" s="95"/>
      <c r="Q1575" s="95"/>
      <c r="R1575" s="95"/>
      <c r="S1575" s="95"/>
      <c r="T1575" s="95"/>
      <c r="U1575" s="95"/>
      <c r="V1575" s="96"/>
      <c r="W1575" s="96"/>
      <c r="X1575" s="97"/>
      <c r="Y1575" s="97"/>
      <c r="Z1575" s="97"/>
      <c r="AA1575" s="4"/>
      <c r="AB1575" s="5"/>
    </row>
    <row r="1576" spans="1:28" x14ac:dyDescent="0.2">
      <c r="A1576" s="4"/>
      <c r="B1576" s="90"/>
      <c r="C1576" s="90"/>
      <c r="D1576" s="90"/>
      <c r="E1576" s="90"/>
      <c r="F1576" s="90"/>
      <c r="G1576" s="90"/>
      <c r="H1576" s="90"/>
      <c r="I1576" s="90"/>
      <c r="J1576" s="90"/>
      <c r="K1576" s="90"/>
      <c r="L1576" s="90"/>
      <c r="M1576" s="90"/>
      <c r="N1576" s="91"/>
      <c r="O1576" s="91"/>
      <c r="P1576" s="91"/>
      <c r="Q1576" s="91"/>
      <c r="R1576" s="91"/>
      <c r="S1576" s="91"/>
      <c r="T1576" s="91"/>
      <c r="U1576" s="91"/>
      <c r="V1576" s="92"/>
      <c r="W1576" s="92"/>
      <c r="X1576" s="93"/>
      <c r="Y1576" s="93"/>
      <c r="Z1576" s="93"/>
      <c r="AA1576" s="4"/>
      <c r="AB1576" s="5"/>
    </row>
    <row r="1577" spans="1:28" x14ac:dyDescent="0.2">
      <c r="A1577" s="4"/>
      <c r="B1577" s="94"/>
      <c r="C1577" s="94"/>
      <c r="D1577" s="94"/>
      <c r="E1577" s="94"/>
      <c r="F1577" s="94"/>
      <c r="G1577" s="94"/>
      <c r="H1577" s="94"/>
      <c r="I1577" s="94"/>
      <c r="J1577" s="94"/>
      <c r="K1577" s="94"/>
      <c r="L1577" s="94"/>
      <c r="M1577" s="94"/>
      <c r="N1577" s="95"/>
      <c r="O1577" s="95"/>
      <c r="P1577" s="95"/>
      <c r="Q1577" s="95"/>
      <c r="R1577" s="95"/>
      <c r="S1577" s="95"/>
      <c r="T1577" s="95"/>
      <c r="U1577" s="95"/>
      <c r="V1577" s="96"/>
      <c r="W1577" s="96"/>
      <c r="X1577" s="97"/>
      <c r="Y1577" s="97"/>
      <c r="Z1577" s="97"/>
      <c r="AA1577" s="4"/>
      <c r="AB1577" s="5"/>
    </row>
    <row r="1578" spans="1:28" x14ac:dyDescent="0.2">
      <c r="A1578" s="4"/>
      <c r="B1578" s="90"/>
      <c r="C1578" s="90"/>
      <c r="D1578" s="90"/>
      <c r="E1578" s="90"/>
      <c r="F1578" s="90"/>
      <c r="G1578" s="90"/>
      <c r="H1578" s="90"/>
      <c r="I1578" s="90"/>
      <c r="J1578" s="90"/>
      <c r="K1578" s="90"/>
      <c r="L1578" s="90"/>
      <c r="M1578" s="90"/>
      <c r="N1578" s="91"/>
      <c r="O1578" s="91"/>
      <c r="P1578" s="91"/>
      <c r="Q1578" s="91"/>
      <c r="R1578" s="91"/>
      <c r="S1578" s="91"/>
      <c r="T1578" s="91"/>
      <c r="U1578" s="91"/>
      <c r="V1578" s="92"/>
      <c r="W1578" s="92"/>
      <c r="X1578" s="93"/>
      <c r="Y1578" s="93"/>
      <c r="Z1578" s="93"/>
      <c r="AA1578" s="4"/>
      <c r="AB1578" s="5"/>
    </row>
    <row r="1579" spans="1:28" x14ac:dyDescent="0.2">
      <c r="A1579" s="4"/>
      <c r="B1579" s="94"/>
      <c r="C1579" s="94"/>
      <c r="D1579" s="94"/>
      <c r="E1579" s="94"/>
      <c r="F1579" s="94"/>
      <c r="G1579" s="94"/>
      <c r="H1579" s="94"/>
      <c r="I1579" s="94"/>
      <c r="J1579" s="94"/>
      <c r="K1579" s="94"/>
      <c r="L1579" s="94"/>
      <c r="M1579" s="94"/>
      <c r="N1579" s="95"/>
      <c r="O1579" s="95"/>
      <c r="P1579" s="95"/>
      <c r="Q1579" s="95"/>
      <c r="R1579" s="95"/>
      <c r="S1579" s="95"/>
      <c r="T1579" s="95"/>
      <c r="U1579" s="95"/>
      <c r="V1579" s="96"/>
      <c r="W1579" s="96"/>
      <c r="X1579" s="97"/>
      <c r="Y1579" s="97"/>
      <c r="Z1579" s="97"/>
      <c r="AA1579" s="4"/>
      <c r="AB1579" s="5"/>
    </row>
    <row r="1580" spans="1:28" x14ac:dyDescent="0.2">
      <c r="A1580" s="4"/>
      <c r="B1580" s="90"/>
      <c r="C1580" s="90"/>
      <c r="D1580" s="90"/>
      <c r="E1580" s="90"/>
      <c r="F1580" s="90"/>
      <c r="G1580" s="90"/>
      <c r="H1580" s="90"/>
      <c r="I1580" s="90"/>
      <c r="J1580" s="90"/>
      <c r="K1580" s="90"/>
      <c r="L1580" s="90"/>
      <c r="M1580" s="90"/>
      <c r="N1580" s="91"/>
      <c r="O1580" s="91"/>
      <c r="P1580" s="91"/>
      <c r="Q1580" s="91"/>
      <c r="R1580" s="91"/>
      <c r="S1580" s="91"/>
      <c r="T1580" s="91"/>
      <c r="U1580" s="91"/>
      <c r="V1580" s="92"/>
      <c r="W1580" s="92"/>
      <c r="X1580" s="93"/>
      <c r="Y1580" s="93"/>
      <c r="Z1580" s="93"/>
      <c r="AA1580" s="4"/>
      <c r="AB1580" s="5"/>
    </row>
    <row r="1581" spans="1:28" x14ac:dyDescent="0.2">
      <c r="A1581" s="4"/>
      <c r="B1581" s="94"/>
      <c r="C1581" s="94"/>
      <c r="D1581" s="94"/>
      <c r="E1581" s="94"/>
      <c r="F1581" s="94"/>
      <c r="G1581" s="94"/>
      <c r="H1581" s="94"/>
      <c r="I1581" s="94"/>
      <c r="J1581" s="94"/>
      <c r="K1581" s="94"/>
      <c r="L1581" s="94"/>
      <c r="M1581" s="94"/>
      <c r="N1581" s="95"/>
      <c r="O1581" s="95"/>
      <c r="P1581" s="95"/>
      <c r="Q1581" s="95"/>
      <c r="R1581" s="95"/>
      <c r="S1581" s="95"/>
      <c r="T1581" s="95"/>
      <c r="U1581" s="95"/>
      <c r="V1581" s="96"/>
      <c r="W1581" s="96"/>
      <c r="X1581" s="97"/>
      <c r="Y1581" s="97"/>
      <c r="Z1581" s="97"/>
      <c r="AA1581" s="4"/>
      <c r="AB1581" s="5"/>
    </row>
    <row r="1582" spans="1:28" x14ac:dyDescent="0.2">
      <c r="A1582" s="4"/>
      <c r="B1582" s="90"/>
      <c r="C1582" s="90"/>
      <c r="D1582" s="90"/>
      <c r="E1582" s="90"/>
      <c r="F1582" s="90"/>
      <c r="G1582" s="90"/>
      <c r="H1582" s="90"/>
      <c r="I1582" s="90"/>
      <c r="J1582" s="90"/>
      <c r="K1582" s="90"/>
      <c r="L1582" s="90"/>
      <c r="M1582" s="90"/>
      <c r="N1582" s="91"/>
      <c r="O1582" s="91"/>
      <c r="P1582" s="91"/>
      <c r="Q1582" s="91"/>
      <c r="R1582" s="91"/>
      <c r="S1582" s="91"/>
      <c r="T1582" s="91"/>
      <c r="U1582" s="91"/>
      <c r="V1582" s="92"/>
      <c r="W1582" s="92"/>
      <c r="X1582" s="93"/>
      <c r="Y1582" s="93"/>
      <c r="Z1582" s="93"/>
      <c r="AA1582" s="4"/>
      <c r="AB1582" s="5"/>
    </row>
    <row r="1583" spans="1:28" x14ac:dyDescent="0.2">
      <c r="A1583" s="4"/>
      <c r="B1583" s="94"/>
      <c r="C1583" s="94"/>
      <c r="D1583" s="94"/>
      <c r="E1583" s="94"/>
      <c r="F1583" s="94"/>
      <c r="G1583" s="94"/>
      <c r="H1583" s="94"/>
      <c r="I1583" s="94"/>
      <c r="J1583" s="94"/>
      <c r="K1583" s="94"/>
      <c r="L1583" s="94"/>
      <c r="M1583" s="94"/>
      <c r="N1583" s="95"/>
      <c r="O1583" s="95"/>
      <c r="P1583" s="95"/>
      <c r="Q1583" s="95"/>
      <c r="R1583" s="95"/>
      <c r="S1583" s="95"/>
      <c r="T1583" s="95"/>
      <c r="U1583" s="95"/>
      <c r="V1583" s="96"/>
      <c r="W1583" s="96"/>
      <c r="X1583" s="97"/>
      <c r="Y1583" s="97"/>
      <c r="Z1583" s="97"/>
      <c r="AA1583" s="4"/>
      <c r="AB1583" s="5"/>
    </row>
    <row r="1584" spans="1:28" x14ac:dyDescent="0.2">
      <c r="A1584" s="4"/>
      <c r="B1584" s="90"/>
      <c r="C1584" s="90"/>
      <c r="D1584" s="90"/>
      <c r="E1584" s="90"/>
      <c r="F1584" s="90"/>
      <c r="G1584" s="90"/>
      <c r="H1584" s="90"/>
      <c r="I1584" s="90"/>
      <c r="J1584" s="90"/>
      <c r="K1584" s="90"/>
      <c r="L1584" s="90"/>
      <c r="M1584" s="90"/>
      <c r="N1584" s="91"/>
      <c r="O1584" s="91"/>
      <c r="P1584" s="91"/>
      <c r="Q1584" s="91"/>
      <c r="R1584" s="91"/>
      <c r="S1584" s="91"/>
      <c r="T1584" s="91"/>
      <c r="U1584" s="91"/>
      <c r="V1584" s="92"/>
      <c r="W1584" s="92"/>
      <c r="X1584" s="93"/>
      <c r="Y1584" s="93"/>
      <c r="Z1584" s="93"/>
      <c r="AA1584" s="4"/>
      <c r="AB1584" s="5"/>
    </row>
    <row r="1585" spans="1:28" x14ac:dyDescent="0.2">
      <c r="A1585" s="4"/>
      <c r="B1585" s="94"/>
      <c r="C1585" s="94"/>
      <c r="D1585" s="94"/>
      <c r="E1585" s="94"/>
      <c r="F1585" s="94"/>
      <c r="G1585" s="94"/>
      <c r="H1585" s="94"/>
      <c r="I1585" s="94"/>
      <c r="J1585" s="94"/>
      <c r="K1585" s="94"/>
      <c r="L1585" s="94"/>
      <c r="M1585" s="94"/>
      <c r="N1585" s="95"/>
      <c r="O1585" s="95"/>
      <c r="P1585" s="95"/>
      <c r="Q1585" s="95"/>
      <c r="R1585" s="95"/>
      <c r="S1585" s="95"/>
      <c r="T1585" s="95"/>
      <c r="U1585" s="95"/>
      <c r="V1585" s="96"/>
      <c r="W1585" s="96"/>
      <c r="X1585" s="97"/>
      <c r="Y1585" s="97"/>
      <c r="Z1585" s="97"/>
      <c r="AA1585" s="4"/>
      <c r="AB1585" s="5"/>
    </row>
    <row r="1586" spans="1:28" x14ac:dyDescent="0.2">
      <c r="A1586" s="4"/>
      <c r="B1586" s="90"/>
      <c r="C1586" s="90"/>
      <c r="D1586" s="90"/>
      <c r="E1586" s="90"/>
      <c r="F1586" s="90"/>
      <c r="G1586" s="90"/>
      <c r="H1586" s="90"/>
      <c r="I1586" s="90"/>
      <c r="J1586" s="90"/>
      <c r="K1586" s="90"/>
      <c r="L1586" s="90"/>
      <c r="M1586" s="90"/>
      <c r="N1586" s="91"/>
      <c r="O1586" s="91"/>
      <c r="P1586" s="91"/>
      <c r="Q1586" s="91"/>
      <c r="R1586" s="91"/>
      <c r="S1586" s="91"/>
      <c r="T1586" s="91"/>
      <c r="U1586" s="91"/>
      <c r="V1586" s="92"/>
      <c r="W1586" s="92"/>
      <c r="X1586" s="93"/>
      <c r="Y1586" s="93"/>
      <c r="Z1586" s="93"/>
      <c r="AA1586" s="4"/>
      <c r="AB1586" s="5"/>
    </row>
    <row r="1587" spans="1:28" x14ac:dyDescent="0.2">
      <c r="A1587" s="4"/>
      <c r="B1587" s="94"/>
      <c r="C1587" s="94"/>
      <c r="D1587" s="94"/>
      <c r="E1587" s="94"/>
      <c r="F1587" s="94"/>
      <c r="G1587" s="94"/>
      <c r="H1587" s="94"/>
      <c r="I1587" s="94"/>
      <c r="J1587" s="94"/>
      <c r="K1587" s="94"/>
      <c r="L1587" s="94"/>
      <c r="M1587" s="94"/>
      <c r="N1587" s="95"/>
      <c r="O1587" s="95"/>
      <c r="P1587" s="95"/>
      <c r="Q1587" s="95"/>
      <c r="R1587" s="95"/>
      <c r="S1587" s="95"/>
      <c r="T1587" s="95"/>
      <c r="U1587" s="95"/>
      <c r="V1587" s="96"/>
      <c r="W1587" s="96"/>
      <c r="X1587" s="97"/>
      <c r="Y1587" s="97"/>
      <c r="Z1587" s="97"/>
      <c r="AA1587" s="4"/>
      <c r="AB1587" s="5"/>
    </row>
    <row r="1588" spans="1:28" x14ac:dyDescent="0.2">
      <c r="A1588" s="4"/>
      <c r="B1588" s="90"/>
      <c r="C1588" s="90"/>
      <c r="D1588" s="90"/>
      <c r="E1588" s="90"/>
      <c r="F1588" s="90"/>
      <c r="G1588" s="90"/>
      <c r="H1588" s="90"/>
      <c r="I1588" s="90"/>
      <c r="J1588" s="90"/>
      <c r="K1588" s="90"/>
      <c r="L1588" s="90"/>
      <c r="M1588" s="90"/>
      <c r="N1588" s="91"/>
      <c r="O1588" s="91"/>
      <c r="P1588" s="91"/>
      <c r="Q1588" s="91"/>
      <c r="R1588" s="91"/>
      <c r="S1588" s="91"/>
      <c r="T1588" s="91"/>
      <c r="U1588" s="91"/>
      <c r="V1588" s="92"/>
      <c r="W1588" s="92"/>
      <c r="X1588" s="93"/>
      <c r="Y1588" s="93"/>
      <c r="Z1588" s="93"/>
      <c r="AA1588" s="4"/>
      <c r="AB1588" s="5"/>
    </row>
    <row r="1589" spans="1:28" x14ac:dyDescent="0.2">
      <c r="A1589" s="4"/>
      <c r="B1589" s="94"/>
      <c r="C1589" s="94"/>
      <c r="D1589" s="94"/>
      <c r="E1589" s="94"/>
      <c r="F1589" s="94"/>
      <c r="G1589" s="94"/>
      <c r="H1589" s="94"/>
      <c r="I1589" s="94"/>
      <c r="J1589" s="94"/>
      <c r="K1589" s="94"/>
      <c r="L1589" s="94"/>
      <c r="M1589" s="94"/>
      <c r="N1589" s="95"/>
      <c r="O1589" s="95"/>
      <c r="P1589" s="95"/>
      <c r="Q1589" s="95"/>
      <c r="R1589" s="95"/>
      <c r="S1589" s="95"/>
      <c r="T1589" s="95"/>
      <c r="U1589" s="95"/>
      <c r="V1589" s="96"/>
      <c r="W1589" s="96"/>
      <c r="X1589" s="97"/>
      <c r="Y1589" s="97"/>
      <c r="Z1589" s="97"/>
      <c r="AA1589" s="4"/>
      <c r="AB1589" s="5"/>
    </row>
    <row r="1590" spans="1:28" x14ac:dyDescent="0.2">
      <c r="A1590" s="4"/>
      <c r="B1590" s="90"/>
      <c r="C1590" s="90"/>
      <c r="D1590" s="90"/>
      <c r="E1590" s="90"/>
      <c r="F1590" s="90"/>
      <c r="G1590" s="90"/>
      <c r="H1590" s="90"/>
      <c r="I1590" s="90"/>
      <c r="J1590" s="90"/>
      <c r="K1590" s="90"/>
      <c r="L1590" s="90"/>
      <c r="M1590" s="90"/>
      <c r="N1590" s="91"/>
      <c r="O1590" s="91"/>
      <c r="P1590" s="91"/>
      <c r="Q1590" s="91"/>
      <c r="R1590" s="91"/>
      <c r="S1590" s="91"/>
      <c r="T1590" s="91"/>
      <c r="U1590" s="91"/>
      <c r="V1590" s="92"/>
      <c r="W1590" s="92"/>
      <c r="X1590" s="93"/>
      <c r="Y1590" s="93"/>
      <c r="Z1590" s="93"/>
      <c r="AA1590" s="4"/>
      <c r="AB1590" s="5"/>
    </row>
    <row r="1591" spans="1:28" x14ac:dyDescent="0.2">
      <c r="A1591" s="4"/>
      <c r="B1591" s="94"/>
      <c r="C1591" s="94"/>
      <c r="D1591" s="94"/>
      <c r="E1591" s="94"/>
      <c r="F1591" s="94"/>
      <c r="G1591" s="94"/>
      <c r="H1591" s="94"/>
      <c r="I1591" s="94"/>
      <c r="J1591" s="94"/>
      <c r="K1591" s="94"/>
      <c r="L1591" s="94"/>
      <c r="M1591" s="94"/>
      <c r="N1591" s="95"/>
      <c r="O1591" s="95"/>
      <c r="P1591" s="95"/>
      <c r="Q1591" s="95"/>
      <c r="R1591" s="95"/>
      <c r="S1591" s="95"/>
      <c r="T1591" s="95"/>
      <c r="U1591" s="95"/>
      <c r="V1591" s="96"/>
      <c r="W1591" s="96"/>
      <c r="X1591" s="97"/>
      <c r="Y1591" s="97"/>
      <c r="Z1591" s="97"/>
      <c r="AA1591" s="4"/>
      <c r="AB1591" s="5"/>
    </row>
    <row r="1592" spans="1:28" x14ac:dyDescent="0.2">
      <c r="A1592" s="4"/>
      <c r="B1592" s="90"/>
      <c r="C1592" s="90"/>
      <c r="D1592" s="90"/>
      <c r="E1592" s="90"/>
      <c r="F1592" s="90"/>
      <c r="G1592" s="90"/>
      <c r="H1592" s="90"/>
      <c r="I1592" s="90"/>
      <c r="J1592" s="90"/>
      <c r="K1592" s="90"/>
      <c r="L1592" s="90"/>
      <c r="M1592" s="90"/>
      <c r="N1592" s="91"/>
      <c r="O1592" s="91"/>
      <c r="P1592" s="91"/>
      <c r="Q1592" s="91"/>
      <c r="R1592" s="91"/>
      <c r="S1592" s="91"/>
      <c r="T1592" s="91"/>
      <c r="U1592" s="91"/>
      <c r="V1592" s="92"/>
      <c r="W1592" s="92"/>
      <c r="X1592" s="93"/>
      <c r="Y1592" s="93"/>
      <c r="Z1592" s="93"/>
      <c r="AA1592" s="4"/>
      <c r="AB1592" s="5"/>
    </row>
    <row r="1593" spans="1:28" x14ac:dyDescent="0.2">
      <c r="A1593" s="4"/>
      <c r="B1593" s="94"/>
      <c r="C1593" s="94"/>
      <c r="D1593" s="94"/>
      <c r="E1593" s="94"/>
      <c r="F1593" s="94"/>
      <c r="G1593" s="94"/>
      <c r="H1593" s="94"/>
      <c r="I1593" s="94"/>
      <c r="J1593" s="94"/>
      <c r="K1593" s="94"/>
      <c r="L1593" s="94"/>
      <c r="M1593" s="94"/>
      <c r="N1593" s="95"/>
      <c r="O1593" s="95"/>
      <c r="P1593" s="95"/>
      <c r="Q1593" s="95"/>
      <c r="R1593" s="95"/>
      <c r="S1593" s="95"/>
      <c r="T1593" s="95"/>
      <c r="U1593" s="95"/>
      <c r="V1593" s="96"/>
      <c r="W1593" s="96"/>
      <c r="X1593" s="97"/>
      <c r="Y1593" s="97"/>
      <c r="Z1593" s="97"/>
      <c r="AA1593" s="4"/>
      <c r="AB1593" s="5"/>
    </row>
    <row r="1594" spans="1:28" x14ac:dyDescent="0.2">
      <c r="A1594" s="4"/>
      <c r="B1594" s="90"/>
      <c r="C1594" s="90"/>
      <c r="D1594" s="90"/>
      <c r="E1594" s="90"/>
      <c r="F1594" s="90"/>
      <c r="G1594" s="90"/>
      <c r="H1594" s="90"/>
      <c r="I1594" s="90"/>
      <c r="J1594" s="90"/>
      <c r="K1594" s="90"/>
      <c r="L1594" s="90"/>
      <c r="M1594" s="90"/>
      <c r="N1594" s="91"/>
      <c r="O1594" s="91"/>
      <c r="P1594" s="91"/>
      <c r="Q1594" s="91"/>
      <c r="R1594" s="91"/>
      <c r="S1594" s="91"/>
      <c r="T1594" s="91"/>
      <c r="U1594" s="91"/>
      <c r="V1594" s="92"/>
      <c r="W1594" s="92"/>
      <c r="X1594" s="93"/>
      <c r="Y1594" s="93"/>
      <c r="Z1594" s="93"/>
      <c r="AA1594" s="4"/>
      <c r="AB1594" s="5"/>
    </row>
    <row r="1595" spans="1:28" x14ac:dyDescent="0.2">
      <c r="A1595" s="4"/>
      <c r="B1595" s="94"/>
      <c r="C1595" s="94"/>
      <c r="D1595" s="94"/>
      <c r="E1595" s="94"/>
      <c r="F1595" s="94"/>
      <c r="G1595" s="94"/>
      <c r="H1595" s="94"/>
      <c r="I1595" s="94"/>
      <c r="J1595" s="94"/>
      <c r="K1595" s="94"/>
      <c r="L1595" s="94"/>
      <c r="M1595" s="94"/>
      <c r="N1595" s="95"/>
      <c r="O1595" s="95"/>
      <c r="P1595" s="95"/>
      <c r="Q1595" s="95"/>
      <c r="R1595" s="95"/>
      <c r="S1595" s="95"/>
      <c r="T1595" s="95"/>
      <c r="U1595" s="95"/>
      <c r="V1595" s="96"/>
      <c r="W1595" s="96"/>
      <c r="X1595" s="97"/>
      <c r="Y1595" s="97"/>
      <c r="Z1595" s="97"/>
      <c r="AA1595" s="4"/>
      <c r="AB1595" s="5"/>
    </row>
    <row r="1596" spans="1:28" x14ac:dyDescent="0.2">
      <c r="A1596" s="4"/>
      <c r="B1596" s="90"/>
      <c r="C1596" s="90"/>
      <c r="D1596" s="90"/>
      <c r="E1596" s="90"/>
      <c r="F1596" s="90"/>
      <c r="G1596" s="90"/>
      <c r="H1596" s="90"/>
      <c r="I1596" s="90"/>
      <c r="J1596" s="90"/>
      <c r="K1596" s="90"/>
      <c r="L1596" s="90"/>
      <c r="M1596" s="90"/>
      <c r="N1596" s="91"/>
      <c r="O1596" s="91"/>
      <c r="P1596" s="91"/>
      <c r="Q1596" s="91"/>
      <c r="R1596" s="91"/>
      <c r="S1596" s="91"/>
      <c r="T1596" s="91"/>
      <c r="U1596" s="91"/>
      <c r="V1596" s="92"/>
      <c r="W1596" s="92"/>
      <c r="X1596" s="93"/>
      <c r="Y1596" s="93"/>
      <c r="Z1596" s="93"/>
      <c r="AA1596" s="4"/>
      <c r="AB1596" s="5"/>
    </row>
    <row r="1597" spans="1:28" x14ac:dyDescent="0.2">
      <c r="A1597" s="4"/>
      <c r="B1597" s="94"/>
      <c r="C1597" s="94"/>
      <c r="D1597" s="94"/>
      <c r="E1597" s="94"/>
      <c r="F1597" s="94"/>
      <c r="G1597" s="94"/>
      <c r="H1597" s="94"/>
      <c r="I1597" s="94"/>
      <c r="J1597" s="94"/>
      <c r="K1597" s="94"/>
      <c r="L1597" s="94"/>
      <c r="M1597" s="94"/>
      <c r="N1597" s="95"/>
      <c r="O1597" s="95"/>
      <c r="P1597" s="95"/>
      <c r="Q1597" s="95"/>
      <c r="R1597" s="95"/>
      <c r="S1597" s="95"/>
      <c r="T1597" s="95"/>
      <c r="U1597" s="95"/>
      <c r="V1597" s="96"/>
      <c r="W1597" s="96"/>
      <c r="X1597" s="97"/>
      <c r="Y1597" s="97"/>
      <c r="Z1597" s="97"/>
      <c r="AA1597" s="4"/>
      <c r="AB1597" s="5"/>
    </row>
    <row r="1598" spans="1:28" x14ac:dyDescent="0.2">
      <c r="A1598" s="4"/>
      <c r="B1598" s="90"/>
      <c r="C1598" s="90"/>
      <c r="D1598" s="90"/>
      <c r="E1598" s="90"/>
      <c r="F1598" s="90"/>
      <c r="G1598" s="90"/>
      <c r="H1598" s="90"/>
      <c r="I1598" s="90"/>
      <c r="J1598" s="90"/>
      <c r="K1598" s="90"/>
      <c r="L1598" s="90"/>
      <c r="M1598" s="90"/>
      <c r="N1598" s="91"/>
      <c r="O1598" s="91"/>
      <c r="P1598" s="91"/>
      <c r="Q1598" s="91"/>
      <c r="R1598" s="91"/>
      <c r="S1598" s="91"/>
      <c r="T1598" s="91"/>
      <c r="U1598" s="91"/>
      <c r="V1598" s="92"/>
      <c r="W1598" s="92"/>
      <c r="X1598" s="93"/>
      <c r="Y1598" s="93"/>
      <c r="Z1598" s="93"/>
      <c r="AA1598" s="4"/>
      <c r="AB1598" s="5"/>
    </row>
    <row r="1599" spans="1:28" x14ac:dyDescent="0.2">
      <c r="A1599" s="4"/>
      <c r="B1599" s="94"/>
      <c r="C1599" s="94"/>
      <c r="D1599" s="94"/>
      <c r="E1599" s="94"/>
      <c r="F1599" s="94"/>
      <c r="G1599" s="94"/>
      <c r="H1599" s="94"/>
      <c r="I1599" s="94"/>
      <c r="J1599" s="94"/>
      <c r="K1599" s="94"/>
      <c r="L1599" s="94"/>
      <c r="M1599" s="94"/>
      <c r="N1599" s="95"/>
      <c r="O1599" s="95"/>
      <c r="P1599" s="95"/>
      <c r="Q1599" s="95"/>
      <c r="R1599" s="95"/>
      <c r="S1599" s="95"/>
      <c r="T1599" s="95"/>
      <c r="U1599" s="95"/>
      <c r="V1599" s="96"/>
      <c r="W1599" s="96"/>
      <c r="X1599" s="97"/>
      <c r="Y1599" s="97"/>
      <c r="Z1599" s="97"/>
      <c r="AA1599" s="4"/>
      <c r="AB1599" s="5"/>
    </row>
    <row r="1600" spans="1:28" x14ac:dyDescent="0.2">
      <c r="A1600" s="4"/>
      <c r="B1600" s="90"/>
      <c r="C1600" s="90"/>
      <c r="D1600" s="90"/>
      <c r="E1600" s="90"/>
      <c r="F1600" s="90"/>
      <c r="G1600" s="90"/>
      <c r="H1600" s="90"/>
      <c r="I1600" s="90"/>
      <c r="J1600" s="90"/>
      <c r="K1600" s="90"/>
      <c r="L1600" s="90"/>
      <c r="M1600" s="90"/>
      <c r="N1600" s="91"/>
      <c r="O1600" s="91"/>
      <c r="P1600" s="91"/>
      <c r="Q1600" s="91"/>
      <c r="R1600" s="91"/>
      <c r="S1600" s="91"/>
      <c r="T1600" s="91"/>
      <c r="U1600" s="91"/>
      <c r="V1600" s="92"/>
      <c r="W1600" s="92"/>
      <c r="X1600" s="93"/>
      <c r="Y1600" s="93"/>
      <c r="Z1600" s="93"/>
      <c r="AA1600" s="4"/>
      <c r="AB1600" s="5"/>
    </row>
    <row r="1601" spans="1:28" x14ac:dyDescent="0.2">
      <c r="A1601" s="4"/>
      <c r="B1601" s="94"/>
      <c r="C1601" s="94"/>
      <c r="D1601" s="94"/>
      <c r="E1601" s="94"/>
      <c r="F1601" s="94"/>
      <c r="G1601" s="94"/>
      <c r="H1601" s="94"/>
      <c r="I1601" s="94"/>
      <c r="J1601" s="94"/>
      <c r="K1601" s="94"/>
      <c r="L1601" s="94"/>
      <c r="M1601" s="94"/>
      <c r="N1601" s="95"/>
      <c r="O1601" s="95"/>
      <c r="P1601" s="95"/>
      <c r="Q1601" s="95"/>
      <c r="R1601" s="95"/>
      <c r="S1601" s="95"/>
      <c r="T1601" s="95"/>
      <c r="U1601" s="95"/>
      <c r="V1601" s="96"/>
      <c r="W1601" s="96"/>
      <c r="X1601" s="97"/>
      <c r="Y1601" s="97"/>
      <c r="Z1601" s="97"/>
      <c r="AA1601" s="4"/>
      <c r="AB1601" s="5"/>
    </row>
    <row r="1602" spans="1:28" x14ac:dyDescent="0.2">
      <c r="A1602" s="4"/>
      <c r="B1602" s="90"/>
      <c r="C1602" s="90"/>
      <c r="D1602" s="90"/>
      <c r="E1602" s="90"/>
      <c r="F1602" s="90"/>
      <c r="G1602" s="90"/>
      <c r="H1602" s="90"/>
      <c r="I1602" s="90"/>
      <c r="J1602" s="90"/>
      <c r="K1602" s="90"/>
      <c r="L1602" s="90"/>
      <c r="M1602" s="90"/>
      <c r="N1602" s="91"/>
      <c r="O1602" s="91"/>
      <c r="P1602" s="91"/>
      <c r="Q1602" s="91"/>
      <c r="R1602" s="91"/>
      <c r="S1602" s="91"/>
      <c r="T1602" s="91"/>
      <c r="U1602" s="91"/>
      <c r="V1602" s="92"/>
      <c r="W1602" s="92"/>
      <c r="X1602" s="93"/>
      <c r="Y1602" s="93"/>
      <c r="Z1602" s="93"/>
      <c r="AA1602" s="4"/>
      <c r="AB1602" s="5"/>
    </row>
    <row r="1603" spans="1:28" x14ac:dyDescent="0.2">
      <c r="A1603" s="4"/>
      <c r="B1603" s="94"/>
      <c r="C1603" s="94"/>
      <c r="D1603" s="94"/>
      <c r="E1603" s="94"/>
      <c r="F1603" s="94"/>
      <c r="G1603" s="94"/>
      <c r="H1603" s="94"/>
      <c r="I1603" s="94"/>
      <c r="J1603" s="94"/>
      <c r="K1603" s="94"/>
      <c r="L1603" s="94"/>
      <c r="M1603" s="94"/>
      <c r="N1603" s="95"/>
      <c r="O1603" s="95"/>
      <c r="P1603" s="95"/>
      <c r="Q1603" s="95"/>
      <c r="R1603" s="95"/>
      <c r="S1603" s="95"/>
      <c r="T1603" s="95"/>
      <c r="U1603" s="95"/>
      <c r="V1603" s="96"/>
      <c r="W1603" s="96"/>
      <c r="X1603" s="97"/>
      <c r="Y1603" s="97"/>
      <c r="Z1603" s="97"/>
      <c r="AA1603" s="4"/>
      <c r="AB1603" s="5"/>
    </row>
    <row r="1604" spans="1:28" x14ac:dyDescent="0.2">
      <c r="A1604" s="4"/>
      <c r="B1604" s="90"/>
      <c r="C1604" s="90"/>
      <c r="D1604" s="90"/>
      <c r="E1604" s="90"/>
      <c r="F1604" s="90"/>
      <c r="G1604" s="90"/>
      <c r="H1604" s="90"/>
      <c r="I1604" s="90"/>
      <c r="J1604" s="90"/>
      <c r="K1604" s="90"/>
      <c r="L1604" s="90"/>
      <c r="M1604" s="90"/>
      <c r="N1604" s="91"/>
      <c r="O1604" s="91"/>
      <c r="P1604" s="91"/>
      <c r="Q1604" s="91"/>
      <c r="R1604" s="91"/>
      <c r="S1604" s="91"/>
      <c r="T1604" s="91"/>
      <c r="U1604" s="91"/>
      <c r="V1604" s="92"/>
      <c r="W1604" s="92"/>
      <c r="X1604" s="93"/>
      <c r="Y1604" s="93"/>
      <c r="Z1604" s="93"/>
      <c r="AA1604" s="4"/>
      <c r="AB1604" s="5"/>
    </row>
    <row r="1605" spans="1:28" x14ac:dyDescent="0.2">
      <c r="A1605" s="4"/>
      <c r="B1605" s="94"/>
      <c r="C1605" s="94"/>
      <c r="D1605" s="94"/>
      <c r="E1605" s="94"/>
      <c r="F1605" s="94"/>
      <c r="G1605" s="94"/>
      <c r="H1605" s="94"/>
      <c r="I1605" s="94"/>
      <c r="J1605" s="94"/>
      <c r="K1605" s="94"/>
      <c r="L1605" s="94"/>
      <c r="M1605" s="94"/>
      <c r="N1605" s="95"/>
      <c r="O1605" s="95"/>
      <c r="P1605" s="95"/>
      <c r="Q1605" s="95"/>
      <c r="R1605" s="95"/>
      <c r="S1605" s="95"/>
      <c r="T1605" s="95"/>
      <c r="U1605" s="95"/>
      <c r="V1605" s="96"/>
      <c r="W1605" s="96"/>
      <c r="X1605" s="97"/>
      <c r="Y1605" s="97"/>
      <c r="Z1605" s="97"/>
      <c r="AA1605" s="4"/>
      <c r="AB1605" s="5"/>
    </row>
    <row r="1606" spans="1:28" x14ac:dyDescent="0.2">
      <c r="A1606" s="4"/>
      <c r="B1606" s="90"/>
      <c r="C1606" s="90"/>
      <c r="D1606" s="90"/>
      <c r="E1606" s="90"/>
      <c r="F1606" s="90"/>
      <c r="G1606" s="90"/>
      <c r="H1606" s="90"/>
      <c r="I1606" s="90"/>
      <c r="J1606" s="90"/>
      <c r="K1606" s="90"/>
      <c r="L1606" s="90"/>
      <c r="M1606" s="90"/>
      <c r="N1606" s="91"/>
      <c r="O1606" s="91"/>
      <c r="P1606" s="91"/>
      <c r="Q1606" s="91"/>
      <c r="R1606" s="91"/>
      <c r="S1606" s="91"/>
      <c r="T1606" s="91"/>
      <c r="U1606" s="91"/>
      <c r="V1606" s="92"/>
      <c r="W1606" s="92"/>
      <c r="X1606" s="93"/>
      <c r="Y1606" s="93"/>
      <c r="Z1606" s="93"/>
      <c r="AA1606" s="4"/>
      <c r="AB1606" s="5"/>
    </row>
    <row r="1607" spans="1:28" x14ac:dyDescent="0.2">
      <c r="A1607" s="4"/>
      <c r="B1607" s="94"/>
      <c r="C1607" s="94"/>
      <c r="D1607" s="94"/>
      <c r="E1607" s="94"/>
      <c r="F1607" s="94"/>
      <c r="G1607" s="94"/>
      <c r="H1607" s="94"/>
      <c r="I1607" s="94"/>
      <c r="J1607" s="94"/>
      <c r="K1607" s="94"/>
      <c r="L1607" s="94"/>
      <c r="M1607" s="94"/>
      <c r="N1607" s="95"/>
      <c r="O1607" s="95"/>
      <c r="P1607" s="95"/>
      <c r="Q1607" s="95"/>
      <c r="R1607" s="95"/>
      <c r="S1607" s="95"/>
      <c r="T1607" s="95"/>
      <c r="U1607" s="95"/>
      <c r="V1607" s="96"/>
      <c r="W1607" s="96"/>
      <c r="X1607" s="97"/>
      <c r="Y1607" s="97"/>
      <c r="Z1607" s="97"/>
      <c r="AA1607" s="4"/>
      <c r="AB1607" s="5"/>
    </row>
    <row r="1608" spans="1:28" x14ac:dyDescent="0.2">
      <c r="A1608" s="4"/>
      <c r="B1608" s="90"/>
      <c r="C1608" s="90"/>
      <c r="D1608" s="90"/>
      <c r="E1608" s="90"/>
      <c r="F1608" s="90"/>
      <c r="G1608" s="90"/>
      <c r="H1608" s="90"/>
      <c r="I1608" s="90"/>
      <c r="J1608" s="90"/>
      <c r="K1608" s="90"/>
      <c r="L1608" s="90"/>
      <c r="M1608" s="90"/>
      <c r="N1608" s="91"/>
      <c r="O1608" s="91"/>
      <c r="P1608" s="91"/>
      <c r="Q1608" s="91"/>
      <c r="R1608" s="91"/>
      <c r="S1608" s="91"/>
      <c r="T1608" s="91"/>
      <c r="U1608" s="91"/>
      <c r="V1608" s="92"/>
      <c r="W1608" s="92"/>
      <c r="X1608" s="93"/>
      <c r="Y1608" s="93"/>
      <c r="Z1608" s="93"/>
      <c r="AA1608" s="4"/>
      <c r="AB1608" s="5"/>
    </row>
    <row r="1609" spans="1:28" x14ac:dyDescent="0.2">
      <c r="A1609" s="4"/>
      <c r="B1609" s="94"/>
      <c r="C1609" s="94"/>
      <c r="D1609" s="94"/>
      <c r="E1609" s="94"/>
      <c r="F1609" s="94"/>
      <c r="G1609" s="94"/>
      <c r="H1609" s="94"/>
      <c r="I1609" s="94"/>
      <c r="J1609" s="94"/>
      <c r="K1609" s="94"/>
      <c r="L1609" s="94"/>
      <c r="M1609" s="94"/>
      <c r="N1609" s="95"/>
      <c r="O1609" s="95"/>
      <c r="P1609" s="95"/>
      <c r="Q1609" s="95"/>
      <c r="R1609" s="95"/>
      <c r="S1609" s="95"/>
      <c r="T1609" s="95"/>
      <c r="U1609" s="95"/>
      <c r="V1609" s="96"/>
      <c r="W1609" s="96"/>
      <c r="X1609" s="97"/>
      <c r="Y1609" s="97"/>
      <c r="Z1609" s="97"/>
      <c r="AA1609" s="4"/>
      <c r="AB1609" s="5"/>
    </row>
    <row r="1610" spans="1:28" x14ac:dyDescent="0.2">
      <c r="A1610" s="4"/>
      <c r="B1610" s="90"/>
      <c r="C1610" s="90"/>
      <c r="D1610" s="90"/>
      <c r="E1610" s="90"/>
      <c r="F1610" s="90"/>
      <c r="G1610" s="90"/>
      <c r="H1610" s="90"/>
      <c r="I1610" s="90"/>
      <c r="J1610" s="90"/>
      <c r="K1610" s="90"/>
      <c r="L1610" s="90"/>
      <c r="M1610" s="90"/>
      <c r="N1610" s="91"/>
      <c r="O1610" s="91"/>
      <c r="P1610" s="91"/>
      <c r="Q1610" s="91"/>
      <c r="R1610" s="91"/>
      <c r="S1610" s="91"/>
      <c r="T1610" s="91"/>
      <c r="U1610" s="91"/>
      <c r="V1610" s="92"/>
      <c r="W1610" s="92"/>
      <c r="X1610" s="93"/>
      <c r="Y1610" s="93"/>
      <c r="Z1610" s="93"/>
      <c r="AA1610" s="4"/>
      <c r="AB1610" s="5"/>
    </row>
    <row r="1611" spans="1:28" x14ac:dyDescent="0.2">
      <c r="A1611" s="4"/>
      <c r="B1611" s="94"/>
      <c r="C1611" s="94"/>
      <c r="D1611" s="94"/>
      <c r="E1611" s="94"/>
      <c r="F1611" s="94"/>
      <c r="G1611" s="94"/>
      <c r="H1611" s="94"/>
      <c r="I1611" s="94"/>
      <c r="J1611" s="94"/>
      <c r="K1611" s="94"/>
      <c r="L1611" s="94"/>
      <c r="M1611" s="94"/>
      <c r="N1611" s="95"/>
      <c r="O1611" s="95"/>
      <c r="P1611" s="95"/>
      <c r="Q1611" s="95"/>
      <c r="R1611" s="95"/>
      <c r="S1611" s="95"/>
      <c r="T1611" s="95"/>
      <c r="U1611" s="95"/>
      <c r="V1611" s="96"/>
      <c r="W1611" s="96"/>
      <c r="X1611" s="97"/>
      <c r="Y1611" s="97"/>
      <c r="Z1611" s="97"/>
      <c r="AA1611" s="4"/>
      <c r="AB1611" s="5"/>
    </row>
    <row r="1612" spans="1:28" x14ac:dyDescent="0.2">
      <c r="A1612" s="4"/>
      <c r="B1612" s="90"/>
      <c r="C1612" s="90"/>
      <c r="D1612" s="90"/>
      <c r="E1612" s="90"/>
      <c r="F1612" s="90"/>
      <c r="G1612" s="90"/>
      <c r="H1612" s="90"/>
      <c r="I1612" s="90"/>
      <c r="J1612" s="90"/>
      <c r="K1612" s="90"/>
      <c r="L1612" s="90"/>
      <c r="M1612" s="90"/>
      <c r="N1612" s="91"/>
      <c r="O1612" s="91"/>
      <c r="P1612" s="91"/>
      <c r="Q1612" s="91"/>
      <c r="R1612" s="91"/>
      <c r="S1612" s="91"/>
      <c r="T1612" s="91"/>
      <c r="U1612" s="91"/>
      <c r="V1612" s="92"/>
      <c r="W1612" s="92"/>
      <c r="X1612" s="93"/>
      <c r="Y1612" s="93"/>
      <c r="Z1612" s="93"/>
      <c r="AA1612" s="4"/>
      <c r="AB1612" s="5"/>
    </row>
    <row r="1613" spans="1:28" x14ac:dyDescent="0.2">
      <c r="A1613" s="4"/>
      <c r="B1613" s="94"/>
      <c r="C1613" s="94"/>
      <c r="D1613" s="94"/>
      <c r="E1613" s="94"/>
      <c r="F1613" s="94"/>
      <c r="G1613" s="94"/>
      <c r="H1613" s="94"/>
      <c r="I1613" s="94"/>
      <c r="J1613" s="94"/>
      <c r="K1613" s="94"/>
      <c r="L1613" s="94"/>
      <c r="M1613" s="94"/>
      <c r="N1613" s="95"/>
      <c r="O1613" s="95"/>
      <c r="P1613" s="95"/>
      <c r="Q1613" s="95"/>
      <c r="R1613" s="95"/>
      <c r="S1613" s="95"/>
      <c r="T1613" s="95"/>
      <c r="U1613" s="95"/>
      <c r="V1613" s="96"/>
      <c r="W1613" s="96"/>
      <c r="X1613" s="97"/>
      <c r="Y1613" s="97"/>
      <c r="Z1613" s="97"/>
      <c r="AA1613" s="4"/>
      <c r="AB1613" s="5"/>
    </row>
    <row r="1614" spans="1:28" x14ac:dyDescent="0.2">
      <c r="A1614" s="4"/>
      <c r="B1614" s="90"/>
      <c r="C1614" s="90"/>
      <c r="D1614" s="90"/>
      <c r="E1614" s="90"/>
      <c r="F1614" s="90"/>
      <c r="G1614" s="90"/>
      <c r="H1614" s="90"/>
      <c r="I1614" s="90"/>
      <c r="J1614" s="90"/>
      <c r="K1614" s="90"/>
      <c r="L1614" s="90"/>
      <c r="M1614" s="90"/>
      <c r="N1614" s="91"/>
      <c r="O1614" s="91"/>
      <c r="P1614" s="91"/>
      <c r="Q1614" s="91"/>
      <c r="R1614" s="91"/>
      <c r="S1614" s="91"/>
      <c r="T1614" s="91"/>
      <c r="U1614" s="91"/>
      <c r="V1614" s="92"/>
      <c r="W1614" s="92"/>
      <c r="X1614" s="93"/>
      <c r="Y1614" s="93"/>
      <c r="Z1614" s="93"/>
      <c r="AA1614" s="4"/>
      <c r="AB1614" s="5"/>
    </row>
    <row r="1615" spans="1:28" x14ac:dyDescent="0.2">
      <c r="A1615" s="4"/>
      <c r="B1615" s="94"/>
      <c r="C1615" s="94"/>
      <c r="D1615" s="94"/>
      <c r="E1615" s="94"/>
      <c r="F1615" s="94"/>
      <c r="G1615" s="94"/>
      <c r="H1615" s="94"/>
      <c r="I1615" s="94"/>
      <c r="J1615" s="94"/>
      <c r="K1615" s="94"/>
      <c r="L1615" s="94"/>
      <c r="M1615" s="94"/>
      <c r="N1615" s="95"/>
      <c r="O1615" s="95"/>
      <c r="P1615" s="95"/>
      <c r="Q1615" s="95"/>
      <c r="R1615" s="95"/>
      <c r="S1615" s="95"/>
      <c r="T1615" s="95"/>
      <c r="U1615" s="95"/>
      <c r="V1615" s="96"/>
      <c r="W1615" s="96"/>
      <c r="X1615" s="97"/>
      <c r="Y1615" s="97"/>
      <c r="Z1615" s="97"/>
      <c r="AA1615" s="4"/>
      <c r="AB1615" s="5"/>
    </row>
    <row r="1616" spans="1:28" x14ac:dyDescent="0.2">
      <c r="A1616" s="4"/>
      <c r="B1616" s="90"/>
      <c r="C1616" s="90"/>
      <c r="D1616" s="90"/>
      <c r="E1616" s="90"/>
      <c r="F1616" s="90"/>
      <c r="G1616" s="90"/>
      <c r="H1616" s="90"/>
      <c r="I1616" s="90"/>
      <c r="J1616" s="90"/>
      <c r="K1616" s="90"/>
      <c r="L1616" s="90"/>
      <c r="M1616" s="90"/>
      <c r="N1616" s="91"/>
      <c r="O1616" s="91"/>
      <c r="P1616" s="91"/>
      <c r="Q1616" s="91"/>
      <c r="R1616" s="91"/>
      <c r="S1616" s="91"/>
      <c r="T1616" s="91"/>
      <c r="U1616" s="91"/>
      <c r="V1616" s="92"/>
      <c r="W1616" s="92"/>
      <c r="X1616" s="93"/>
      <c r="Y1616" s="93"/>
      <c r="Z1616" s="93"/>
      <c r="AA1616" s="4"/>
      <c r="AB1616" s="5"/>
    </row>
    <row r="1617" spans="1:28" x14ac:dyDescent="0.2">
      <c r="A1617" s="4"/>
      <c r="B1617" s="94"/>
      <c r="C1617" s="94"/>
      <c r="D1617" s="94"/>
      <c r="E1617" s="94"/>
      <c r="F1617" s="94"/>
      <c r="G1617" s="94"/>
      <c r="H1617" s="94"/>
      <c r="I1617" s="94"/>
      <c r="J1617" s="94"/>
      <c r="K1617" s="94"/>
      <c r="L1617" s="94"/>
      <c r="M1617" s="94"/>
      <c r="N1617" s="95"/>
      <c r="O1617" s="95"/>
      <c r="P1617" s="95"/>
      <c r="Q1617" s="95"/>
      <c r="R1617" s="95"/>
      <c r="S1617" s="95"/>
      <c r="T1617" s="95"/>
      <c r="U1617" s="95"/>
      <c r="V1617" s="96"/>
      <c r="W1617" s="96"/>
      <c r="X1617" s="97"/>
      <c r="Y1617" s="97"/>
      <c r="Z1617" s="97"/>
      <c r="AA1617" s="4"/>
      <c r="AB1617" s="5"/>
    </row>
    <row r="1618" spans="1:28" x14ac:dyDescent="0.2">
      <c r="A1618" s="4"/>
      <c r="B1618" s="90"/>
      <c r="C1618" s="90"/>
      <c r="D1618" s="90"/>
      <c r="E1618" s="90"/>
      <c r="F1618" s="90"/>
      <c r="G1618" s="90"/>
      <c r="H1618" s="90"/>
      <c r="I1618" s="90"/>
      <c r="J1618" s="90"/>
      <c r="K1618" s="90"/>
      <c r="L1618" s="90"/>
      <c r="M1618" s="90"/>
      <c r="N1618" s="91"/>
      <c r="O1618" s="91"/>
      <c r="P1618" s="91"/>
      <c r="Q1618" s="91"/>
      <c r="R1618" s="91"/>
      <c r="S1618" s="91"/>
      <c r="T1618" s="91"/>
      <c r="U1618" s="91"/>
      <c r="V1618" s="92"/>
      <c r="W1618" s="92"/>
      <c r="X1618" s="93"/>
      <c r="Y1618" s="93"/>
      <c r="Z1618" s="93"/>
      <c r="AA1618" s="4"/>
      <c r="AB1618" s="5"/>
    </row>
    <row r="1619" spans="1:28" x14ac:dyDescent="0.2">
      <c r="A1619" s="4"/>
      <c r="B1619" s="94"/>
      <c r="C1619" s="94"/>
      <c r="D1619" s="94"/>
      <c r="E1619" s="94"/>
      <c r="F1619" s="94"/>
      <c r="G1619" s="94"/>
      <c r="H1619" s="94"/>
      <c r="I1619" s="94"/>
      <c r="J1619" s="94"/>
      <c r="K1619" s="94"/>
      <c r="L1619" s="94"/>
      <c r="M1619" s="94"/>
      <c r="N1619" s="95"/>
      <c r="O1619" s="95"/>
      <c r="P1619" s="95"/>
      <c r="Q1619" s="95"/>
      <c r="R1619" s="95"/>
      <c r="S1619" s="95"/>
      <c r="T1619" s="95"/>
      <c r="U1619" s="95"/>
      <c r="V1619" s="96"/>
      <c r="W1619" s="96"/>
      <c r="X1619" s="97"/>
      <c r="Y1619" s="97"/>
      <c r="Z1619" s="97"/>
      <c r="AA1619" s="4"/>
      <c r="AB1619" s="5"/>
    </row>
    <row r="1620" spans="1:28" x14ac:dyDescent="0.2">
      <c r="A1620" s="4"/>
      <c r="B1620" s="90"/>
      <c r="C1620" s="90"/>
      <c r="D1620" s="90"/>
      <c r="E1620" s="90"/>
      <c r="F1620" s="90"/>
      <c r="G1620" s="90"/>
      <c r="H1620" s="90"/>
      <c r="I1620" s="90"/>
      <c r="J1620" s="90"/>
      <c r="K1620" s="90"/>
      <c r="L1620" s="90"/>
      <c r="M1620" s="90"/>
      <c r="N1620" s="91"/>
      <c r="O1620" s="91"/>
      <c r="P1620" s="91"/>
      <c r="Q1620" s="91"/>
      <c r="R1620" s="91"/>
      <c r="S1620" s="91"/>
      <c r="T1620" s="91"/>
      <c r="U1620" s="91"/>
      <c r="V1620" s="92"/>
      <c r="W1620" s="92"/>
      <c r="X1620" s="93"/>
      <c r="Y1620" s="93"/>
      <c r="Z1620" s="93"/>
      <c r="AA1620" s="4"/>
      <c r="AB1620" s="5"/>
    </row>
    <row r="1621" spans="1:28" x14ac:dyDescent="0.2">
      <c r="A1621" s="4"/>
      <c r="B1621" s="94"/>
      <c r="C1621" s="94"/>
      <c r="D1621" s="94"/>
      <c r="E1621" s="94"/>
      <c r="F1621" s="94"/>
      <c r="G1621" s="94"/>
      <c r="H1621" s="94"/>
      <c r="I1621" s="94"/>
      <c r="J1621" s="94"/>
      <c r="K1621" s="94"/>
      <c r="L1621" s="94"/>
      <c r="M1621" s="94"/>
      <c r="N1621" s="95"/>
      <c r="O1621" s="95"/>
      <c r="P1621" s="95"/>
      <c r="Q1621" s="95"/>
      <c r="R1621" s="95"/>
      <c r="S1621" s="95"/>
      <c r="T1621" s="95"/>
      <c r="U1621" s="95"/>
      <c r="V1621" s="96"/>
      <c r="W1621" s="96"/>
      <c r="X1621" s="97"/>
      <c r="Y1621" s="97"/>
      <c r="Z1621" s="97"/>
      <c r="AA1621" s="4"/>
      <c r="AB1621" s="5"/>
    </row>
    <row r="1622" spans="1:28" x14ac:dyDescent="0.2">
      <c r="A1622" s="4"/>
      <c r="B1622" s="90"/>
      <c r="C1622" s="90"/>
      <c r="D1622" s="90"/>
      <c r="E1622" s="90"/>
      <c r="F1622" s="90"/>
      <c r="G1622" s="90"/>
      <c r="H1622" s="90"/>
      <c r="I1622" s="90"/>
      <c r="J1622" s="90"/>
      <c r="K1622" s="90"/>
      <c r="L1622" s="90"/>
      <c r="M1622" s="90"/>
      <c r="N1622" s="91"/>
      <c r="O1622" s="91"/>
      <c r="P1622" s="91"/>
      <c r="Q1622" s="91"/>
      <c r="R1622" s="91"/>
      <c r="S1622" s="91"/>
      <c r="T1622" s="91"/>
      <c r="U1622" s="91"/>
      <c r="V1622" s="92"/>
      <c r="W1622" s="92"/>
      <c r="X1622" s="93"/>
      <c r="Y1622" s="93"/>
      <c r="Z1622" s="93"/>
      <c r="AA1622" s="4"/>
      <c r="AB1622" s="5"/>
    </row>
    <row r="1623" spans="1:28" x14ac:dyDescent="0.2">
      <c r="A1623" s="4"/>
      <c r="B1623" s="94"/>
      <c r="C1623" s="94"/>
      <c r="D1623" s="94"/>
      <c r="E1623" s="94"/>
      <c r="F1623" s="94"/>
      <c r="G1623" s="94"/>
      <c r="H1623" s="94"/>
      <c r="I1623" s="94"/>
      <c r="J1623" s="94"/>
      <c r="K1623" s="94"/>
      <c r="L1623" s="94"/>
      <c r="M1623" s="94"/>
      <c r="N1623" s="95"/>
      <c r="O1623" s="95"/>
      <c r="P1623" s="95"/>
      <c r="Q1623" s="95"/>
      <c r="R1623" s="95"/>
      <c r="S1623" s="95"/>
      <c r="T1623" s="95"/>
      <c r="U1623" s="95"/>
      <c r="V1623" s="96"/>
      <c r="W1623" s="96"/>
      <c r="X1623" s="97"/>
      <c r="Y1623" s="97"/>
      <c r="Z1623" s="97"/>
      <c r="AA1623" s="4"/>
      <c r="AB1623" s="5"/>
    </row>
    <row r="1624" spans="1:28" x14ac:dyDescent="0.2">
      <c r="A1624" s="4"/>
      <c r="B1624" s="90"/>
      <c r="C1624" s="90"/>
      <c r="D1624" s="90"/>
      <c r="E1624" s="90"/>
      <c r="F1624" s="90"/>
      <c r="G1624" s="90"/>
      <c r="H1624" s="90"/>
      <c r="I1624" s="90"/>
      <c r="J1624" s="90"/>
      <c r="K1624" s="90"/>
      <c r="L1624" s="90"/>
      <c r="M1624" s="90"/>
      <c r="N1624" s="91"/>
      <c r="O1624" s="91"/>
      <c r="P1624" s="91"/>
      <c r="Q1624" s="91"/>
      <c r="R1624" s="91"/>
      <c r="S1624" s="91"/>
      <c r="T1624" s="91"/>
      <c r="U1624" s="91"/>
      <c r="V1624" s="92"/>
      <c r="W1624" s="92"/>
      <c r="X1624" s="93"/>
      <c r="Y1624" s="93"/>
      <c r="Z1624" s="93"/>
      <c r="AA1624" s="4"/>
      <c r="AB1624" s="5"/>
    </row>
    <row r="1625" spans="1:28" x14ac:dyDescent="0.2">
      <c r="A1625" s="4"/>
      <c r="B1625" s="94"/>
      <c r="C1625" s="94"/>
      <c r="D1625" s="94"/>
      <c r="E1625" s="94"/>
      <c r="F1625" s="94"/>
      <c r="G1625" s="94"/>
      <c r="H1625" s="94"/>
      <c r="I1625" s="94"/>
      <c r="J1625" s="94"/>
      <c r="K1625" s="94"/>
      <c r="L1625" s="94"/>
      <c r="M1625" s="94"/>
      <c r="N1625" s="95"/>
      <c r="O1625" s="95"/>
      <c r="P1625" s="95"/>
      <c r="Q1625" s="95"/>
      <c r="R1625" s="95"/>
      <c r="S1625" s="95"/>
      <c r="T1625" s="95"/>
      <c r="U1625" s="95"/>
      <c r="V1625" s="96"/>
      <c r="W1625" s="96"/>
      <c r="X1625" s="97"/>
      <c r="Y1625" s="97"/>
      <c r="Z1625" s="97"/>
      <c r="AA1625" s="4"/>
      <c r="AB1625" s="5"/>
    </row>
    <row r="1626" spans="1:28" x14ac:dyDescent="0.2">
      <c r="A1626" s="4"/>
      <c r="B1626" s="90"/>
      <c r="C1626" s="90"/>
      <c r="D1626" s="90"/>
      <c r="E1626" s="90"/>
      <c r="F1626" s="90"/>
      <c r="G1626" s="90"/>
      <c r="H1626" s="90"/>
      <c r="I1626" s="90"/>
      <c r="J1626" s="90"/>
      <c r="K1626" s="90"/>
      <c r="L1626" s="90"/>
      <c r="M1626" s="90"/>
      <c r="N1626" s="91"/>
      <c r="O1626" s="91"/>
      <c r="P1626" s="91"/>
      <c r="Q1626" s="91"/>
      <c r="R1626" s="91"/>
      <c r="S1626" s="91"/>
      <c r="T1626" s="91"/>
      <c r="U1626" s="91"/>
      <c r="V1626" s="92"/>
      <c r="W1626" s="92"/>
      <c r="X1626" s="93"/>
      <c r="Y1626" s="93"/>
      <c r="Z1626" s="93"/>
      <c r="AA1626" s="4"/>
      <c r="AB1626" s="5"/>
    </row>
    <row r="1627" spans="1:28" x14ac:dyDescent="0.2">
      <c r="A1627" s="4"/>
      <c r="B1627" s="94"/>
      <c r="C1627" s="94"/>
      <c r="D1627" s="94"/>
      <c r="E1627" s="94"/>
      <c r="F1627" s="94"/>
      <c r="G1627" s="94"/>
      <c r="H1627" s="94"/>
      <c r="I1627" s="94"/>
      <c r="J1627" s="94"/>
      <c r="K1627" s="94"/>
      <c r="L1627" s="94"/>
      <c r="M1627" s="94"/>
      <c r="N1627" s="95"/>
      <c r="O1627" s="95"/>
      <c r="P1627" s="95"/>
      <c r="Q1627" s="95"/>
      <c r="R1627" s="95"/>
      <c r="S1627" s="95"/>
      <c r="T1627" s="95"/>
      <c r="U1627" s="95"/>
      <c r="V1627" s="96"/>
      <c r="W1627" s="96"/>
      <c r="X1627" s="97"/>
      <c r="Y1627" s="97"/>
      <c r="Z1627" s="97"/>
      <c r="AA1627" s="4"/>
      <c r="AB1627" s="5"/>
    </row>
    <row r="1628" spans="1:28" x14ac:dyDescent="0.2">
      <c r="A1628" s="4"/>
      <c r="B1628" s="90"/>
      <c r="C1628" s="90"/>
      <c r="D1628" s="90"/>
      <c r="E1628" s="90"/>
      <c r="F1628" s="90"/>
      <c r="G1628" s="90"/>
      <c r="H1628" s="90"/>
      <c r="I1628" s="90"/>
      <c r="J1628" s="90"/>
      <c r="K1628" s="90"/>
      <c r="L1628" s="90"/>
      <c r="M1628" s="90"/>
      <c r="N1628" s="91"/>
      <c r="O1628" s="91"/>
      <c r="P1628" s="91"/>
      <c r="Q1628" s="91"/>
      <c r="R1628" s="91"/>
      <c r="S1628" s="91"/>
      <c r="T1628" s="91"/>
      <c r="U1628" s="91"/>
      <c r="V1628" s="92"/>
      <c r="W1628" s="92"/>
      <c r="X1628" s="93"/>
      <c r="Y1628" s="93"/>
      <c r="Z1628" s="93"/>
      <c r="AA1628" s="4"/>
      <c r="AB1628" s="5"/>
    </row>
    <row r="1629" spans="1:28" x14ac:dyDescent="0.2">
      <c r="A1629" s="4"/>
      <c r="B1629" s="94"/>
      <c r="C1629" s="94"/>
      <c r="D1629" s="94"/>
      <c r="E1629" s="94"/>
      <c r="F1629" s="94"/>
      <c r="G1629" s="94"/>
      <c r="H1629" s="94"/>
      <c r="I1629" s="94"/>
      <c r="J1629" s="94"/>
      <c r="K1629" s="94"/>
      <c r="L1629" s="94"/>
      <c r="M1629" s="94"/>
      <c r="N1629" s="95"/>
      <c r="O1629" s="95"/>
      <c r="P1629" s="95"/>
      <c r="Q1629" s="95"/>
      <c r="R1629" s="95"/>
      <c r="S1629" s="95"/>
      <c r="T1629" s="95"/>
      <c r="U1629" s="95"/>
      <c r="V1629" s="96"/>
      <c r="W1629" s="96"/>
      <c r="X1629" s="97"/>
      <c r="Y1629" s="97"/>
      <c r="Z1629" s="97"/>
      <c r="AA1629" s="4"/>
      <c r="AB1629" s="5"/>
    </row>
    <row r="1630" spans="1:28" x14ac:dyDescent="0.2">
      <c r="A1630" s="4"/>
      <c r="B1630" s="90"/>
      <c r="C1630" s="90"/>
      <c r="D1630" s="90"/>
      <c r="E1630" s="90"/>
      <c r="F1630" s="90"/>
      <c r="G1630" s="90"/>
      <c r="H1630" s="90"/>
      <c r="I1630" s="90"/>
      <c r="J1630" s="90"/>
      <c r="K1630" s="90"/>
      <c r="L1630" s="90"/>
      <c r="M1630" s="90"/>
      <c r="N1630" s="91"/>
      <c r="O1630" s="91"/>
      <c r="P1630" s="91"/>
      <c r="Q1630" s="91"/>
      <c r="R1630" s="91"/>
      <c r="S1630" s="91"/>
      <c r="T1630" s="91"/>
      <c r="U1630" s="91"/>
      <c r="V1630" s="92"/>
      <c r="W1630" s="92"/>
      <c r="X1630" s="93"/>
      <c r="Y1630" s="93"/>
      <c r="Z1630" s="93"/>
      <c r="AA1630" s="4"/>
      <c r="AB1630" s="5"/>
    </row>
    <row r="1631" spans="1:28" x14ac:dyDescent="0.2">
      <c r="A1631" s="4"/>
      <c r="B1631" s="94"/>
      <c r="C1631" s="94"/>
      <c r="D1631" s="94"/>
      <c r="E1631" s="94"/>
      <c r="F1631" s="94"/>
      <c r="G1631" s="94"/>
      <c r="H1631" s="94"/>
      <c r="I1631" s="94"/>
      <c r="J1631" s="94"/>
      <c r="K1631" s="94"/>
      <c r="L1631" s="94"/>
      <c r="M1631" s="94"/>
      <c r="N1631" s="95"/>
      <c r="O1631" s="95"/>
      <c r="P1631" s="95"/>
      <c r="Q1631" s="95"/>
      <c r="R1631" s="95"/>
      <c r="S1631" s="95"/>
      <c r="T1631" s="95"/>
      <c r="U1631" s="95"/>
      <c r="V1631" s="96"/>
      <c r="W1631" s="96"/>
      <c r="X1631" s="97"/>
      <c r="Y1631" s="97"/>
      <c r="Z1631" s="97"/>
      <c r="AA1631" s="4"/>
      <c r="AB1631" s="5"/>
    </row>
    <row r="1632" spans="1:28" x14ac:dyDescent="0.2">
      <c r="A1632" s="4"/>
      <c r="B1632" s="90"/>
      <c r="C1632" s="90"/>
      <c r="D1632" s="90"/>
      <c r="E1632" s="90"/>
      <c r="F1632" s="90"/>
      <c r="G1632" s="90"/>
      <c r="H1632" s="90"/>
      <c r="I1632" s="90"/>
      <c r="J1632" s="90"/>
      <c r="K1632" s="90"/>
      <c r="L1632" s="90"/>
      <c r="M1632" s="90"/>
      <c r="N1632" s="91"/>
      <c r="O1632" s="91"/>
      <c r="P1632" s="91"/>
      <c r="Q1632" s="91"/>
      <c r="R1632" s="91"/>
      <c r="S1632" s="91"/>
      <c r="T1632" s="91"/>
      <c r="U1632" s="91"/>
      <c r="V1632" s="92"/>
      <c r="W1632" s="92"/>
      <c r="X1632" s="93"/>
      <c r="Y1632" s="93"/>
      <c r="Z1632" s="93"/>
      <c r="AA1632" s="4"/>
      <c r="AB1632" s="5"/>
    </row>
    <row r="1633" spans="1:28" x14ac:dyDescent="0.2">
      <c r="A1633" s="4"/>
      <c r="B1633" s="94"/>
      <c r="C1633" s="94"/>
      <c r="D1633" s="94"/>
      <c r="E1633" s="94"/>
      <c r="F1633" s="94"/>
      <c r="G1633" s="94"/>
      <c r="H1633" s="94"/>
      <c r="I1633" s="94"/>
      <c r="J1633" s="94"/>
      <c r="K1633" s="94"/>
      <c r="L1633" s="94"/>
      <c r="M1633" s="94"/>
      <c r="N1633" s="95"/>
      <c r="O1633" s="95"/>
      <c r="P1633" s="95"/>
      <c r="Q1633" s="95"/>
      <c r="R1633" s="95"/>
      <c r="S1633" s="95"/>
      <c r="T1633" s="95"/>
      <c r="U1633" s="95"/>
      <c r="V1633" s="96"/>
      <c r="W1633" s="96"/>
      <c r="X1633" s="97"/>
      <c r="Y1633" s="97"/>
      <c r="Z1633" s="97"/>
      <c r="AA1633" s="4"/>
      <c r="AB1633" s="5"/>
    </row>
    <row r="1634" spans="1:28" x14ac:dyDescent="0.2">
      <c r="A1634" s="4"/>
      <c r="B1634" s="90"/>
      <c r="C1634" s="90"/>
      <c r="D1634" s="90"/>
      <c r="E1634" s="90"/>
      <c r="F1634" s="90"/>
      <c r="G1634" s="90"/>
      <c r="H1634" s="90"/>
      <c r="I1634" s="90"/>
      <c r="J1634" s="90"/>
      <c r="K1634" s="90"/>
      <c r="L1634" s="90"/>
      <c r="M1634" s="90"/>
      <c r="N1634" s="91"/>
      <c r="O1634" s="91"/>
      <c r="P1634" s="91"/>
      <c r="Q1634" s="91"/>
      <c r="R1634" s="91"/>
      <c r="S1634" s="91"/>
      <c r="T1634" s="91"/>
      <c r="U1634" s="91"/>
      <c r="V1634" s="92"/>
      <c r="W1634" s="92"/>
      <c r="X1634" s="93"/>
      <c r="Y1634" s="93"/>
      <c r="Z1634" s="93"/>
      <c r="AA1634" s="4"/>
      <c r="AB1634" s="5"/>
    </row>
    <row r="1635" spans="1:28" x14ac:dyDescent="0.2">
      <c r="A1635" s="4"/>
      <c r="B1635" s="94"/>
      <c r="C1635" s="94"/>
      <c r="D1635" s="94"/>
      <c r="E1635" s="94"/>
      <c r="F1635" s="94"/>
      <c r="G1635" s="94"/>
      <c r="H1635" s="94"/>
      <c r="I1635" s="94"/>
      <c r="J1635" s="94"/>
      <c r="K1635" s="94"/>
      <c r="L1635" s="94"/>
      <c r="M1635" s="94"/>
      <c r="N1635" s="95"/>
      <c r="O1635" s="95"/>
      <c r="P1635" s="95"/>
      <c r="Q1635" s="95"/>
      <c r="R1635" s="95"/>
      <c r="S1635" s="95"/>
      <c r="T1635" s="95"/>
      <c r="U1635" s="95"/>
      <c r="V1635" s="96"/>
      <c r="W1635" s="96"/>
      <c r="X1635" s="97"/>
      <c r="Y1635" s="97"/>
      <c r="Z1635" s="97"/>
      <c r="AA1635" s="4"/>
      <c r="AB1635" s="5"/>
    </row>
    <row r="1636" spans="1:28" x14ac:dyDescent="0.2">
      <c r="A1636" s="4"/>
      <c r="B1636" s="90"/>
      <c r="C1636" s="90"/>
      <c r="D1636" s="90"/>
      <c r="E1636" s="90"/>
      <c r="F1636" s="90"/>
      <c r="G1636" s="90"/>
      <c r="H1636" s="90"/>
      <c r="I1636" s="90"/>
      <c r="J1636" s="90"/>
      <c r="K1636" s="90"/>
      <c r="L1636" s="90"/>
      <c r="M1636" s="90"/>
      <c r="N1636" s="91"/>
      <c r="O1636" s="91"/>
      <c r="P1636" s="91"/>
      <c r="Q1636" s="91"/>
      <c r="R1636" s="91"/>
      <c r="S1636" s="91"/>
      <c r="T1636" s="91"/>
      <c r="U1636" s="91"/>
      <c r="V1636" s="92"/>
      <c r="W1636" s="92"/>
      <c r="X1636" s="93"/>
      <c r="Y1636" s="93"/>
      <c r="Z1636" s="93"/>
      <c r="AA1636" s="4"/>
      <c r="AB1636" s="5"/>
    </row>
    <row r="1637" spans="1:28" x14ac:dyDescent="0.2">
      <c r="A1637" s="4"/>
      <c r="B1637" s="94"/>
      <c r="C1637" s="94"/>
      <c r="D1637" s="94"/>
      <c r="E1637" s="94"/>
      <c r="F1637" s="94"/>
      <c r="G1637" s="94"/>
      <c r="H1637" s="94"/>
      <c r="I1637" s="94"/>
      <c r="J1637" s="94"/>
      <c r="K1637" s="94"/>
      <c r="L1637" s="94"/>
      <c r="M1637" s="94"/>
      <c r="N1637" s="95"/>
      <c r="O1637" s="95"/>
      <c r="P1637" s="95"/>
      <c r="Q1637" s="95"/>
      <c r="R1637" s="95"/>
      <c r="S1637" s="95"/>
      <c r="T1637" s="95"/>
      <c r="U1637" s="95"/>
      <c r="V1637" s="96"/>
      <c r="W1637" s="96"/>
      <c r="X1637" s="97"/>
      <c r="Y1637" s="97"/>
      <c r="Z1637" s="97"/>
      <c r="AA1637" s="4"/>
      <c r="AB1637" s="5"/>
    </row>
    <row r="1638" spans="1:28" x14ac:dyDescent="0.2">
      <c r="A1638" s="4"/>
      <c r="B1638" s="90"/>
      <c r="C1638" s="90"/>
      <c r="D1638" s="90"/>
      <c r="E1638" s="90"/>
      <c r="F1638" s="90"/>
      <c r="G1638" s="90"/>
      <c r="H1638" s="90"/>
      <c r="I1638" s="90"/>
      <c r="J1638" s="90"/>
      <c r="K1638" s="90"/>
      <c r="L1638" s="90"/>
      <c r="M1638" s="90"/>
      <c r="N1638" s="91"/>
      <c r="O1638" s="91"/>
      <c r="P1638" s="91"/>
      <c r="Q1638" s="91"/>
      <c r="R1638" s="91"/>
      <c r="S1638" s="91"/>
      <c r="T1638" s="91"/>
      <c r="U1638" s="91"/>
      <c r="V1638" s="92"/>
      <c r="W1638" s="92"/>
      <c r="X1638" s="93"/>
      <c r="Y1638" s="93"/>
      <c r="Z1638" s="93"/>
      <c r="AA1638" s="4"/>
      <c r="AB1638" s="5"/>
    </row>
    <row r="1639" spans="1:28" x14ac:dyDescent="0.2">
      <c r="A1639" s="4"/>
      <c r="B1639" s="94"/>
      <c r="C1639" s="94"/>
      <c r="D1639" s="94"/>
      <c r="E1639" s="94"/>
      <c r="F1639" s="94"/>
      <c r="G1639" s="94"/>
      <c r="H1639" s="94"/>
      <c r="I1639" s="94"/>
      <c r="J1639" s="94"/>
      <c r="K1639" s="94"/>
      <c r="L1639" s="94"/>
      <c r="M1639" s="94"/>
      <c r="N1639" s="95"/>
      <c r="O1639" s="95"/>
      <c r="P1639" s="95"/>
      <c r="Q1639" s="95"/>
      <c r="R1639" s="95"/>
      <c r="S1639" s="95"/>
      <c r="T1639" s="95"/>
      <c r="U1639" s="95"/>
      <c r="V1639" s="96"/>
      <c r="W1639" s="96"/>
      <c r="X1639" s="97"/>
      <c r="Y1639" s="97"/>
      <c r="Z1639" s="97"/>
      <c r="AA1639" s="4"/>
      <c r="AB1639" s="5"/>
    </row>
    <row r="1640" spans="1:28" x14ac:dyDescent="0.2">
      <c r="A1640" s="4"/>
      <c r="B1640" s="90"/>
      <c r="C1640" s="90"/>
      <c r="D1640" s="90"/>
      <c r="E1640" s="90"/>
      <c r="F1640" s="90"/>
      <c r="G1640" s="90"/>
      <c r="H1640" s="90"/>
      <c r="I1640" s="90"/>
      <c r="J1640" s="90"/>
      <c r="K1640" s="90"/>
      <c r="L1640" s="90"/>
      <c r="M1640" s="90"/>
      <c r="N1640" s="91"/>
      <c r="O1640" s="91"/>
      <c r="P1640" s="91"/>
      <c r="Q1640" s="91"/>
      <c r="R1640" s="91"/>
      <c r="S1640" s="91"/>
      <c r="T1640" s="91"/>
      <c r="U1640" s="91"/>
      <c r="V1640" s="92"/>
      <c r="W1640" s="92"/>
      <c r="X1640" s="93"/>
      <c r="Y1640" s="93"/>
      <c r="Z1640" s="93"/>
      <c r="AA1640" s="4"/>
      <c r="AB1640" s="5"/>
    </row>
    <row r="1641" spans="1:28" x14ac:dyDescent="0.2">
      <c r="A1641" s="4"/>
      <c r="B1641" s="94"/>
      <c r="C1641" s="94"/>
      <c r="D1641" s="94"/>
      <c r="E1641" s="94"/>
      <c r="F1641" s="94"/>
      <c r="G1641" s="94"/>
      <c r="H1641" s="94"/>
      <c r="I1641" s="94"/>
      <c r="J1641" s="94"/>
      <c r="K1641" s="94"/>
      <c r="L1641" s="94"/>
      <c r="M1641" s="94"/>
      <c r="N1641" s="95"/>
      <c r="O1641" s="95"/>
      <c r="P1641" s="95"/>
      <c r="Q1641" s="95"/>
      <c r="R1641" s="95"/>
      <c r="S1641" s="95"/>
      <c r="T1641" s="95"/>
      <c r="U1641" s="95"/>
      <c r="V1641" s="96"/>
      <c r="W1641" s="96"/>
      <c r="X1641" s="97"/>
      <c r="Y1641" s="97"/>
      <c r="Z1641" s="97"/>
      <c r="AA1641" s="4"/>
      <c r="AB1641" s="5"/>
    </row>
    <row r="1642" spans="1:28" x14ac:dyDescent="0.2">
      <c r="A1642" s="4"/>
      <c r="B1642" s="90"/>
      <c r="C1642" s="90"/>
      <c r="D1642" s="90"/>
      <c r="E1642" s="90"/>
      <c r="F1642" s="90"/>
      <c r="G1642" s="90"/>
      <c r="H1642" s="90"/>
      <c r="I1642" s="90"/>
      <c r="J1642" s="90"/>
      <c r="K1642" s="90"/>
      <c r="L1642" s="90"/>
      <c r="M1642" s="90"/>
      <c r="N1642" s="91"/>
      <c r="O1642" s="91"/>
      <c r="P1642" s="91"/>
      <c r="Q1642" s="91"/>
      <c r="R1642" s="91"/>
      <c r="S1642" s="91"/>
      <c r="T1642" s="91"/>
      <c r="U1642" s="91"/>
      <c r="V1642" s="92"/>
      <c r="W1642" s="92"/>
      <c r="X1642" s="93"/>
      <c r="Y1642" s="93"/>
      <c r="Z1642" s="93"/>
      <c r="AA1642" s="4"/>
      <c r="AB1642" s="5"/>
    </row>
    <row r="1643" spans="1:28" x14ac:dyDescent="0.2">
      <c r="A1643" s="4"/>
      <c r="B1643" s="94"/>
      <c r="C1643" s="94"/>
      <c r="D1643" s="94"/>
      <c r="E1643" s="94"/>
      <c r="F1643" s="94"/>
      <c r="G1643" s="94"/>
      <c r="H1643" s="94"/>
      <c r="I1643" s="94"/>
      <c r="J1643" s="94"/>
      <c r="K1643" s="94"/>
      <c r="L1643" s="94"/>
      <c r="M1643" s="94"/>
      <c r="N1643" s="95"/>
      <c r="O1643" s="95"/>
      <c r="P1643" s="95"/>
      <c r="Q1643" s="95"/>
      <c r="R1643" s="95"/>
      <c r="S1643" s="95"/>
      <c r="T1643" s="95"/>
      <c r="U1643" s="95"/>
      <c r="V1643" s="96"/>
      <c r="W1643" s="96"/>
      <c r="X1643" s="97"/>
      <c r="Y1643" s="97"/>
      <c r="Z1643" s="97"/>
      <c r="AA1643" s="4"/>
      <c r="AB1643" s="5"/>
    </row>
    <row r="1644" spans="1:28" x14ac:dyDescent="0.2">
      <c r="A1644" s="4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91"/>
      <c r="O1644" s="91"/>
      <c r="P1644" s="91"/>
      <c r="Q1644" s="91"/>
      <c r="R1644" s="91"/>
      <c r="S1644" s="91"/>
      <c r="T1644" s="91"/>
      <c r="U1644" s="91"/>
      <c r="V1644" s="92"/>
      <c r="W1644" s="92"/>
      <c r="X1644" s="93"/>
      <c r="Y1644" s="93"/>
      <c r="Z1644" s="93"/>
      <c r="AA1644" s="4"/>
      <c r="AB1644" s="5"/>
    </row>
    <row r="1645" spans="1:28" x14ac:dyDescent="0.2">
      <c r="A1645" s="4"/>
      <c r="B1645" s="94"/>
      <c r="C1645" s="94"/>
      <c r="D1645" s="94"/>
      <c r="E1645" s="94"/>
      <c r="F1645" s="94"/>
      <c r="G1645" s="94"/>
      <c r="H1645" s="94"/>
      <c r="I1645" s="94"/>
      <c r="J1645" s="94"/>
      <c r="K1645" s="94"/>
      <c r="L1645" s="94"/>
      <c r="M1645" s="94"/>
      <c r="N1645" s="95"/>
      <c r="O1645" s="95"/>
      <c r="P1645" s="95"/>
      <c r="Q1645" s="95"/>
      <c r="R1645" s="95"/>
      <c r="S1645" s="95"/>
      <c r="T1645" s="95"/>
      <c r="U1645" s="95"/>
      <c r="V1645" s="96"/>
      <c r="W1645" s="96"/>
      <c r="X1645" s="97"/>
      <c r="Y1645" s="97"/>
      <c r="Z1645" s="97"/>
      <c r="AA1645" s="4"/>
      <c r="AB1645" s="5"/>
    </row>
    <row r="1646" spans="1:28" x14ac:dyDescent="0.2">
      <c r="A1646" s="4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91"/>
      <c r="O1646" s="91"/>
      <c r="P1646" s="91"/>
      <c r="Q1646" s="91"/>
      <c r="R1646" s="91"/>
      <c r="S1646" s="91"/>
      <c r="T1646" s="91"/>
      <c r="U1646" s="91"/>
      <c r="V1646" s="92"/>
      <c r="W1646" s="92"/>
      <c r="X1646" s="93"/>
      <c r="Y1646" s="93"/>
      <c r="Z1646" s="93"/>
      <c r="AA1646" s="4"/>
      <c r="AB1646" s="5"/>
    </row>
    <row r="1647" spans="1:28" x14ac:dyDescent="0.2">
      <c r="A1647" s="4"/>
      <c r="B1647" s="94"/>
      <c r="C1647" s="94"/>
      <c r="D1647" s="94"/>
      <c r="E1647" s="94"/>
      <c r="F1647" s="94"/>
      <c r="G1647" s="94"/>
      <c r="H1647" s="94"/>
      <c r="I1647" s="94"/>
      <c r="J1647" s="94"/>
      <c r="K1647" s="94"/>
      <c r="L1647" s="94"/>
      <c r="M1647" s="94"/>
      <c r="N1647" s="95"/>
      <c r="O1647" s="95"/>
      <c r="P1647" s="95"/>
      <c r="Q1647" s="95"/>
      <c r="R1647" s="95"/>
      <c r="S1647" s="95"/>
      <c r="T1647" s="95"/>
      <c r="U1647" s="95"/>
      <c r="V1647" s="96"/>
      <c r="W1647" s="96"/>
      <c r="X1647" s="97"/>
      <c r="Y1647" s="97"/>
      <c r="Z1647" s="97"/>
      <c r="AA1647" s="4"/>
      <c r="AB1647" s="5"/>
    </row>
    <row r="1648" spans="1:28" x14ac:dyDescent="0.2">
      <c r="A1648" s="4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91"/>
      <c r="O1648" s="91"/>
      <c r="P1648" s="91"/>
      <c r="Q1648" s="91"/>
      <c r="R1648" s="91"/>
      <c r="S1648" s="91"/>
      <c r="T1648" s="91"/>
      <c r="U1648" s="91"/>
      <c r="V1648" s="92"/>
      <c r="W1648" s="92"/>
      <c r="X1648" s="93"/>
      <c r="Y1648" s="93"/>
      <c r="Z1648" s="93"/>
      <c r="AA1648" s="4"/>
      <c r="AB1648" s="5"/>
    </row>
    <row r="1649" spans="1:28" x14ac:dyDescent="0.2">
      <c r="A1649" s="4"/>
      <c r="B1649" s="94"/>
      <c r="C1649" s="94"/>
      <c r="D1649" s="94"/>
      <c r="E1649" s="94"/>
      <c r="F1649" s="94"/>
      <c r="G1649" s="94"/>
      <c r="H1649" s="94"/>
      <c r="I1649" s="94"/>
      <c r="J1649" s="94"/>
      <c r="K1649" s="94"/>
      <c r="L1649" s="94"/>
      <c r="M1649" s="94"/>
      <c r="N1649" s="95"/>
      <c r="O1649" s="95"/>
      <c r="P1649" s="95"/>
      <c r="Q1649" s="95"/>
      <c r="R1649" s="95"/>
      <c r="S1649" s="95"/>
      <c r="T1649" s="95"/>
      <c r="U1649" s="95"/>
      <c r="V1649" s="96"/>
      <c r="W1649" s="96"/>
      <c r="X1649" s="97"/>
      <c r="Y1649" s="97"/>
      <c r="Z1649" s="97"/>
      <c r="AA1649" s="4"/>
      <c r="AB1649" s="5"/>
    </row>
    <row r="1650" spans="1:28" x14ac:dyDescent="0.2">
      <c r="A1650" s="4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91"/>
      <c r="O1650" s="91"/>
      <c r="P1650" s="91"/>
      <c r="Q1650" s="91"/>
      <c r="R1650" s="91"/>
      <c r="S1650" s="91"/>
      <c r="T1650" s="91"/>
      <c r="U1650" s="91"/>
      <c r="V1650" s="92"/>
      <c r="W1650" s="92"/>
      <c r="X1650" s="93"/>
      <c r="Y1650" s="93"/>
      <c r="Z1650" s="93"/>
      <c r="AA1650" s="4"/>
      <c r="AB1650" s="5"/>
    </row>
    <row r="1651" spans="1:28" x14ac:dyDescent="0.2">
      <c r="A1651" s="4"/>
      <c r="B1651" s="94"/>
      <c r="C1651" s="94"/>
      <c r="D1651" s="94"/>
      <c r="E1651" s="94"/>
      <c r="F1651" s="94"/>
      <c r="G1651" s="94"/>
      <c r="H1651" s="94"/>
      <c r="I1651" s="94"/>
      <c r="J1651" s="94"/>
      <c r="K1651" s="94"/>
      <c r="L1651" s="94"/>
      <c r="M1651" s="94"/>
      <c r="N1651" s="95"/>
      <c r="O1651" s="95"/>
      <c r="P1651" s="95"/>
      <c r="Q1651" s="95"/>
      <c r="R1651" s="95"/>
      <c r="S1651" s="95"/>
      <c r="T1651" s="95"/>
      <c r="U1651" s="95"/>
      <c r="V1651" s="96"/>
      <c r="W1651" s="96"/>
      <c r="X1651" s="97"/>
      <c r="Y1651" s="97"/>
      <c r="Z1651" s="97"/>
      <c r="AA1651" s="4"/>
      <c r="AB1651" s="5"/>
    </row>
    <row r="1652" spans="1:28" x14ac:dyDescent="0.2">
      <c r="A1652" s="4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91"/>
      <c r="O1652" s="91"/>
      <c r="P1652" s="91"/>
      <c r="Q1652" s="91"/>
      <c r="R1652" s="91"/>
      <c r="S1652" s="91"/>
      <c r="T1652" s="91"/>
      <c r="U1652" s="91"/>
      <c r="V1652" s="92"/>
      <c r="W1652" s="92"/>
      <c r="X1652" s="93"/>
      <c r="Y1652" s="93"/>
      <c r="Z1652" s="93"/>
      <c r="AA1652" s="4"/>
      <c r="AB1652" s="5"/>
    </row>
    <row r="1653" spans="1:28" x14ac:dyDescent="0.2">
      <c r="A1653" s="4"/>
      <c r="B1653" s="94"/>
      <c r="C1653" s="94"/>
      <c r="D1653" s="94"/>
      <c r="E1653" s="94"/>
      <c r="F1653" s="94"/>
      <c r="G1653" s="94"/>
      <c r="H1653" s="94"/>
      <c r="I1653" s="94"/>
      <c r="J1653" s="94"/>
      <c r="K1653" s="94"/>
      <c r="L1653" s="94"/>
      <c r="M1653" s="94"/>
      <c r="N1653" s="95"/>
      <c r="O1653" s="95"/>
      <c r="P1653" s="95"/>
      <c r="Q1653" s="95"/>
      <c r="R1653" s="95"/>
      <c r="S1653" s="95"/>
      <c r="T1653" s="95"/>
      <c r="U1653" s="95"/>
      <c r="V1653" s="96"/>
      <c r="W1653" s="96"/>
      <c r="X1653" s="97"/>
      <c r="Y1653" s="97"/>
      <c r="Z1653" s="97"/>
      <c r="AA1653" s="4"/>
      <c r="AB1653" s="5"/>
    </row>
    <row r="1654" spans="1:28" x14ac:dyDescent="0.2">
      <c r="A1654" s="4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91"/>
      <c r="O1654" s="91"/>
      <c r="P1654" s="91"/>
      <c r="Q1654" s="91"/>
      <c r="R1654" s="91"/>
      <c r="S1654" s="91"/>
      <c r="T1654" s="91"/>
      <c r="U1654" s="91"/>
      <c r="V1654" s="92"/>
      <c r="W1654" s="92"/>
      <c r="X1654" s="93"/>
      <c r="Y1654" s="93"/>
      <c r="Z1654" s="93"/>
      <c r="AA1654" s="4"/>
      <c r="AB1654" s="5"/>
    </row>
    <row r="1655" spans="1:28" x14ac:dyDescent="0.2">
      <c r="A1655" s="4"/>
      <c r="B1655" s="94"/>
      <c r="C1655" s="94"/>
      <c r="D1655" s="94"/>
      <c r="E1655" s="94"/>
      <c r="F1655" s="94"/>
      <c r="G1655" s="94"/>
      <c r="H1655" s="94"/>
      <c r="I1655" s="94"/>
      <c r="J1655" s="94"/>
      <c r="K1655" s="94"/>
      <c r="L1655" s="94"/>
      <c r="M1655" s="94"/>
      <c r="N1655" s="95"/>
      <c r="O1655" s="95"/>
      <c r="P1655" s="95"/>
      <c r="Q1655" s="95"/>
      <c r="R1655" s="95"/>
      <c r="S1655" s="95"/>
      <c r="T1655" s="95"/>
      <c r="U1655" s="95"/>
      <c r="V1655" s="96"/>
      <c r="W1655" s="96"/>
      <c r="X1655" s="97"/>
      <c r="Y1655" s="97"/>
      <c r="Z1655" s="97"/>
      <c r="AA1655" s="4"/>
      <c r="AB1655" s="5"/>
    </row>
    <row r="1656" spans="1:28" x14ac:dyDescent="0.2">
      <c r="A1656" s="4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91"/>
      <c r="O1656" s="91"/>
      <c r="P1656" s="91"/>
      <c r="Q1656" s="91"/>
      <c r="R1656" s="91"/>
      <c r="S1656" s="91"/>
      <c r="T1656" s="91"/>
      <c r="U1656" s="91"/>
      <c r="V1656" s="92"/>
      <c r="W1656" s="92"/>
      <c r="X1656" s="93"/>
      <c r="Y1656" s="93"/>
      <c r="Z1656" s="93"/>
      <c r="AA1656" s="4"/>
      <c r="AB1656" s="5"/>
    </row>
    <row r="1657" spans="1:28" x14ac:dyDescent="0.2">
      <c r="A1657" s="4"/>
      <c r="B1657" s="94"/>
      <c r="C1657" s="94"/>
      <c r="D1657" s="94"/>
      <c r="E1657" s="94"/>
      <c r="F1657" s="94"/>
      <c r="G1657" s="94"/>
      <c r="H1657" s="94"/>
      <c r="I1657" s="94"/>
      <c r="J1657" s="94"/>
      <c r="K1657" s="94"/>
      <c r="L1657" s="94"/>
      <c r="M1657" s="94"/>
      <c r="N1657" s="95"/>
      <c r="O1657" s="95"/>
      <c r="P1657" s="95"/>
      <c r="Q1657" s="95"/>
      <c r="R1657" s="95"/>
      <c r="S1657" s="95"/>
      <c r="T1657" s="95"/>
      <c r="U1657" s="95"/>
      <c r="V1657" s="96"/>
      <c r="W1657" s="96"/>
      <c r="X1657" s="97"/>
      <c r="Y1657" s="97"/>
      <c r="Z1657" s="97"/>
      <c r="AA1657" s="4"/>
      <c r="AB1657" s="5"/>
    </row>
    <row r="1658" spans="1:28" x14ac:dyDescent="0.2">
      <c r="A1658" s="4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91"/>
      <c r="O1658" s="91"/>
      <c r="P1658" s="91"/>
      <c r="Q1658" s="91"/>
      <c r="R1658" s="91"/>
      <c r="S1658" s="91"/>
      <c r="T1658" s="91"/>
      <c r="U1658" s="91"/>
      <c r="V1658" s="92"/>
      <c r="W1658" s="92"/>
      <c r="X1658" s="93"/>
      <c r="Y1658" s="93"/>
      <c r="Z1658" s="93"/>
      <c r="AA1658" s="4"/>
      <c r="AB1658" s="5"/>
    </row>
    <row r="1659" spans="1:28" x14ac:dyDescent="0.2">
      <c r="A1659" s="4"/>
      <c r="B1659" s="94"/>
      <c r="C1659" s="94"/>
      <c r="D1659" s="94"/>
      <c r="E1659" s="94"/>
      <c r="F1659" s="94"/>
      <c r="G1659" s="94"/>
      <c r="H1659" s="94"/>
      <c r="I1659" s="94"/>
      <c r="J1659" s="94"/>
      <c r="K1659" s="94"/>
      <c r="L1659" s="94"/>
      <c r="M1659" s="94"/>
      <c r="N1659" s="95"/>
      <c r="O1659" s="95"/>
      <c r="P1659" s="95"/>
      <c r="Q1659" s="95"/>
      <c r="R1659" s="95"/>
      <c r="S1659" s="95"/>
      <c r="T1659" s="95"/>
      <c r="U1659" s="95"/>
      <c r="V1659" s="96"/>
      <c r="W1659" s="96"/>
      <c r="X1659" s="97"/>
      <c r="Y1659" s="97"/>
      <c r="Z1659" s="97"/>
      <c r="AA1659" s="4"/>
      <c r="AB1659" s="5"/>
    </row>
    <row r="1660" spans="1:28" x14ac:dyDescent="0.2">
      <c r="A1660" s="4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91"/>
      <c r="O1660" s="91"/>
      <c r="P1660" s="91"/>
      <c r="Q1660" s="91"/>
      <c r="R1660" s="91"/>
      <c r="S1660" s="91"/>
      <c r="T1660" s="91"/>
      <c r="U1660" s="91"/>
      <c r="V1660" s="92"/>
      <c r="W1660" s="92"/>
      <c r="X1660" s="93"/>
      <c r="Y1660" s="93"/>
      <c r="Z1660" s="93"/>
      <c r="AA1660" s="4"/>
      <c r="AB1660" s="5"/>
    </row>
    <row r="1661" spans="1:28" x14ac:dyDescent="0.2">
      <c r="A1661" s="4"/>
      <c r="B1661" s="94"/>
      <c r="C1661" s="94"/>
      <c r="D1661" s="94"/>
      <c r="E1661" s="94"/>
      <c r="F1661" s="94"/>
      <c r="G1661" s="94"/>
      <c r="H1661" s="94"/>
      <c r="I1661" s="94"/>
      <c r="J1661" s="94"/>
      <c r="K1661" s="94"/>
      <c r="L1661" s="94"/>
      <c r="M1661" s="94"/>
      <c r="N1661" s="95"/>
      <c r="O1661" s="95"/>
      <c r="P1661" s="95"/>
      <c r="Q1661" s="95"/>
      <c r="R1661" s="95"/>
      <c r="S1661" s="95"/>
      <c r="T1661" s="95"/>
      <c r="U1661" s="95"/>
      <c r="V1661" s="96"/>
      <c r="W1661" s="96"/>
      <c r="X1661" s="97"/>
      <c r="Y1661" s="97"/>
      <c r="Z1661" s="97"/>
      <c r="AA1661" s="4"/>
      <c r="AB1661" s="5"/>
    </row>
    <row r="1662" spans="1:28" x14ac:dyDescent="0.2">
      <c r="A1662" s="4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91"/>
      <c r="O1662" s="91"/>
      <c r="P1662" s="91"/>
      <c r="Q1662" s="91"/>
      <c r="R1662" s="91"/>
      <c r="S1662" s="91"/>
      <c r="T1662" s="91"/>
      <c r="U1662" s="91"/>
      <c r="V1662" s="92"/>
      <c r="W1662" s="92"/>
      <c r="X1662" s="93"/>
      <c r="Y1662" s="93"/>
      <c r="Z1662" s="93"/>
      <c r="AA1662" s="4"/>
      <c r="AB1662" s="5"/>
    </row>
    <row r="1663" spans="1:28" x14ac:dyDescent="0.2">
      <c r="A1663" s="4"/>
      <c r="B1663" s="94"/>
      <c r="C1663" s="94"/>
      <c r="D1663" s="94"/>
      <c r="E1663" s="94"/>
      <c r="F1663" s="94"/>
      <c r="G1663" s="94"/>
      <c r="H1663" s="94"/>
      <c r="I1663" s="94"/>
      <c r="J1663" s="94"/>
      <c r="K1663" s="94"/>
      <c r="L1663" s="94"/>
      <c r="M1663" s="94"/>
      <c r="N1663" s="95"/>
      <c r="O1663" s="95"/>
      <c r="P1663" s="95"/>
      <c r="Q1663" s="95"/>
      <c r="R1663" s="95"/>
      <c r="S1663" s="95"/>
      <c r="T1663" s="95"/>
      <c r="U1663" s="95"/>
      <c r="V1663" s="96"/>
      <c r="W1663" s="96"/>
      <c r="X1663" s="97"/>
      <c r="Y1663" s="97"/>
      <c r="Z1663" s="97"/>
      <c r="AA1663" s="4"/>
      <c r="AB1663" s="5"/>
    </row>
    <row r="1664" spans="1:28" x14ac:dyDescent="0.2">
      <c r="A1664" s="4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91"/>
      <c r="O1664" s="91"/>
      <c r="P1664" s="91"/>
      <c r="Q1664" s="91"/>
      <c r="R1664" s="91"/>
      <c r="S1664" s="91"/>
      <c r="T1664" s="91"/>
      <c r="U1664" s="91"/>
      <c r="V1664" s="92"/>
      <c r="W1664" s="92"/>
      <c r="X1664" s="93"/>
      <c r="Y1664" s="93"/>
      <c r="Z1664" s="93"/>
      <c r="AA1664" s="4"/>
      <c r="AB1664" s="5"/>
    </row>
    <row r="1665" spans="1:28" x14ac:dyDescent="0.2">
      <c r="A1665" s="4"/>
      <c r="B1665" s="94"/>
      <c r="C1665" s="94"/>
      <c r="D1665" s="94"/>
      <c r="E1665" s="94"/>
      <c r="F1665" s="94"/>
      <c r="G1665" s="94"/>
      <c r="H1665" s="94"/>
      <c r="I1665" s="94"/>
      <c r="J1665" s="94"/>
      <c r="K1665" s="94"/>
      <c r="L1665" s="94"/>
      <c r="M1665" s="94"/>
      <c r="N1665" s="95"/>
      <c r="O1665" s="95"/>
      <c r="P1665" s="95"/>
      <c r="Q1665" s="95"/>
      <c r="R1665" s="95"/>
      <c r="S1665" s="95"/>
      <c r="T1665" s="95"/>
      <c r="U1665" s="95"/>
      <c r="V1665" s="96"/>
      <c r="W1665" s="96"/>
      <c r="X1665" s="97"/>
      <c r="Y1665" s="97"/>
      <c r="Z1665" s="97"/>
      <c r="AA1665" s="4"/>
      <c r="AB1665" s="5"/>
    </row>
    <row r="1666" spans="1:28" x14ac:dyDescent="0.2">
      <c r="A1666" s="4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91"/>
      <c r="O1666" s="91"/>
      <c r="P1666" s="91"/>
      <c r="Q1666" s="91"/>
      <c r="R1666" s="91"/>
      <c r="S1666" s="91"/>
      <c r="T1666" s="91"/>
      <c r="U1666" s="91"/>
      <c r="V1666" s="92"/>
      <c r="W1666" s="92"/>
      <c r="X1666" s="93"/>
      <c r="Y1666" s="93"/>
      <c r="Z1666" s="93"/>
      <c r="AA1666" s="4"/>
      <c r="AB1666" s="5"/>
    </row>
    <row r="1667" spans="1:28" x14ac:dyDescent="0.2">
      <c r="A1667" s="4"/>
      <c r="B1667" s="94"/>
      <c r="C1667" s="94"/>
      <c r="D1667" s="94"/>
      <c r="E1667" s="94"/>
      <c r="F1667" s="94"/>
      <c r="G1667" s="94"/>
      <c r="H1667" s="94"/>
      <c r="I1667" s="94"/>
      <c r="J1667" s="94"/>
      <c r="K1667" s="94"/>
      <c r="L1667" s="94"/>
      <c r="M1667" s="94"/>
      <c r="N1667" s="95"/>
      <c r="O1667" s="95"/>
      <c r="P1667" s="95"/>
      <c r="Q1667" s="95"/>
      <c r="R1667" s="95"/>
      <c r="S1667" s="95"/>
      <c r="T1667" s="95"/>
      <c r="U1667" s="95"/>
      <c r="V1667" s="96"/>
      <c r="W1667" s="96"/>
      <c r="X1667" s="97"/>
      <c r="Y1667" s="97"/>
      <c r="Z1667" s="97"/>
      <c r="AA1667" s="4"/>
      <c r="AB1667" s="5"/>
    </row>
    <row r="1668" spans="1:28" x14ac:dyDescent="0.2">
      <c r="A1668" s="4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91"/>
      <c r="O1668" s="91"/>
      <c r="P1668" s="91"/>
      <c r="Q1668" s="91"/>
      <c r="R1668" s="91"/>
      <c r="S1668" s="91"/>
      <c r="T1668" s="91"/>
      <c r="U1668" s="91"/>
      <c r="V1668" s="92"/>
      <c r="W1668" s="92"/>
      <c r="X1668" s="93"/>
      <c r="Y1668" s="93"/>
      <c r="Z1668" s="93"/>
      <c r="AA1668" s="4"/>
      <c r="AB1668" s="5"/>
    </row>
    <row r="1669" spans="1:28" x14ac:dyDescent="0.2">
      <c r="A1669" s="4"/>
      <c r="B1669" s="94"/>
      <c r="C1669" s="94"/>
      <c r="D1669" s="94"/>
      <c r="E1669" s="94"/>
      <c r="F1669" s="94"/>
      <c r="G1669" s="94"/>
      <c r="H1669" s="94"/>
      <c r="I1669" s="94"/>
      <c r="J1669" s="94"/>
      <c r="K1669" s="94"/>
      <c r="L1669" s="94"/>
      <c r="M1669" s="94"/>
      <c r="N1669" s="95"/>
      <c r="O1669" s="95"/>
      <c r="P1669" s="95"/>
      <c r="Q1669" s="95"/>
      <c r="R1669" s="95"/>
      <c r="S1669" s="95"/>
      <c r="T1669" s="95"/>
      <c r="U1669" s="95"/>
      <c r="V1669" s="96"/>
      <c r="W1669" s="96"/>
      <c r="X1669" s="97"/>
      <c r="Y1669" s="97"/>
      <c r="Z1669" s="97"/>
      <c r="AA1669" s="4"/>
      <c r="AB1669" s="5"/>
    </row>
    <row r="1670" spans="1:28" x14ac:dyDescent="0.2">
      <c r="A1670" s="4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91"/>
      <c r="O1670" s="91"/>
      <c r="P1670" s="91"/>
      <c r="Q1670" s="91"/>
      <c r="R1670" s="91"/>
      <c r="S1670" s="91"/>
      <c r="T1670" s="91"/>
      <c r="U1670" s="91"/>
      <c r="V1670" s="92"/>
      <c r="W1670" s="92"/>
      <c r="X1670" s="93"/>
      <c r="Y1670" s="93"/>
      <c r="Z1670" s="93"/>
      <c r="AA1670" s="4"/>
      <c r="AB1670" s="5"/>
    </row>
    <row r="1671" spans="1:28" x14ac:dyDescent="0.2">
      <c r="A1671" s="4"/>
      <c r="B1671" s="94"/>
      <c r="C1671" s="94"/>
      <c r="D1671" s="94"/>
      <c r="E1671" s="94"/>
      <c r="F1671" s="94"/>
      <c r="G1671" s="94"/>
      <c r="H1671" s="94"/>
      <c r="I1671" s="94"/>
      <c r="J1671" s="94"/>
      <c r="K1671" s="94"/>
      <c r="L1671" s="94"/>
      <c r="M1671" s="94"/>
      <c r="N1671" s="95"/>
      <c r="O1671" s="95"/>
      <c r="P1671" s="95"/>
      <c r="Q1671" s="95"/>
      <c r="R1671" s="95"/>
      <c r="S1671" s="95"/>
      <c r="T1671" s="95"/>
      <c r="U1671" s="95"/>
      <c r="V1671" s="96"/>
      <c r="W1671" s="96"/>
      <c r="X1671" s="97"/>
      <c r="Y1671" s="97"/>
      <c r="Z1671" s="97"/>
      <c r="AA1671" s="4"/>
      <c r="AB1671" s="5"/>
    </row>
    <row r="1672" spans="1:28" x14ac:dyDescent="0.2">
      <c r="A1672" s="4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91"/>
      <c r="O1672" s="91"/>
      <c r="P1672" s="91"/>
      <c r="Q1672" s="91"/>
      <c r="R1672" s="91"/>
      <c r="S1672" s="91"/>
      <c r="T1672" s="91"/>
      <c r="U1672" s="91"/>
      <c r="V1672" s="92"/>
      <c r="W1672" s="92"/>
      <c r="X1672" s="93"/>
      <c r="Y1672" s="93"/>
      <c r="Z1672" s="93"/>
      <c r="AA1672" s="4"/>
      <c r="AB1672" s="5"/>
    </row>
    <row r="1673" spans="1:28" x14ac:dyDescent="0.2">
      <c r="A1673" s="4"/>
      <c r="B1673" s="94"/>
      <c r="C1673" s="94"/>
      <c r="D1673" s="94"/>
      <c r="E1673" s="94"/>
      <c r="F1673" s="94"/>
      <c r="G1673" s="94"/>
      <c r="H1673" s="94"/>
      <c r="I1673" s="94"/>
      <c r="J1673" s="94"/>
      <c r="K1673" s="94"/>
      <c r="L1673" s="94"/>
      <c r="M1673" s="94"/>
      <c r="N1673" s="95"/>
      <c r="O1673" s="95"/>
      <c r="P1673" s="95"/>
      <c r="Q1673" s="95"/>
      <c r="R1673" s="95"/>
      <c r="S1673" s="95"/>
      <c r="T1673" s="95"/>
      <c r="U1673" s="95"/>
      <c r="V1673" s="96"/>
      <c r="W1673" s="96"/>
      <c r="X1673" s="97"/>
      <c r="Y1673" s="97"/>
      <c r="Z1673" s="97"/>
      <c r="AA1673" s="4"/>
      <c r="AB1673" s="5"/>
    </row>
    <row r="1674" spans="1:28" x14ac:dyDescent="0.2">
      <c r="A1674" s="4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91"/>
      <c r="O1674" s="91"/>
      <c r="P1674" s="91"/>
      <c r="Q1674" s="91"/>
      <c r="R1674" s="91"/>
      <c r="S1674" s="91"/>
      <c r="T1674" s="91"/>
      <c r="U1674" s="91"/>
      <c r="V1674" s="92"/>
      <c r="W1674" s="92"/>
      <c r="X1674" s="93"/>
      <c r="Y1674" s="93"/>
      <c r="Z1674" s="93"/>
      <c r="AA1674" s="4"/>
      <c r="AB1674" s="5"/>
    </row>
    <row r="1675" spans="1:28" x14ac:dyDescent="0.2">
      <c r="A1675" s="4"/>
      <c r="B1675" s="94"/>
      <c r="C1675" s="94"/>
      <c r="D1675" s="94"/>
      <c r="E1675" s="94"/>
      <c r="F1675" s="94"/>
      <c r="G1675" s="94"/>
      <c r="H1675" s="94"/>
      <c r="I1675" s="94"/>
      <c r="J1675" s="94"/>
      <c r="K1675" s="94"/>
      <c r="L1675" s="94"/>
      <c r="M1675" s="94"/>
      <c r="N1675" s="95"/>
      <c r="O1675" s="95"/>
      <c r="P1675" s="95"/>
      <c r="Q1675" s="95"/>
      <c r="R1675" s="95"/>
      <c r="S1675" s="95"/>
      <c r="T1675" s="95"/>
      <c r="U1675" s="95"/>
      <c r="V1675" s="96"/>
      <c r="W1675" s="96"/>
      <c r="X1675" s="97"/>
      <c r="Y1675" s="97"/>
      <c r="Z1675" s="97"/>
      <c r="AA1675" s="4"/>
      <c r="AB1675" s="5"/>
    </row>
    <row r="1676" spans="1:28" x14ac:dyDescent="0.2">
      <c r="A1676" s="4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91"/>
      <c r="O1676" s="91"/>
      <c r="P1676" s="91"/>
      <c r="Q1676" s="91"/>
      <c r="R1676" s="91"/>
      <c r="S1676" s="91"/>
      <c r="T1676" s="91"/>
      <c r="U1676" s="91"/>
      <c r="V1676" s="92"/>
      <c r="W1676" s="92"/>
      <c r="X1676" s="93"/>
      <c r="Y1676" s="93"/>
      <c r="Z1676" s="93"/>
      <c r="AA1676" s="4"/>
      <c r="AB1676" s="5"/>
    </row>
    <row r="1677" spans="1:28" x14ac:dyDescent="0.2">
      <c r="A1677" s="4"/>
      <c r="B1677" s="94"/>
      <c r="C1677" s="94"/>
      <c r="D1677" s="94"/>
      <c r="E1677" s="94"/>
      <c r="F1677" s="94"/>
      <c r="G1677" s="94"/>
      <c r="H1677" s="94"/>
      <c r="I1677" s="94"/>
      <c r="J1677" s="94"/>
      <c r="K1677" s="94"/>
      <c r="L1677" s="94"/>
      <c r="M1677" s="94"/>
      <c r="N1677" s="95"/>
      <c r="O1677" s="95"/>
      <c r="P1677" s="95"/>
      <c r="Q1677" s="95"/>
      <c r="R1677" s="95"/>
      <c r="S1677" s="95"/>
      <c r="T1677" s="95"/>
      <c r="U1677" s="95"/>
      <c r="V1677" s="96"/>
      <c r="W1677" s="96"/>
      <c r="X1677" s="97"/>
      <c r="Y1677" s="97"/>
      <c r="Z1677" s="97"/>
      <c r="AA1677" s="4"/>
      <c r="AB1677" s="5"/>
    </row>
    <row r="1678" spans="1:28" x14ac:dyDescent="0.2">
      <c r="A1678" s="4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91"/>
      <c r="O1678" s="91"/>
      <c r="P1678" s="91"/>
      <c r="Q1678" s="91"/>
      <c r="R1678" s="91"/>
      <c r="S1678" s="91"/>
      <c r="T1678" s="91"/>
      <c r="U1678" s="91"/>
      <c r="V1678" s="92"/>
      <c r="W1678" s="92"/>
      <c r="X1678" s="93"/>
      <c r="Y1678" s="93"/>
      <c r="Z1678" s="93"/>
      <c r="AA1678" s="4"/>
      <c r="AB1678" s="5"/>
    </row>
    <row r="1679" spans="1:28" x14ac:dyDescent="0.2">
      <c r="A1679" s="4"/>
      <c r="B1679" s="94"/>
      <c r="C1679" s="94"/>
      <c r="D1679" s="94"/>
      <c r="E1679" s="94"/>
      <c r="F1679" s="94"/>
      <c r="G1679" s="94"/>
      <c r="H1679" s="94"/>
      <c r="I1679" s="94"/>
      <c r="J1679" s="94"/>
      <c r="K1679" s="94"/>
      <c r="L1679" s="94"/>
      <c r="M1679" s="94"/>
      <c r="N1679" s="95"/>
      <c r="O1679" s="95"/>
      <c r="P1679" s="95"/>
      <c r="Q1679" s="95"/>
      <c r="R1679" s="95"/>
      <c r="S1679" s="95"/>
      <c r="T1679" s="95"/>
      <c r="U1679" s="95"/>
      <c r="V1679" s="96"/>
      <c r="W1679" s="96"/>
      <c r="X1679" s="97"/>
      <c r="Y1679" s="97"/>
      <c r="Z1679" s="97"/>
      <c r="AA1679" s="4"/>
      <c r="AB1679" s="5"/>
    </row>
    <row r="1680" spans="1:28" x14ac:dyDescent="0.2">
      <c r="A1680" s="4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91"/>
      <c r="O1680" s="91"/>
      <c r="P1680" s="91"/>
      <c r="Q1680" s="91"/>
      <c r="R1680" s="91"/>
      <c r="S1680" s="91"/>
      <c r="T1680" s="91"/>
      <c r="U1680" s="91"/>
      <c r="V1680" s="92"/>
      <c r="W1680" s="92"/>
      <c r="X1680" s="93"/>
      <c r="Y1680" s="93"/>
      <c r="Z1680" s="93"/>
      <c r="AA1680" s="4"/>
      <c r="AB1680" s="5"/>
    </row>
    <row r="1681" spans="1:28" x14ac:dyDescent="0.2">
      <c r="A1681" s="4"/>
      <c r="B1681" s="94"/>
      <c r="C1681" s="94"/>
      <c r="D1681" s="94"/>
      <c r="E1681" s="94"/>
      <c r="F1681" s="94"/>
      <c r="G1681" s="94"/>
      <c r="H1681" s="94"/>
      <c r="I1681" s="94"/>
      <c r="J1681" s="94"/>
      <c r="K1681" s="94"/>
      <c r="L1681" s="94"/>
      <c r="M1681" s="94"/>
      <c r="N1681" s="95"/>
      <c r="O1681" s="95"/>
      <c r="P1681" s="95"/>
      <c r="Q1681" s="95"/>
      <c r="R1681" s="95"/>
      <c r="S1681" s="95"/>
      <c r="T1681" s="95"/>
      <c r="U1681" s="95"/>
      <c r="V1681" s="96"/>
      <c r="W1681" s="96"/>
      <c r="X1681" s="97"/>
      <c r="Y1681" s="97"/>
      <c r="Z1681" s="97"/>
      <c r="AA1681" s="4"/>
      <c r="AB1681" s="5"/>
    </row>
    <row r="1682" spans="1:28" x14ac:dyDescent="0.2">
      <c r="A1682" s="4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91"/>
      <c r="O1682" s="91"/>
      <c r="P1682" s="91"/>
      <c r="Q1682" s="91"/>
      <c r="R1682" s="91"/>
      <c r="S1682" s="91"/>
      <c r="T1682" s="91"/>
      <c r="U1682" s="91"/>
      <c r="V1682" s="92"/>
      <c r="W1682" s="92"/>
      <c r="X1682" s="93"/>
      <c r="Y1682" s="93"/>
      <c r="Z1682" s="93"/>
      <c r="AA1682" s="4"/>
      <c r="AB1682" s="5"/>
    </row>
    <row r="1683" spans="1:28" x14ac:dyDescent="0.2">
      <c r="A1683" s="4"/>
      <c r="B1683" s="94"/>
      <c r="C1683" s="94"/>
      <c r="D1683" s="94"/>
      <c r="E1683" s="94"/>
      <c r="F1683" s="94"/>
      <c r="G1683" s="94"/>
      <c r="H1683" s="94"/>
      <c r="I1683" s="94"/>
      <c r="J1683" s="94"/>
      <c r="K1683" s="94"/>
      <c r="L1683" s="94"/>
      <c r="M1683" s="94"/>
      <c r="N1683" s="95"/>
      <c r="O1683" s="95"/>
      <c r="P1683" s="95"/>
      <c r="Q1683" s="95"/>
      <c r="R1683" s="95"/>
      <c r="S1683" s="95"/>
      <c r="T1683" s="95"/>
      <c r="U1683" s="95"/>
      <c r="V1683" s="96"/>
      <c r="W1683" s="96"/>
      <c r="X1683" s="97"/>
      <c r="Y1683" s="97"/>
      <c r="Z1683" s="97"/>
      <c r="AA1683" s="4"/>
      <c r="AB1683" s="5"/>
    </row>
    <row r="1684" spans="1:28" x14ac:dyDescent="0.2">
      <c r="A1684" s="4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91"/>
      <c r="O1684" s="91"/>
      <c r="P1684" s="91"/>
      <c r="Q1684" s="91"/>
      <c r="R1684" s="91"/>
      <c r="S1684" s="91"/>
      <c r="T1684" s="91"/>
      <c r="U1684" s="91"/>
      <c r="V1684" s="92"/>
      <c r="W1684" s="92"/>
      <c r="X1684" s="93"/>
      <c r="Y1684" s="93"/>
      <c r="Z1684" s="93"/>
      <c r="AA1684" s="4"/>
      <c r="AB1684" s="5"/>
    </row>
    <row r="1685" spans="1:28" x14ac:dyDescent="0.2">
      <c r="A1685" s="4"/>
      <c r="B1685" s="94"/>
      <c r="C1685" s="94"/>
      <c r="D1685" s="94"/>
      <c r="E1685" s="94"/>
      <c r="F1685" s="94"/>
      <c r="G1685" s="94"/>
      <c r="H1685" s="94"/>
      <c r="I1685" s="94"/>
      <c r="J1685" s="94"/>
      <c r="K1685" s="94"/>
      <c r="L1685" s="94"/>
      <c r="M1685" s="94"/>
      <c r="N1685" s="95"/>
      <c r="O1685" s="95"/>
      <c r="P1685" s="95"/>
      <c r="Q1685" s="95"/>
      <c r="R1685" s="95"/>
      <c r="S1685" s="95"/>
      <c r="T1685" s="95"/>
      <c r="U1685" s="95"/>
      <c r="V1685" s="96"/>
      <c r="W1685" s="96"/>
      <c r="X1685" s="97"/>
      <c r="Y1685" s="97"/>
      <c r="Z1685" s="97"/>
      <c r="AA1685" s="4"/>
      <c r="AB1685" s="5"/>
    </row>
    <row r="1686" spans="1:28" x14ac:dyDescent="0.2">
      <c r="A1686" s="4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91"/>
      <c r="O1686" s="91"/>
      <c r="P1686" s="91"/>
      <c r="Q1686" s="91"/>
      <c r="R1686" s="91"/>
      <c r="S1686" s="91"/>
      <c r="T1686" s="91"/>
      <c r="U1686" s="91"/>
      <c r="V1686" s="92"/>
      <c r="W1686" s="92"/>
      <c r="X1686" s="93"/>
      <c r="Y1686" s="93"/>
      <c r="Z1686" s="93"/>
      <c r="AA1686" s="4"/>
      <c r="AB1686" s="5"/>
    </row>
    <row r="1687" spans="1:28" x14ac:dyDescent="0.2">
      <c r="A1687" s="4"/>
      <c r="B1687" s="94"/>
      <c r="C1687" s="94"/>
      <c r="D1687" s="94"/>
      <c r="E1687" s="94"/>
      <c r="F1687" s="94"/>
      <c r="G1687" s="94"/>
      <c r="H1687" s="94"/>
      <c r="I1687" s="94"/>
      <c r="J1687" s="94"/>
      <c r="K1687" s="94"/>
      <c r="L1687" s="94"/>
      <c r="M1687" s="94"/>
      <c r="N1687" s="95"/>
      <c r="O1687" s="95"/>
      <c r="P1687" s="95"/>
      <c r="Q1687" s="95"/>
      <c r="R1687" s="95"/>
      <c r="S1687" s="95"/>
      <c r="T1687" s="95"/>
      <c r="U1687" s="95"/>
      <c r="V1687" s="96"/>
      <c r="W1687" s="96"/>
      <c r="X1687" s="97"/>
      <c r="Y1687" s="97"/>
      <c r="Z1687" s="97"/>
      <c r="AA1687" s="4"/>
      <c r="AB1687" s="5"/>
    </row>
    <row r="1688" spans="1:28" x14ac:dyDescent="0.2">
      <c r="A1688" s="4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91"/>
      <c r="O1688" s="91"/>
      <c r="P1688" s="91"/>
      <c r="Q1688" s="91"/>
      <c r="R1688" s="91"/>
      <c r="S1688" s="91"/>
      <c r="T1688" s="91"/>
      <c r="U1688" s="91"/>
      <c r="V1688" s="92"/>
      <c r="W1688" s="92"/>
      <c r="X1688" s="93"/>
      <c r="Y1688" s="93"/>
      <c r="Z1688" s="93"/>
      <c r="AA1688" s="4"/>
      <c r="AB1688" s="5"/>
    </row>
    <row r="1689" spans="1:28" x14ac:dyDescent="0.2">
      <c r="A1689" s="4"/>
      <c r="B1689" s="94"/>
      <c r="C1689" s="94"/>
      <c r="D1689" s="94"/>
      <c r="E1689" s="94"/>
      <c r="F1689" s="94"/>
      <c r="G1689" s="94"/>
      <c r="H1689" s="94"/>
      <c r="I1689" s="94"/>
      <c r="J1689" s="94"/>
      <c r="K1689" s="94"/>
      <c r="L1689" s="94"/>
      <c r="M1689" s="94"/>
      <c r="N1689" s="95"/>
      <c r="O1689" s="95"/>
      <c r="P1689" s="95"/>
      <c r="Q1689" s="95"/>
      <c r="R1689" s="95"/>
      <c r="S1689" s="95"/>
      <c r="T1689" s="95"/>
      <c r="U1689" s="95"/>
      <c r="V1689" s="96"/>
      <c r="W1689" s="96"/>
      <c r="X1689" s="97"/>
      <c r="Y1689" s="97"/>
      <c r="Z1689" s="97"/>
      <c r="AA1689" s="4"/>
      <c r="AB1689" s="5"/>
    </row>
    <row r="1690" spans="1:28" x14ac:dyDescent="0.2">
      <c r="A1690" s="4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91"/>
      <c r="O1690" s="91"/>
      <c r="P1690" s="91"/>
      <c r="Q1690" s="91"/>
      <c r="R1690" s="91"/>
      <c r="S1690" s="91"/>
      <c r="T1690" s="91"/>
      <c r="U1690" s="91"/>
      <c r="V1690" s="92"/>
      <c r="W1690" s="92"/>
      <c r="X1690" s="93"/>
      <c r="Y1690" s="93"/>
      <c r="Z1690" s="93"/>
      <c r="AA1690" s="4"/>
      <c r="AB1690" s="5"/>
    </row>
    <row r="1691" spans="1:28" x14ac:dyDescent="0.2">
      <c r="A1691" s="4"/>
      <c r="B1691" s="94"/>
      <c r="C1691" s="94"/>
      <c r="D1691" s="94"/>
      <c r="E1691" s="94"/>
      <c r="F1691" s="94"/>
      <c r="G1691" s="94"/>
      <c r="H1691" s="94"/>
      <c r="I1691" s="94"/>
      <c r="J1691" s="94"/>
      <c r="K1691" s="94"/>
      <c r="L1691" s="94"/>
      <c r="M1691" s="94"/>
      <c r="N1691" s="95"/>
      <c r="O1691" s="95"/>
      <c r="P1691" s="95"/>
      <c r="Q1691" s="95"/>
      <c r="R1691" s="95"/>
      <c r="S1691" s="95"/>
      <c r="T1691" s="95"/>
      <c r="U1691" s="95"/>
      <c r="V1691" s="96"/>
      <c r="W1691" s="96"/>
      <c r="X1691" s="97"/>
      <c r="Y1691" s="97"/>
      <c r="Z1691" s="97"/>
      <c r="AA1691" s="4"/>
      <c r="AB1691" s="5"/>
    </row>
    <row r="1692" spans="1:28" x14ac:dyDescent="0.2">
      <c r="A1692" s="4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91"/>
      <c r="O1692" s="91"/>
      <c r="P1692" s="91"/>
      <c r="Q1692" s="91"/>
      <c r="R1692" s="91"/>
      <c r="S1692" s="91"/>
      <c r="T1692" s="91"/>
      <c r="U1692" s="91"/>
      <c r="V1692" s="92"/>
      <c r="W1692" s="92"/>
      <c r="X1692" s="93"/>
      <c r="Y1692" s="93"/>
      <c r="Z1692" s="93"/>
      <c r="AA1692" s="4"/>
      <c r="AB1692" s="5"/>
    </row>
    <row r="1693" spans="1:28" x14ac:dyDescent="0.2">
      <c r="A1693" s="4"/>
      <c r="B1693" s="94"/>
      <c r="C1693" s="94"/>
      <c r="D1693" s="94"/>
      <c r="E1693" s="94"/>
      <c r="F1693" s="94"/>
      <c r="G1693" s="94"/>
      <c r="H1693" s="94"/>
      <c r="I1693" s="94"/>
      <c r="J1693" s="94"/>
      <c r="K1693" s="94"/>
      <c r="L1693" s="94"/>
      <c r="M1693" s="94"/>
      <c r="N1693" s="95"/>
      <c r="O1693" s="95"/>
      <c r="P1693" s="95"/>
      <c r="Q1693" s="95"/>
      <c r="R1693" s="95"/>
      <c r="S1693" s="95"/>
      <c r="T1693" s="95"/>
      <c r="U1693" s="95"/>
      <c r="V1693" s="96"/>
      <c r="W1693" s="96"/>
      <c r="X1693" s="97"/>
      <c r="Y1693" s="97"/>
      <c r="Z1693" s="97"/>
      <c r="AA1693" s="4"/>
      <c r="AB1693" s="5"/>
    </row>
    <row r="1694" spans="1:28" x14ac:dyDescent="0.2">
      <c r="A1694" s="4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91"/>
      <c r="O1694" s="91"/>
      <c r="P1694" s="91"/>
      <c r="Q1694" s="91"/>
      <c r="R1694" s="91"/>
      <c r="S1694" s="91"/>
      <c r="T1694" s="91"/>
      <c r="U1694" s="91"/>
      <c r="V1694" s="92"/>
      <c r="W1694" s="92"/>
      <c r="X1694" s="93"/>
      <c r="Y1694" s="93"/>
      <c r="Z1694" s="93"/>
      <c r="AA1694" s="4"/>
      <c r="AB1694" s="5"/>
    </row>
    <row r="1695" spans="1:28" x14ac:dyDescent="0.2">
      <c r="A1695" s="4"/>
      <c r="B1695" s="94"/>
      <c r="C1695" s="94"/>
      <c r="D1695" s="94"/>
      <c r="E1695" s="94"/>
      <c r="F1695" s="94"/>
      <c r="G1695" s="94"/>
      <c r="H1695" s="94"/>
      <c r="I1695" s="94"/>
      <c r="J1695" s="94"/>
      <c r="K1695" s="94"/>
      <c r="L1695" s="94"/>
      <c r="M1695" s="94"/>
      <c r="N1695" s="95"/>
      <c r="O1695" s="95"/>
      <c r="P1695" s="95"/>
      <c r="Q1695" s="95"/>
      <c r="R1695" s="95"/>
      <c r="S1695" s="95"/>
      <c r="T1695" s="95"/>
      <c r="U1695" s="95"/>
      <c r="V1695" s="96"/>
      <c r="W1695" s="96"/>
      <c r="X1695" s="97"/>
      <c r="Y1695" s="97"/>
      <c r="Z1695" s="97"/>
      <c r="AA1695" s="4"/>
      <c r="AB1695" s="5"/>
    </row>
    <row r="1696" spans="1:28" x14ac:dyDescent="0.2">
      <c r="A1696" s="4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91"/>
      <c r="O1696" s="91"/>
      <c r="P1696" s="91"/>
      <c r="Q1696" s="91"/>
      <c r="R1696" s="91"/>
      <c r="S1696" s="91"/>
      <c r="T1696" s="91"/>
      <c r="U1696" s="91"/>
      <c r="V1696" s="92"/>
      <c r="W1696" s="92"/>
      <c r="X1696" s="93"/>
      <c r="Y1696" s="93"/>
      <c r="Z1696" s="93"/>
      <c r="AA1696" s="4"/>
      <c r="AB1696" s="5"/>
    </row>
    <row r="1697" spans="1:28" x14ac:dyDescent="0.2">
      <c r="A1697" s="4"/>
      <c r="B1697" s="94"/>
      <c r="C1697" s="94"/>
      <c r="D1697" s="94"/>
      <c r="E1697" s="94"/>
      <c r="F1697" s="94"/>
      <c r="G1697" s="94"/>
      <c r="H1697" s="94"/>
      <c r="I1697" s="94"/>
      <c r="J1697" s="94"/>
      <c r="K1697" s="94"/>
      <c r="L1697" s="94"/>
      <c r="M1697" s="94"/>
      <c r="N1697" s="95"/>
      <c r="O1697" s="95"/>
      <c r="P1697" s="95"/>
      <c r="Q1697" s="95"/>
      <c r="R1697" s="95"/>
      <c r="S1697" s="95"/>
      <c r="T1697" s="95"/>
      <c r="U1697" s="95"/>
      <c r="V1697" s="96"/>
      <c r="W1697" s="96"/>
      <c r="X1697" s="97"/>
      <c r="Y1697" s="97"/>
      <c r="Z1697" s="97"/>
      <c r="AA1697" s="4"/>
      <c r="AB1697" s="5"/>
    </row>
    <row r="1698" spans="1:28" x14ac:dyDescent="0.2">
      <c r="A1698" s="4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91"/>
      <c r="O1698" s="91"/>
      <c r="P1698" s="91"/>
      <c r="Q1698" s="91"/>
      <c r="R1698" s="91"/>
      <c r="S1698" s="91"/>
      <c r="T1698" s="91"/>
      <c r="U1698" s="91"/>
      <c r="V1698" s="92"/>
      <c r="W1698" s="92"/>
      <c r="X1698" s="93"/>
      <c r="Y1698" s="93"/>
      <c r="Z1698" s="93"/>
      <c r="AA1698" s="4"/>
      <c r="AB1698" s="5"/>
    </row>
    <row r="1699" spans="1:28" x14ac:dyDescent="0.2">
      <c r="A1699" s="4"/>
      <c r="B1699" s="94"/>
      <c r="C1699" s="94"/>
      <c r="D1699" s="94"/>
      <c r="E1699" s="94"/>
      <c r="F1699" s="94"/>
      <c r="G1699" s="94"/>
      <c r="H1699" s="94"/>
      <c r="I1699" s="94"/>
      <c r="J1699" s="94"/>
      <c r="K1699" s="94"/>
      <c r="L1699" s="94"/>
      <c r="M1699" s="94"/>
      <c r="N1699" s="95"/>
      <c r="O1699" s="95"/>
      <c r="P1699" s="95"/>
      <c r="Q1699" s="95"/>
      <c r="R1699" s="95"/>
      <c r="S1699" s="95"/>
      <c r="T1699" s="95"/>
      <c r="U1699" s="95"/>
      <c r="V1699" s="96"/>
      <c r="W1699" s="96"/>
      <c r="X1699" s="97"/>
      <c r="Y1699" s="97"/>
      <c r="Z1699" s="97"/>
      <c r="AA1699" s="4"/>
      <c r="AB1699" s="5"/>
    </row>
    <row r="1700" spans="1:28" x14ac:dyDescent="0.2">
      <c r="A1700" s="4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91"/>
      <c r="O1700" s="91"/>
      <c r="P1700" s="91"/>
      <c r="Q1700" s="91"/>
      <c r="R1700" s="91"/>
      <c r="S1700" s="91"/>
      <c r="T1700" s="91"/>
      <c r="U1700" s="91"/>
      <c r="V1700" s="92"/>
      <c r="W1700" s="92"/>
      <c r="X1700" s="93"/>
      <c r="Y1700" s="93"/>
      <c r="Z1700" s="93"/>
      <c r="AA1700" s="4"/>
      <c r="AB1700" s="5"/>
    </row>
    <row r="1701" spans="1:28" x14ac:dyDescent="0.2">
      <c r="A1701" s="4"/>
      <c r="B1701" s="94"/>
      <c r="C1701" s="94"/>
      <c r="D1701" s="94"/>
      <c r="E1701" s="94"/>
      <c r="F1701" s="94"/>
      <c r="G1701" s="94"/>
      <c r="H1701" s="94"/>
      <c r="I1701" s="94"/>
      <c r="J1701" s="94"/>
      <c r="K1701" s="94"/>
      <c r="L1701" s="94"/>
      <c r="M1701" s="94"/>
      <c r="N1701" s="95"/>
      <c r="O1701" s="95"/>
      <c r="P1701" s="95"/>
      <c r="Q1701" s="95"/>
      <c r="R1701" s="95"/>
      <c r="S1701" s="95"/>
      <c r="T1701" s="95"/>
      <c r="U1701" s="95"/>
      <c r="V1701" s="96"/>
      <c r="W1701" s="96"/>
      <c r="X1701" s="97"/>
      <c r="Y1701" s="97"/>
      <c r="Z1701" s="97"/>
      <c r="AA1701" s="4"/>
      <c r="AB1701" s="5"/>
    </row>
    <row r="1702" spans="1:28" x14ac:dyDescent="0.2">
      <c r="A1702" s="4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91"/>
      <c r="O1702" s="91"/>
      <c r="P1702" s="91"/>
      <c r="Q1702" s="91"/>
      <c r="R1702" s="91"/>
      <c r="S1702" s="91"/>
      <c r="T1702" s="91"/>
      <c r="U1702" s="91"/>
      <c r="V1702" s="92"/>
      <c r="W1702" s="92"/>
      <c r="X1702" s="93"/>
      <c r="Y1702" s="93"/>
      <c r="Z1702" s="93"/>
      <c r="AA1702" s="4"/>
      <c r="AB1702" s="5"/>
    </row>
    <row r="1703" spans="1:28" x14ac:dyDescent="0.2">
      <c r="A1703" s="4"/>
      <c r="B1703" s="94"/>
      <c r="C1703" s="94"/>
      <c r="D1703" s="94"/>
      <c r="E1703" s="94"/>
      <c r="F1703" s="94"/>
      <c r="G1703" s="94"/>
      <c r="H1703" s="94"/>
      <c r="I1703" s="94"/>
      <c r="J1703" s="94"/>
      <c r="K1703" s="94"/>
      <c r="L1703" s="94"/>
      <c r="M1703" s="94"/>
      <c r="N1703" s="95"/>
      <c r="O1703" s="95"/>
      <c r="P1703" s="95"/>
      <c r="Q1703" s="95"/>
      <c r="R1703" s="95"/>
      <c r="S1703" s="95"/>
      <c r="T1703" s="95"/>
      <c r="U1703" s="95"/>
      <c r="V1703" s="96"/>
      <c r="W1703" s="96"/>
      <c r="X1703" s="97"/>
      <c r="Y1703" s="97"/>
      <c r="Z1703" s="97"/>
      <c r="AA1703" s="4"/>
      <c r="AB1703" s="5"/>
    </row>
    <row r="1704" spans="1:28" x14ac:dyDescent="0.2">
      <c r="A1704" s="4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91"/>
      <c r="O1704" s="91"/>
      <c r="P1704" s="91"/>
      <c r="Q1704" s="91"/>
      <c r="R1704" s="91"/>
      <c r="S1704" s="91"/>
      <c r="T1704" s="91"/>
      <c r="U1704" s="91"/>
      <c r="V1704" s="92"/>
      <c r="W1704" s="92"/>
      <c r="X1704" s="93"/>
      <c r="Y1704" s="93"/>
      <c r="Z1704" s="93"/>
      <c r="AA1704" s="4"/>
      <c r="AB1704" s="5"/>
    </row>
    <row r="1705" spans="1:28" x14ac:dyDescent="0.2">
      <c r="A1705" s="4"/>
      <c r="B1705" s="94"/>
      <c r="C1705" s="94"/>
      <c r="D1705" s="94"/>
      <c r="E1705" s="94"/>
      <c r="F1705" s="94"/>
      <c r="G1705" s="94"/>
      <c r="H1705" s="94"/>
      <c r="I1705" s="94"/>
      <c r="J1705" s="94"/>
      <c r="K1705" s="94"/>
      <c r="L1705" s="94"/>
      <c r="M1705" s="94"/>
      <c r="N1705" s="95"/>
      <c r="O1705" s="95"/>
      <c r="P1705" s="95"/>
      <c r="Q1705" s="95"/>
      <c r="R1705" s="95"/>
      <c r="S1705" s="95"/>
      <c r="T1705" s="95"/>
      <c r="U1705" s="95"/>
      <c r="V1705" s="96"/>
      <c r="W1705" s="96"/>
      <c r="X1705" s="97"/>
      <c r="Y1705" s="97"/>
      <c r="Z1705" s="97"/>
      <c r="AA1705" s="4"/>
      <c r="AB1705" s="5"/>
    </row>
    <row r="1706" spans="1:28" x14ac:dyDescent="0.2">
      <c r="A1706" s="4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91"/>
      <c r="O1706" s="91"/>
      <c r="P1706" s="91"/>
      <c r="Q1706" s="91"/>
      <c r="R1706" s="91"/>
      <c r="S1706" s="91"/>
      <c r="T1706" s="91"/>
      <c r="U1706" s="91"/>
      <c r="V1706" s="92"/>
      <c r="W1706" s="92"/>
      <c r="X1706" s="93"/>
      <c r="Y1706" s="93"/>
      <c r="Z1706" s="93"/>
      <c r="AA1706" s="4"/>
      <c r="AB1706" s="5"/>
    </row>
    <row r="1707" spans="1:28" x14ac:dyDescent="0.2">
      <c r="A1707" s="4"/>
      <c r="B1707" s="94"/>
      <c r="C1707" s="94"/>
      <c r="D1707" s="94"/>
      <c r="E1707" s="94"/>
      <c r="F1707" s="94"/>
      <c r="G1707" s="94"/>
      <c r="H1707" s="94"/>
      <c r="I1707" s="94"/>
      <c r="J1707" s="94"/>
      <c r="K1707" s="94"/>
      <c r="L1707" s="94"/>
      <c r="M1707" s="94"/>
      <c r="N1707" s="95"/>
      <c r="O1707" s="95"/>
      <c r="P1707" s="95"/>
      <c r="Q1707" s="95"/>
      <c r="R1707" s="95"/>
      <c r="S1707" s="95"/>
      <c r="T1707" s="95"/>
      <c r="U1707" s="95"/>
      <c r="V1707" s="96"/>
      <c r="W1707" s="96"/>
      <c r="X1707" s="97"/>
      <c r="Y1707" s="97"/>
      <c r="Z1707" s="97"/>
      <c r="AA1707" s="4"/>
      <c r="AB1707" s="5"/>
    </row>
    <row r="1708" spans="1:28" x14ac:dyDescent="0.2">
      <c r="A1708" s="4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91"/>
      <c r="O1708" s="91"/>
      <c r="P1708" s="91"/>
      <c r="Q1708" s="91"/>
      <c r="R1708" s="91"/>
      <c r="S1708" s="91"/>
      <c r="T1708" s="91"/>
      <c r="U1708" s="91"/>
      <c r="V1708" s="92"/>
      <c r="W1708" s="92"/>
      <c r="X1708" s="93"/>
      <c r="Y1708" s="93"/>
      <c r="Z1708" s="93"/>
      <c r="AA1708" s="4"/>
      <c r="AB1708" s="5"/>
    </row>
    <row r="1709" spans="1:28" x14ac:dyDescent="0.2">
      <c r="A1709" s="4"/>
      <c r="B1709" s="94"/>
      <c r="C1709" s="94"/>
      <c r="D1709" s="94"/>
      <c r="E1709" s="94"/>
      <c r="F1709" s="94"/>
      <c r="G1709" s="94"/>
      <c r="H1709" s="94"/>
      <c r="I1709" s="94"/>
      <c r="J1709" s="94"/>
      <c r="K1709" s="94"/>
      <c r="L1709" s="94"/>
      <c r="M1709" s="94"/>
      <c r="N1709" s="95"/>
      <c r="O1709" s="95"/>
      <c r="P1709" s="95"/>
      <c r="Q1709" s="95"/>
      <c r="R1709" s="95"/>
      <c r="S1709" s="95"/>
      <c r="T1709" s="95"/>
      <c r="U1709" s="95"/>
      <c r="V1709" s="96"/>
      <c r="W1709" s="96"/>
      <c r="X1709" s="97"/>
      <c r="Y1709" s="97"/>
      <c r="Z1709" s="97"/>
      <c r="AA1709" s="4"/>
      <c r="AB1709" s="5"/>
    </row>
    <row r="1710" spans="1:28" x14ac:dyDescent="0.2">
      <c r="A1710" s="4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91"/>
      <c r="O1710" s="91"/>
      <c r="P1710" s="91"/>
      <c r="Q1710" s="91"/>
      <c r="R1710" s="91"/>
      <c r="S1710" s="91"/>
      <c r="T1710" s="91"/>
      <c r="U1710" s="91"/>
      <c r="V1710" s="92"/>
      <c r="W1710" s="92"/>
      <c r="X1710" s="93"/>
      <c r="Y1710" s="93"/>
      <c r="Z1710" s="93"/>
      <c r="AA1710" s="4"/>
      <c r="AB1710" s="5"/>
    </row>
    <row r="1711" spans="1:28" x14ac:dyDescent="0.2">
      <c r="A1711" s="4"/>
      <c r="B1711" s="94"/>
      <c r="C1711" s="94"/>
      <c r="D1711" s="94"/>
      <c r="E1711" s="94"/>
      <c r="F1711" s="94"/>
      <c r="G1711" s="94"/>
      <c r="H1711" s="94"/>
      <c r="I1711" s="94"/>
      <c r="J1711" s="94"/>
      <c r="K1711" s="94"/>
      <c r="L1711" s="94"/>
      <c r="M1711" s="94"/>
      <c r="N1711" s="95"/>
      <c r="O1711" s="95"/>
      <c r="P1711" s="95"/>
      <c r="Q1711" s="95"/>
      <c r="R1711" s="95"/>
      <c r="S1711" s="95"/>
      <c r="T1711" s="95"/>
      <c r="U1711" s="95"/>
      <c r="V1711" s="96"/>
      <c r="W1711" s="96"/>
      <c r="X1711" s="97"/>
      <c r="Y1711" s="97"/>
      <c r="Z1711" s="97"/>
      <c r="AA1711" s="4"/>
      <c r="AB1711" s="5"/>
    </row>
    <row r="1712" spans="1:28" x14ac:dyDescent="0.2">
      <c r="A1712" s="4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91"/>
      <c r="O1712" s="91"/>
      <c r="P1712" s="91"/>
      <c r="Q1712" s="91"/>
      <c r="R1712" s="91"/>
      <c r="S1712" s="91"/>
      <c r="T1712" s="91"/>
      <c r="U1712" s="91"/>
      <c r="V1712" s="92"/>
      <c r="W1712" s="92"/>
      <c r="X1712" s="93"/>
      <c r="Y1712" s="93"/>
      <c r="Z1712" s="93"/>
      <c r="AA1712" s="4"/>
      <c r="AB1712" s="5"/>
    </row>
    <row r="1713" spans="1:28" x14ac:dyDescent="0.2">
      <c r="A1713" s="4"/>
      <c r="B1713" s="94"/>
      <c r="C1713" s="94"/>
      <c r="D1713" s="94"/>
      <c r="E1713" s="94"/>
      <c r="F1713" s="94"/>
      <c r="G1713" s="94"/>
      <c r="H1713" s="94"/>
      <c r="I1713" s="94"/>
      <c r="J1713" s="94"/>
      <c r="K1713" s="94"/>
      <c r="L1713" s="94"/>
      <c r="M1713" s="94"/>
      <c r="N1713" s="95"/>
      <c r="O1713" s="95"/>
      <c r="P1713" s="95"/>
      <c r="Q1713" s="95"/>
      <c r="R1713" s="95"/>
      <c r="S1713" s="95"/>
      <c r="T1713" s="95"/>
      <c r="U1713" s="95"/>
      <c r="V1713" s="96"/>
      <c r="W1713" s="96"/>
      <c r="X1713" s="97"/>
      <c r="Y1713" s="97"/>
      <c r="Z1713" s="97"/>
      <c r="AA1713" s="4"/>
      <c r="AB1713" s="5"/>
    </row>
    <row r="1714" spans="1:28" x14ac:dyDescent="0.2">
      <c r="A1714" s="4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91"/>
      <c r="O1714" s="91"/>
      <c r="P1714" s="91"/>
      <c r="Q1714" s="91"/>
      <c r="R1714" s="91"/>
      <c r="S1714" s="91"/>
      <c r="T1714" s="91"/>
      <c r="U1714" s="91"/>
      <c r="V1714" s="92"/>
      <c r="W1714" s="92"/>
      <c r="X1714" s="93"/>
      <c r="Y1714" s="93"/>
      <c r="Z1714" s="93"/>
      <c r="AA1714" s="4"/>
      <c r="AB1714" s="5"/>
    </row>
    <row r="1715" spans="1:28" x14ac:dyDescent="0.2">
      <c r="A1715" s="4"/>
      <c r="B1715" s="94"/>
      <c r="C1715" s="94"/>
      <c r="D1715" s="94"/>
      <c r="E1715" s="94"/>
      <c r="F1715" s="94"/>
      <c r="G1715" s="94"/>
      <c r="H1715" s="94"/>
      <c r="I1715" s="94"/>
      <c r="J1715" s="94"/>
      <c r="K1715" s="94"/>
      <c r="L1715" s="94"/>
      <c r="M1715" s="94"/>
      <c r="N1715" s="95"/>
      <c r="O1715" s="95"/>
      <c r="P1715" s="95"/>
      <c r="Q1715" s="95"/>
      <c r="R1715" s="95"/>
      <c r="S1715" s="95"/>
      <c r="T1715" s="95"/>
      <c r="U1715" s="95"/>
      <c r="V1715" s="96"/>
      <c r="W1715" s="96"/>
      <c r="X1715" s="97"/>
      <c r="Y1715" s="97"/>
      <c r="Z1715" s="97"/>
      <c r="AA1715" s="4"/>
      <c r="AB1715" s="5"/>
    </row>
    <row r="1716" spans="1:28" x14ac:dyDescent="0.2">
      <c r="A1716" s="4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91"/>
      <c r="O1716" s="91"/>
      <c r="P1716" s="91"/>
      <c r="Q1716" s="91"/>
      <c r="R1716" s="91"/>
      <c r="S1716" s="91"/>
      <c r="T1716" s="91"/>
      <c r="U1716" s="91"/>
      <c r="V1716" s="92"/>
      <c r="W1716" s="92"/>
      <c r="X1716" s="93"/>
      <c r="Y1716" s="93"/>
      <c r="Z1716" s="93"/>
      <c r="AA1716" s="4"/>
      <c r="AB1716" s="5"/>
    </row>
    <row r="1717" spans="1:28" x14ac:dyDescent="0.2">
      <c r="A1717" s="4"/>
      <c r="B1717" s="94"/>
      <c r="C1717" s="94"/>
      <c r="D1717" s="94"/>
      <c r="E1717" s="94"/>
      <c r="F1717" s="94"/>
      <c r="G1717" s="94"/>
      <c r="H1717" s="94"/>
      <c r="I1717" s="94"/>
      <c r="J1717" s="94"/>
      <c r="K1717" s="94"/>
      <c r="L1717" s="94"/>
      <c r="M1717" s="94"/>
      <c r="N1717" s="95"/>
      <c r="O1717" s="95"/>
      <c r="P1717" s="95"/>
      <c r="Q1717" s="95"/>
      <c r="R1717" s="95"/>
      <c r="S1717" s="95"/>
      <c r="T1717" s="95"/>
      <c r="U1717" s="95"/>
      <c r="V1717" s="96"/>
      <c r="W1717" s="96"/>
      <c r="X1717" s="97"/>
      <c r="Y1717" s="97"/>
      <c r="Z1717" s="97"/>
      <c r="AA1717" s="4"/>
      <c r="AB1717" s="5"/>
    </row>
    <row r="1718" spans="1:28" x14ac:dyDescent="0.2">
      <c r="A1718" s="4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91"/>
      <c r="O1718" s="91"/>
      <c r="P1718" s="91"/>
      <c r="Q1718" s="91"/>
      <c r="R1718" s="91"/>
      <c r="S1718" s="91"/>
      <c r="T1718" s="91"/>
      <c r="U1718" s="91"/>
      <c r="V1718" s="92"/>
      <c r="W1718" s="92"/>
      <c r="X1718" s="93"/>
      <c r="Y1718" s="93"/>
      <c r="Z1718" s="93"/>
      <c r="AA1718" s="4"/>
      <c r="AB1718" s="5"/>
    </row>
    <row r="1719" spans="1:28" x14ac:dyDescent="0.2">
      <c r="A1719" s="4"/>
      <c r="B1719" s="94"/>
      <c r="C1719" s="94"/>
      <c r="D1719" s="94"/>
      <c r="E1719" s="94"/>
      <c r="F1719" s="94"/>
      <c r="G1719" s="94"/>
      <c r="H1719" s="94"/>
      <c r="I1719" s="94"/>
      <c r="J1719" s="94"/>
      <c r="K1719" s="94"/>
      <c r="L1719" s="94"/>
      <c r="M1719" s="94"/>
      <c r="N1719" s="95"/>
      <c r="O1719" s="95"/>
      <c r="P1719" s="95"/>
      <c r="Q1719" s="95"/>
      <c r="R1719" s="95"/>
      <c r="S1719" s="95"/>
      <c r="T1719" s="95"/>
      <c r="U1719" s="95"/>
      <c r="V1719" s="96"/>
      <c r="W1719" s="96"/>
      <c r="X1719" s="97"/>
      <c r="Y1719" s="97"/>
      <c r="Z1719" s="97"/>
      <c r="AA1719" s="4"/>
      <c r="AB1719" s="5"/>
    </row>
    <row r="1720" spans="1:28" x14ac:dyDescent="0.2">
      <c r="A1720" s="4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91"/>
      <c r="O1720" s="91"/>
      <c r="P1720" s="91"/>
      <c r="Q1720" s="91"/>
      <c r="R1720" s="91"/>
      <c r="S1720" s="91"/>
      <c r="T1720" s="91"/>
      <c r="U1720" s="91"/>
      <c r="V1720" s="92"/>
      <c r="W1720" s="92"/>
      <c r="X1720" s="93"/>
      <c r="Y1720" s="93"/>
      <c r="Z1720" s="93"/>
      <c r="AA1720" s="4"/>
      <c r="AB1720" s="5"/>
    </row>
    <row r="1721" spans="1:28" x14ac:dyDescent="0.2">
      <c r="A1721" s="4"/>
      <c r="B1721" s="94"/>
      <c r="C1721" s="94"/>
      <c r="D1721" s="94"/>
      <c r="E1721" s="94"/>
      <c r="F1721" s="94"/>
      <c r="G1721" s="94"/>
      <c r="H1721" s="94"/>
      <c r="I1721" s="94"/>
      <c r="J1721" s="94"/>
      <c r="K1721" s="94"/>
      <c r="L1721" s="94"/>
      <c r="M1721" s="94"/>
      <c r="N1721" s="95"/>
      <c r="O1721" s="95"/>
      <c r="P1721" s="95"/>
      <c r="Q1721" s="95"/>
      <c r="R1721" s="95"/>
      <c r="S1721" s="95"/>
      <c r="T1721" s="95"/>
      <c r="U1721" s="95"/>
      <c r="V1721" s="96"/>
      <c r="W1721" s="96"/>
      <c r="X1721" s="97"/>
      <c r="Y1721" s="97"/>
      <c r="Z1721" s="97"/>
      <c r="AA1721" s="4"/>
      <c r="AB1721" s="5"/>
    </row>
    <row r="1722" spans="1:28" x14ac:dyDescent="0.2">
      <c r="A1722" s="4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91"/>
      <c r="O1722" s="91"/>
      <c r="P1722" s="91"/>
      <c r="Q1722" s="91"/>
      <c r="R1722" s="91"/>
      <c r="S1722" s="91"/>
      <c r="T1722" s="91"/>
      <c r="U1722" s="91"/>
      <c r="V1722" s="92"/>
      <c r="W1722" s="92"/>
      <c r="X1722" s="93"/>
      <c r="Y1722" s="93"/>
      <c r="Z1722" s="93"/>
      <c r="AA1722" s="4"/>
      <c r="AB1722" s="5"/>
    </row>
    <row r="1723" spans="1:28" x14ac:dyDescent="0.2">
      <c r="A1723" s="4"/>
      <c r="B1723" s="94"/>
      <c r="C1723" s="94"/>
      <c r="D1723" s="94"/>
      <c r="E1723" s="94"/>
      <c r="F1723" s="94"/>
      <c r="G1723" s="94"/>
      <c r="H1723" s="94"/>
      <c r="I1723" s="94"/>
      <c r="J1723" s="94"/>
      <c r="K1723" s="94"/>
      <c r="L1723" s="94"/>
      <c r="M1723" s="94"/>
      <c r="N1723" s="95"/>
      <c r="O1723" s="95"/>
      <c r="P1723" s="95"/>
      <c r="Q1723" s="95"/>
      <c r="R1723" s="95"/>
      <c r="S1723" s="95"/>
      <c r="T1723" s="95"/>
      <c r="U1723" s="95"/>
      <c r="V1723" s="96"/>
      <c r="W1723" s="96"/>
      <c r="X1723" s="97"/>
      <c r="Y1723" s="97"/>
      <c r="Z1723" s="97"/>
      <c r="AA1723" s="4"/>
      <c r="AB1723" s="5"/>
    </row>
    <row r="1724" spans="1:28" x14ac:dyDescent="0.2">
      <c r="A1724" s="4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91"/>
      <c r="O1724" s="91"/>
      <c r="P1724" s="91"/>
      <c r="Q1724" s="91"/>
      <c r="R1724" s="91"/>
      <c r="S1724" s="91"/>
      <c r="T1724" s="91"/>
      <c r="U1724" s="91"/>
      <c r="V1724" s="92"/>
      <c r="W1724" s="92"/>
      <c r="X1724" s="93"/>
      <c r="Y1724" s="93"/>
      <c r="Z1724" s="93"/>
      <c r="AA1724" s="4"/>
      <c r="AB1724" s="5"/>
    </row>
    <row r="1725" spans="1:28" x14ac:dyDescent="0.2">
      <c r="A1725" s="4"/>
      <c r="B1725" s="94"/>
      <c r="C1725" s="94"/>
      <c r="D1725" s="94"/>
      <c r="E1725" s="94"/>
      <c r="F1725" s="94"/>
      <c r="G1725" s="94"/>
      <c r="H1725" s="94"/>
      <c r="I1725" s="94"/>
      <c r="J1725" s="94"/>
      <c r="K1725" s="94"/>
      <c r="L1725" s="94"/>
      <c r="M1725" s="94"/>
      <c r="N1725" s="95"/>
      <c r="O1725" s="95"/>
      <c r="P1725" s="95"/>
      <c r="Q1725" s="95"/>
      <c r="R1725" s="95"/>
      <c r="S1725" s="95"/>
      <c r="T1725" s="95"/>
      <c r="U1725" s="95"/>
      <c r="V1725" s="96"/>
      <c r="W1725" s="96"/>
      <c r="X1725" s="97"/>
      <c r="Y1725" s="97"/>
      <c r="Z1725" s="97"/>
      <c r="AA1725" s="4"/>
      <c r="AB1725" s="5"/>
    </row>
    <row r="1726" spans="1:28" x14ac:dyDescent="0.2">
      <c r="A1726" s="4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91"/>
      <c r="O1726" s="91"/>
      <c r="P1726" s="91"/>
      <c r="Q1726" s="91"/>
      <c r="R1726" s="91"/>
      <c r="S1726" s="91"/>
      <c r="T1726" s="91"/>
      <c r="U1726" s="91"/>
      <c r="V1726" s="92"/>
      <c r="W1726" s="92"/>
      <c r="X1726" s="93"/>
      <c r="Y1726" s="93"/>
      <c r="Z1726" s="93"/>
      <c r="AA1726" s="4"/>
      <c r="AB1726" s="5"/>
    </row>
    <row r="1727" spans="1:28" x14ac:dyDescent="0.2">
      <c r="A1727" s="4"/>
      <c r="B1727" s="94"/>
      <c r="C1727" s="94"/>
      <c r="D1727" s="94"/>
      <c r="E1727" s="94"/>
      <c r="F1727" s="94"/>
      <c r="G1727" s="94"/>
      <c r="H1727" s="94"/>
      <c r="I1727" s="94"/>
      <c r="J1727" s="94"/>
      <c r="K1727" s="94"/>
      <c r="L1727" s="94"/>
      <c r="M1727" s="94"/>
      <c r="N1727" s="95"/>
      <c r="O1727" s="95"/>
      <c r="P1727" s="95"/>
      <c r="Q1727" s="95"/>
      <c r="R1727" s="95"/>
      <c r="S1727" s="95"/>
      <c r="T1727" s="95"/>
      <c r="U1727" s="95"/>
      <c r="V1727" s="96"/>
      <c r="W1727" s="96"/>
      <c r="X1727" s="97"/>
      <c r="Y1727" s="97"/>
      <c r="Z1727" s="97"/>
      <c r="AA1727" s="4"/>
      <c r="AB1727" s="5"/>
    </row>
    <row r="1728" spans="1:28" x14ac:dyDescent="0.2">
      <c r="A1728" s="4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91"/>
      <c r="O1728" s="91"/>
      <c r="P1728" s="91"/>
      <c r="Q1728" s="91"/>
      <c r="R1728" s="91"/>
      <c r="S1728" s="91"/>
      <c r="T1728" s="91"/>
      <c r="U1728" s="91"/>
      <c r="V1728" s="92"/>
      <c r="W1728" s="92"/>
      <c r="X1728" s="93"/>
      <c r="Y1728" s="93"/>
      <c r="Z1728" s="93"/>
      <c r="AA1728" s="4"/>
      <c r="AB1728" s="5"/>
    </row>
    <row r="1729" spans="1:28" x14ac:dyDescent="0.2">
      <c r="A1729" s="4"/>
      <c r="B1729" s="94"/>
      <c r="C1729" s="94"/>
      <c r="D1729" s="94"/>
      <c r="E1729" s="94"/>
      <c r="F1729" s="94"/>
      <c r="G1729" s="94"/>
      <c r="H1729" s="94"/>
      <c r="I1729" s="94"/>
      <c r="J1729" s="94"/>
      <c r="K1729" s="94"/>
      <c r="L1729" s="94"/>
      <c r="M1729" s="94"/>
      <c r="N1729" s="95"/>
      <c r="O1729" s="95"/>
      <c r="P1729" s="95"/>
      <c r="Q1729" s="95"/>
      <c r="R1729" s="95"/>
      <c r="S1729" s="95"/>
      <c r="T1729" s="95"/>
      <c r="U1729" s="95"/>
      <c r="V1729" s="96"/>
      <c r="W1729" s="96"/>
      <c r="X1729" s="97"/>
      <c r="Y1729" s="97"/>
      <c r="Z1729" s="97"/>
      <c r="AA1729" s="4"/>
      <c r="AB1729" s="5"/>
    </row>
    <row r="1730" spans="1:28" x14ac:dyDescent="0.2">
      <c r="A1730" s="4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91"/>
      <c r="O1730" s="91"/>
      <c r="P1730" s="91"/>
      <c r="Q1730" s="91"/>
      <c r="R1730" s="91"/>
      <c r="S1730" s="91"/>
      <c r="T1730" s="91"/>
      <c r="U1730" s="91"/>
      <c r="V1730" s="92"/>
      <c r="W1730" s="92"/>
      <c r="X1730" s="93"/>
      <c r="Y1730" s="93"/>
      <c r="Z1730" s="93"/>
      <c r="AA1730" s="4"/>
      <c r="AB1730" s="5"/>
    </row>
    <row r="1731" spans="1:28" x14ac:dyDescent="0.2">
      <c r="A1731" s="4"/>
      <c r="B1731" s="94"/>
      <c r="C1731" s="94"/>
      <c r="D1731" s="94"/>
      <c r="E1731" s="94"/>
      <c r="F1731" s="94"/>
      <c r="G1731" s="94"/>
      <c r="H1731" s="94"/>
      <c r="I1731" s="94"/>
      <c r="J1731" s="94"/>
      <c r="K1731" s="94"/>
      <c r="L1731" s="94"/>
      <c r="M1731" s="94"/>
      <c r="N1731" s="95"/>
      <c r="O1731" s="95"/>
      <c r="P1731" s="95"/>
      <c r="Q1731" s="95"/>
      <c r="R1731" s="95"/>
      <c r="S1731" s="95"/>
      <c r="T1731" s="95"/>
      <c r="U1731" s="95"/>
      <c r="V1731" s="96"/>
      <c r="W1731" s="96"/>
      <c r="X1731" s="97"/>
      <c r="Y1731" s="97"/>
      <c r="Z1731" s="97"/>
      <c r="AA1731" s="4"/>
      <c r="AB1731" s="5"/>
    </row>
    <row r="1732" spans="1:28" x14ac:dyDescent="0.2">
      <c r="A1732" s="4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91"/>
      <c r="O1732" s="91"/>
      <c r="P1732" s="91"/>
      <c r="Q1732" s="91"/>
      <c r="R1732" s="91"/>
      <c r="S1732" s="91"/>
      <c r="T1732" s="91"/>
      <c r="U1732" s="91"/>
      <c r="V1732" s="92"/>
      <c r="W1732" s="92"/>
      <c r="X1732" s="93"/>
      <c r="Y1732" s="93"/>
      <c r="Z1732" s="93"/>
      <c r="AA1732" s="4"/>
      <c r="AB1732" s="5"/>
    </row>
    <row r="1733" spans="1:28" x14ac:dyDescent="0.2">
      <c r="A1733" s="4"/>
      <c r="B1733" s="94"/>
      <c r="C1733" s="94"/>
      <c r="D1733" s="94"/>
      <c r="E1733" s="94"/>
      <c r="F1733" s="94"/>
      <c r="G1733" s="94"/>
      <c r="H1733" s="94"/>
      <c r="I1733" s="94"/>
      <c r="J1733" s="94"/>
      <c r="K1733" s="94"/>
      <c r="L1733" s="94"/>
      <c r="M1733" s="94"/>
      <c r="N1733" s="95"/>
      <c r="O1733" s="95"/>
      <c r="P1733" s="95"/>
      <c r="Q1733" s="95"/>
      <c r="R1733" s="95"/>
      <c r="S1733" s="95"/>
      <c r="T1733" s="95"/>
      <c r="U1733" s="95"/>
      <c r="V1733" s="96"/>
      <c r="W1733" s="96"/>
      <c r="X1733" s="97"/>
      <c r="Y1733" s="97"/>
      <c r="Z1733" s="97"/>
      <c r="AA1733" s="4"/>
      <c r="AB1733" s="5"/>
    </row>
    <row r="1734" spans="1:28" x14ac:dyDescent="0.2">
      <c r="A1734" s="4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91"/>
      <c r="O1734" s="91"/>
      <c r="P1734" s="91"/>
      <c r="Q1734" s="91"/>
      <c r="R1734" s="91"/>
      <c r="S1734" s="91"/>
      <c r="T1734" s="91"/>
      <c r="U1734" s="91"/>
      <c r="V1734" s="92"/>
      <c r="W1734" s="92"/>
      <c r="X1734" s="93"/>
      <c r="Y1734" s="93"/>
      <c r="Z1734" s="93"/>
      <c r="AA1734" s="4"/>
      <c r="AB1734" s="5"/>
    </row>
    <row r="1735" spans="1:28" x14ac:dyDescent="0.2">
      <c r="A1735" s="4"/>
      <c r="B1735" s="94"/>
      <c r="C1735" s="94"/>
      <c r="D1735" s="94"/>
      <c r="E1735" s="94"/>
      <c r="F1735" s="94"/>
      <c r="G1735" s="94"/>
      <c r="H1735" s="94"/>
      <c r="I1735" s="94"/>
      <c r="J1735" s="94"/>
      <c r="K1735" s="94"/>
      <c r="L1735" s="94"/>
      <c r="M1735" s="94"/>
      <c r="N1735" s="95"/>
      <c r="O1735" s="95"/>
      <c r="P1735" s="95"/>
      <c r="Q1735" s="95"/>
      <c r="R1735" s="95"/>
      <c r="S1735" s="95"/>
      <c r="T1735" s="95"/>
      <c r="U1735" s="95"/>
      <c r="V1735" s="96"/>
      <c r="W1735" s="96"/>
      <c r="X1735" s="97"/>
      <c r="Y1735" s="97"/>
      <c r="Z1735" s="97"/>
      <c r="AA1735" s="4"/>
      <c r="AB1735" s="5"/>
    </row>
    <row r="1736" spans="1:28" x14ac:dyDescent="0.2">
      <c r="A1736" s="4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91"/>
      <c r="O1736" s="91"/>
      <c r="P1736" s="91"/>
      <c r="Q1736" s="91"/>
      <c r="R1736" s="91"/>
      <c r="S1736" s="91"/>
      <c r="T1736" s="91"/>
      <c r="U1736" s="91"/>
      <c r="V1736" s="92"/>
      <c r="W1736" s="92"/>
      <c r="X1736" s="93"/>
      <c r="Y1736" s="93"/>
      <c r="Z1736" s="93"/>
      <c r="AA1736" s="4"/>
      <c r="AB1736" s="5"/>
    </row>
    <row r="1737" spans="1:28" x14ac:dyDescent="0.2">
      <c r="A1737" s="4"/>
      <c r="B1737" s="94"/>
      <c r="C1737" s="94"/>
      <c r="D1737" s="94"/>
      <c r="E1737" s="94"/>
      <c r="F1737" s="94"/>
      <c r="G1737" s="94"/>
      <c r="H1737" s="94"/>
      <c r="I1737" s="94"/>
      <c r="J1737" s="94"/>
      <c r="K1737" s="94"/>
      <c r="L1737" s="94"/>
      <c r="M1737" s="94"/>
      <c r="N1737" s="95"/>
      <c r="O1737" s="95"/>
      <c r="P1737" s="95"/>
      <c r="Q1737" s="95"/>
      <c r="R1737" s="95"/>
      <c r="S1737" s="95"/>
      <c r="T1737" s="95"/>
      <c r="U1737" s="95"/>
      <c r="V1737" s="96"/>
      <c r="W1737" s="96"/>
      <c r="X1737" s="97"/>
      <c r="Y1737" s="97"/>
      <c r="Z1737" s="97"/>
      <c r="AA1737" s="4"/>
      <c r="AB1737" s="5"/>
    </row>
    <row r="1738" spans="1:28" x14ac:dyDescent="0.2">
      <c r="A1738" s="4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91"/>
      <c r="O1738" s="91"/>
      <c r="P1738" s="91"/>
      <c r="Q1738" s="91"/>
      <c r="R1738" s="91"/>
      <c r="S1738" s="91"/>
      <c r="T1738" s="91"/>
      <c r="U1738" s="91"/>
      <c r="V1738" s="92"/>
      <c r="W1738" s="92"/>
      <c r="X1738" s="93"/>
      <c r="Y1738" s="93"/>
      <c r="Z1738" s="93"/>
      <c r="AA1738" s="4"/>
      <c r="AB1738" s="5"/>
    </row>
    <row r="1739" spans="1:28" x14ac:dyDescent="0.2">
      <c r="A1739" s="4"/>
      <c r="B1739" s="94"/>
      <c r="C1739" s="94"/>
      <c r="D1739" s="94"/>
      <c r="E1739" s="94"/>
      <c r="F1739" s="94"/>
      <c r="G1739" s="94"/>
      <c r="H1739" s="94"/>
      <c r="I1739" s="94"/>
      <c r="J1739" s="94"/>
      <c r="K1739" s="94"/>
      <c r="L1739" s="94"/>
      <c r="M1739" s="94"/>
      <c r="N1739" s="95"/>
      <c r="O1739" s="95"/>
      <c r="P1739" s="95"/>
      <c r="Q1739" s="95"/>
      <c r="R1739" s="95"/>
      <c r="S1739" s="95"/>
      <c r="T1739" s="95"/>
      <c r="U1739" s="95"/>
      <c r="V1739" s="96"/>
      <c r="W1739" s="96"/>
      <c r="X1739" s="97"/>
      <c r="Y1739" s="97"/>
      <c r="Z1739" s="97"/>
      <c r="AA1739" s="4"/>
      <c r="AB1739" s="5"/>
    </row>
    <row r="1740" spans="1:28" x14ac:dyDescent="0.2">
      <c r="A1740" s="4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91"/>
      <c r="O1740" s="91"/>
      <c r="P1740" s="91"/>
      <c r="Q1740" s="91"/>
      <c r="R1740" s="91"/>
      <c r="S1740" s="91"/>
      <c r="T1740" s="91"/>
      <c r="U1740" s="91"/>
      <c r="V1740" s="92"/>
      <c r="W1740" s="92"/>
      <c r="X1740" s="93"/>
      <c r="Y1740" s="93"/>
      <c r="Z1740" s="93"/>
      <c r="AA1740" s="4"/>
      <c r="AB1740" s="5"/>
    </row>
    <row r="1741" spans="1:28" x14ac:dyDescent="0.2">
      <c r="A1741" s="4"/>
      <c r="B1741" s="94"/>
      <c r="C1741" s="94"/>
      <c r="D1741" s="94"/>
      <c r="E1741" s="94"/>
      <c r="F1741" s="94"/>
      <c r="G1741" s="94"/>
      <c r="H1741" s="94"/>
      <c r="I1741" s="94"/>
      <c r="J1741" s="94"/>
      <c r="K1741" s="94"/>
      <c r="L1741" s="94"/>
      <c r="M1741" s="94"/>
      <c r="N1741" s="95"/>
      <c r="O1741" s="95"/>
      <c r="P1741" s="95"/>
      <c r="Q1741" s="95"/>
      <c r="R1741" s="95"/>
      <c r="S1741" s="95"/>
      <c r="T1741" s="95"/>
      <c r="U1741" s="95"/>
      <c r="V1741" s="96"/>
      <c r="W1741" s="96"/>
      <c r="X1741" s="97"/>
      <c r="Y1741" s="97"/>
      <c r="Z1741" s="97"/>
      <c r="AA1741" s="4"/>
      <c r="AB1741" s="5"/>
    </row>
    <row r="1742" spans="1:28" x14ac:dyDescent="0.2">
      <c r="A1742" s="4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91"/>
      <c r="O1742" s="91"/>
      <c r="P1742" s="91"/>
      <c r="Q1742" s="91"/>
      <c r="R1742" s="91"/>
      <c r="S1742" s="91"/>
      <c r="T1742" s="91"/>
      <c r="U1742" s="91"/>
      <c r="V1742" s="92"/>
      <c r="W1742" s="92"/>
      <c r="X1742" s="93"/>
      <c r="Y1742" s="93"/>
      <c r="Z1742" s="93"/>
      <c r="AA1742" s="4"/>
      <c r="AB1742" s="5"/>
    </row>
    <row r="1743" spans="1:28" x14ac:dyDescent="0.2">
      <c r="A1743" s="4"/>
      <c r="B1743" s="94"/>
      <c r="C1743" s="94"/>
      <c r="D1743" s="94"/>
      <c r="E1743" s="94"/>
      <c r="F1743" s="94"/>
      <c r="G1743" s="94"/>
      <c r="H1743" s="94"/>
      <c r="I1743" s="94"/>
      <c r="J1743" s="94"/>
      <c r="K1743" s="94"/>
      <c r="L1743" s="94"/>
      <c r="M1743" s="94"/>
      <c r="N1743" s="95"/>
      <c r="O1743" s="95"/>
      <c r="P1743" s="95"/>
      <c r="Q1743" s="95"/>
      <c r="R1743" s="95"/>
      <c r="S1743" s="95"/>
      <c r="T1743" s="95"/>
      <c r="U1743" s="95"/>
      <c r="V1743" s="96"/>
      <c r="W1743" s="96"/>
      <c r="X1743" s="97"/>
      <c r="Y1743" s="97"/>
      <c r="Z1743" s="97"/>
      <c r="AA1743" s="4"/>
      <c r="AB1743" s="5"/>
    </row>
    <row r="1744" spans="1:28" x14ac:dyDescent="0.2">
      <c r="A1744" s="4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91"/>
      <c r="O1744" s="91"/>
      <c r="P1744" s="91"/>
      <c r="Q1744" s="91"/>
      <c r="R1744" s="91"/>
      <c r="S1744" s="91"/>
      <c r="T1744" s="91"/>
      <c r="U1744" s="91"/>
      <c r="V1744" s="92"/>
      <c r="W1744" s="92"/>
      <c r="X1744" s="93"/>
      <c r="Y1744" s="93"/>
      <c r="Z1744" s="93"/>
      <c r="AA1744" s="4"/>
      <c r="AB1744" s="5"/>
    </row>
    <row r="1745" spans="1:28" x14ac:dyDescent="0.2">
      <c r="A1745" s="4"/>
      <c r="B1745" s="94"/>
      <c r="C1745" s="94"/>
      <c r="D1745" s="94"/>
      <c r="E1745" s="94"/>
      <c r="F1745" s="94"/>
      <c r="G1745" s="94"/>
      <c r="H1745" s="94"/>
      <c r="I1745" s="94"/>
      <c r="J1745" s="94"/>
      <c r="K1745" s="94"/>
      <c r="L1745" s="94"/>
      <c r="M1745" s="94"/>
      <c r="N1745" s="95"/>
      <c r="O1745" s="95"/>
      <c r="P1745" s="95"/>
      <c r="Q1745" s="95"/>
      <c r="R1745" s="95"/>
      <c r="S1745" s="95"/>
      <c r="T1745" s="95"/>
      <c r="U1745" s="95"/>
      <c r="V1745" s="96"/>
      <c r="W1745" s="96"/>
      <c r="X1745" s="97"/>
      <c r="Y1745" s="97"/>
      <c r="Z1745" s="97"/>
      <c r="AA1745" s="4"/>
      <c r="AB1745" s="5"/>
    </row>
    <row r="1746" spans="1:28" x14ac:dyDescent="0.2">
      <c r="A1746" s="4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91"/>
      <c r="O1746" s="91"/>
      <c r="P1746" s="91"/>
      <c r="Q1746" s="91"/>
      <c r="R1746" s="91"/>
      <c r="S1746" s="91"/>
      <c r="T1746" s="91"/>
      <c r="U1746" s="91"/>
      <c r="V1746" s="92"/>
      <c r="W1746" s="92"/>
      <c r="X1746" s="93"/>
      <c r="Y1746" s="93"/>
      <c r="Z1746" s="93"/>
      <c r="AA1746" s="4"/>
      <c r="AB1746" s="5"/>
    </row>
    <row r="1747" spans="1:28" x14ac:dyDescent="0.2">
      <c r="A1747" s="4"/>
      <c r="B1747" s="94"/>
      <c r="C1747" s="94"/>
      <c r="D1747" s="94"/>
      <c r="E1747" s="94"/>
      <c r="F1747" s="94"/>
      <c r="G1747" s="94"/>
      <c r="H1747" s="94"/>
      <c r="I1747" s="94"/>
      <c r="J1747" s="94"/>
      <c r="K1747" s="94"/>
      <c r="L1747" s="94"/>
      <c r="M1747" s="94"/>
      <c r="N1747" s="95"/>
      <c r="O1747" s="95"/>
      <c r="P1747" s="95"/>
      <c r="Q1747" s="95"/>
      <c r="R1747" s="95"/>
      <c r="S1747" s="95"/>
      <c r="T1747" s="95"/>
      <c r="U1747" s="95"/>
      <c r="V1747" s="96"/>
      <c r="W1747" s="96"/>
      <c r="X1747" s="97"/>
      <c r="Y1747" s="97"/>
      <c r="Z1747" s="97"/>
      <c r="AA1747" s="4"/>
      <c r="AB1747" s="5"/>
    </row>
    <row r="1748" spans="1:28" x14ac:dyDescent="0.2">
      <c r="A1748" s="4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91"/>
      <c r="O1748" s="91"/>
      <c r="P1748" s="91"/>
      <c r="Q1748" s="91"/>
      <c r="R1748" s="91"/>
      <c r="S1748" s="91"/>
      <c r="T1748" s="91"/>
      <c r="U1748" s="91"/>
      <c r="V1748" s="92"/>
      <c r="W1748" s="92"/>
      <c r="X1748" s="93"/>
      <c r="Y1748" s="93"/>
      <c r="Z1748" s="93"/>
      <c r="AA1748" s="4"/>
      <c r="AB1748" s="5"/>
    </row>
    <row r="1749" spans="1:28" x14ac:dyDescent="0.2">
      <c r="A1749" s="4"/>
      <c r="B1749" s="94"/>
      <c r="C1749" s="94"/>
      <c r="D1749" s="94"/>
      <c r="E1749" s="94"/>
      <c r="F1749" s="94"/>
      <c r="G1749" s="94"/>
      <c r="H1749" s="94"/>
      <c r="I1749" s="94"/>
      <c r="J1749" s="94"/>
      <c r="K1749" s="94"/>
      <c r="L1749" s="94"/>
      <c r="M1749" s="94"/>
      <c r="N1749" s="95"/>
      <c r="O1749" s="95"/>
      <c r="P1749" s="95"/>
      <c r="Q1749" s="95"/>
      <c r="R1749" s="95"/>
      <c r="S1749" s="95"/>
      <c r="T1749" s="95"/>
      <c r="U1749" s="95"/>
      <c r="V1749" s="96"/>
      <c r="W1749" s="96"/>
      <c r="X1749" s="97"/>
      <c r="Y1749" s="97"/>
      <c r="Z1749" s="97"/>
      <c r="AA1749" s="4"/>
      <c r="AB1749" s="5"/>
    </row>
    <row r="1750" spans="1:28" x14ac:dyDescent="0.2">
      <c r="A1750" s="4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91"/>
      <c r="O1750" s="91"/>
      <c r="P1750" s="91"/>
      <c r="Q1750" s="91"/>
      <c r="R1750" s="91"/>
      <c r="S1750" s="91"/>
      <c r="T1750" s="91"/>
      <c r="U1750" s="91"/>
      <c r="V1750" s="92"/>
      <c r="W1750" s="92"/>
      <c r="X1750" s="93"/>
      <c r="Y1750" s="93"/>
      <c r="Z1750" s="93"/>
      <c r="AA1750" s="4"/>
      <c r="AB1750" s="5"/>
    </row>
    <row r="1751" spans="1:28" x14ac:dyDescent="0.2">
      <c r="A1751" s="4"/>
      <c r="B1751" s="94"/>
      <c r="C1751" s="94"/>
      <c r="D1751" s="94"/>
      <c r="E1751" s="94"/>
      <c r="F1751" s="94"/>
      <c r="G1751" s="94"/>
      <c r="H1751" s="94"/>
      <c r="I1751" s="94"/>
      <c r="J1751" s="94"/>
      <c r="K1751" s="94"/>
      <c r="L1751" s="94"/>
      <c r="M1751" s="94"/>
      <c r="N1751" s="95"/>
      <c r="O1751" s="95"/>
      <c r="P1751" s="95"/>
      <c r="Q1751" s="95"/>
      <c r="R1751" s="95"/>
      <c r="S1751" s="95"/>
      <c r="T1751" s="95"/>
      <c r="U1751" s="95"/>
      <c r="V1751" s="96"/>
      <c r="W1751" s="96"/>
      <c r="X1751" s="97"/>
      <c r="Y1751" s="97"/>
      <c r="Z1751" s="97"/>
      <c r="AA1751" s="4"/>
      <c r="AB1751" s="5"/>
    </row>
    <row r="1752" spans="1:28" x14ac:dyDescent="0.2">
      <c r="A1752" s="4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91"/>
      <c r="O1752" s="91"/>
      <c r="P1752" s="91"/>
      <c r="Q1752" s="91"/>
      <c r="R1752" s="91"/>
      <c r="S1752" s="91"/>
      <c r="T1752" s="91"/>
      <c r="U1752" s="91"/>
      <c r="V1752" s="92"/>
      <c r="W1752" s="92"/>
      <c r="X1752" s="93"/>
      <c r="Y1752" s="93"/>
      <c r="Z1752" s="93"/>
      <c r="AA1752" s="4"/>
      <c r="AB1752" s="5"/>
    </row>
    <row r="1753" spans="1:28" x14ac:dyDescent="0.2">
      <c r="A1753" s="4"/>
      <c r="B1753" s="94"/>
      <c r="C1753" s="94"/>
      <c r="D1753" s="94"/>
      <c r="E1753" s="94"/>
      <c r="F1753" s="94"/>
      <c r="G1753" s="94"/>
      <c r="H1753" s="94"/>
      <c r="I1753" s="94"/>
      <c r="J1753" s="94"/>
      <c r="K1753" s="94"/>
      <c r="L1753" s="94"/>
      <c r="M1753" s="94"/>
      <c r="N1753" s="95"/>
      <c r="O1753" s="95"/>
      <c r="P1753" s="95"/>
      <c r="Q1753" s="95"/>
      <c r="R1753" s="95"/>
      <c r="S1753" s="95"/>
      <c r="T1753" s="95"/>
      <c r="U1753" s="95"/>
      <c r="V1753" s="96"/>
      <c r="W1753" s="96"/>
      <c r="X1753" s="97"/>
      <c r="Y1753" s="97"/>
      <c r="Z1753" s="97"/>
      <c r="AA1753" s="4"/>
      <c r="AB1753" s="5"/>
    </row>
    <row r="1754" spans="1:28" x14ac:dyDescent="0.2">
      <c r="A1754" s="4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91"/>
      <c r="O1754" s="91"/>
      <c r="P1754" s="91"/>
      <c r="Q1754" s="91"/>
      <c r="R1754" s="91"/>
      <c r="S1754" s="91"/>
      <c r="T1754" s="91"/>
      <c r="U1754" s="91"/>
      <c r="V1754" s="92"/>
      <c r="W1754" s="92"/>
      <c r="X1754" s="93"/>
      <c r="Y1754" s="93"/>
      <c r="Z1754" s="93"/>
      <c r="AA1754" s="4"/>
      <c r="AB1754" s="5"/>
    </row>
    <row r="1755" spans="1:28" x14ac:dyDescent="0.2">
      <c r="A1755" s="4"/>
      <c r="B1755" s="94"/>
      <c r="C1755" s="94"/>
      <c r="D1755" s="94"/>
      <c r="E1755" s="94"/>
      <c r="F1755" s="94"/>
      <c r="G1755" s="94"/>
      <c r="H1755" s="94"/>
      <c r="I1755" s="94"/>
      <c r="J1755" s="94"/>
      <c r="K1755" s="94"/>
      <c r="L1755" s="94"/>
      <c r="M1755" s="94"/>
      <c r="N1755" s="95"/>
      <c r="O1755" s="95"/>
      <c r="P1755" s="95"/>
      <c r="Q1755" s="95"/>
      <c r="R1755" s="95"/>
      <c r="S1755" s="95"/>
      <c r="T1755" s="95"/>
      <c r="U1755" s="95"/>
      <c r="V1755" s="96"/>
      <c r="W1755" s="96"/>
      <c r="X1755" s="97"/>
      <c r="Y1755" s="97"/>
      <c r="Z1755" s="97"/>
      <c r="AA1755" s="4"/>
      <c r="AB1755" s="5"/>
    </row>
    <row r="1756" spans="1:28" x14ac:dyDescent="0.2">
      <c r="A1756" s="4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91"/>
      <c r="O1756" s="91"/>
      <c r="P1756" s="91"/>
      <c r="Q1756" s="91"/>
      <c r="R1756" s="91"/>
      <c r="S1756" s="91"/>
      <c r="T1756" s="91"/>
      <c r="U1756" s="91"/>
      <c r="V1756" s="92"/>
      <c r="W1756" s="92"/>
      <c r="X1756" s="93"/>
      <c r="Y1756" s="93"/>
      <c r="Z1756" s="93"/>
      <c r="AA1756" s="4"/>
      <c r="AB1756" s="5"/>
    </row>
    <row r="1757" spans="1:28" x14ac:dyDescent="0.2">
      <c r="A1757" s="4"/>
      <c r="B1757" s="94"/>
      <c r="C1757" s="94"/>
      <c r="D1757" s="94"/>
      <c r="E1757" s="94"/>
      <c r="F1757" s="94"/>
      <c r="G1757" s="94"/>
      <c r="H1757" s="94"/>
      <c r="I1757" s="94"/>
      <c r="J1757" s="94"/>
      <c r="K1757" s="94"/>
      <c r="L1757" s="94"/>
      <c r="M1757" s="94"/>
      <c r="N1757" s="95"/>
      <c r="O1757" s="95"/>
      <c r="P1757" s="95"/>
      <c r="Q1757" s="95"/>
      <c r="R1757" s="95"/>
      <c r="S1757" s="95"/>
      <c r="T1757" s="95"/>
      <c r="U1757" s="95"/>
      <c r="V1757" s="96"/>
      <c r="W1757" s="96"/>
      <c r="X1757" s="97"/>
      <c r="Y1757" s="97"/>
      <c r="Z1757" s="97"/>
      <c r="AA1757" s="4"/>
      <c r="AB1757" s="5"/>
    </row>
    <row r="1758" spans="1:28" x14ac:dyDescent="0.2">
      <c r="A1758" s="4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91"/>
      <c r="O1758" s="91"/>
      <c r="P1758" s="91"/>
      <c r="Q1758" s="91"/>
      <c r="R1758" s="91"/>
      <c r="S1758" s="91"/>
      <c r="T1758" s="91"/>
      <c r="U1758" s="91"/>
      <c r="V1758" s="92"/>
      <c r="W1758" s="92"/>
      <c r="X1758" s="93"/>
      <c r="Y1758" s="93"/>
      <c r="Z1758" s="93"/>
      <c r="AA1758" s="4"/>
      <c r="AB1758" s="5"/>
    </row>
    <row r="1759" spans="1:28" x14ac:dyDescent="0.2">
      <c r="A1759" s="4"/>
      <c r="B1759" s="94"/>
      <c r="C1759" s="94"/>
      <c r="D1759" s="94"/>
      <c r="E1759" s="94"/>
      <c r="F1759" s="94"/>
      <c r="G1759" s="94"/>
      <c r="H1759" s="94"/>
      <c r="I1759" s="94"/>
      <c r="J1759" s="94"/>
      <c r="K1759" s="94"/>
      <c r="L1759" s="94"/>
      <c r="M1759" s="94"/>
      <c r="N1759" s="95"/>
      <c r="O1759" s="95"/>
      <c r="P1759" s="95"/>
      <c r="Q1759" s="95"/>
      <c r="R1759" s="95"/>
      <c r="S1759" s="95"/>
      <c r="T1759" s="95"/>
      <c r="U1759" s="95"/>
      <c r="V1759" s="96"/>
      <c r="W1759" s="96"/>
      <c r="X1759" s="97"/>
      <c r="Y1759" s="97"/>
      <c r="Z1759" s="97"/>
      <c r="AA1759" s="4"/>
      <c r="AB1759" s="5"/>
    </row>
    <row r="1760" spans="1:28" x14ac:dyDescent="0.2">
      <c r="A1760" s="4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91"/>
      <c r="O1760" s="91"/>
      <c r="P1760" s="91"/>
      <c r="Q1760" s="91"/>
      <c r="R1760" s="91"/>
      <c r="S1760" s="91"/>
      <c r="T1760" s="91"/>
      <c r="U1760" s="91"/>
      <c r="V1760" s="92"/>
      <c r="W1760" s="92"/>
      <c r="X1760" s="93"/>
      <c r="Y1760" s="93"/>
      <c r="Z1760" s="93"/>
      <c r="AA1760" s="4"/>
      <c r="AB1760" s="5"/>
    </row>
    <row r="1761" spans="1:28" x14ac:dyDescent="0.2">
      <c r="A1761" s="4"/>
      <c r="B1761" s="94"/>
      <c r="C1761" s="94"/>
      <c r="D1761" s="94"/>
      <c r="E1761" s="94"/>
      <c r="F1761" s="94"/>
      <c r="G1761" s="94"/>
      <c r="H1761" s="94"/>
      <c r="I1761" s="94"/>
      <c r="J1761" s="94"/>
      <c r="K1761" s="94"/>
      <c r="L1761" s="94"/>
      <c r="M1761" s="94"/>
      <c r="N1761" s="95"/>
      <c r="O1761" s="95"/>
      <c r="P1761" s="95"/>
      <c r="Q1761" s="95"/>
      <c r="R1761" s="95"/>
      <c r="S1761" s="95"/>
      <c r="T1761" s="95"/>
      <c r="U1761" s="95"/>
      <c r="V1761" s="96"/>
      <c r="W1761" s="96"/>
      <c r="X1761" s="97"/>
      <c r="Y1761" s="97"/>
      <c r="Z1761" s="97"/>
      <c r="AA1761" s="4"/>
      <c r="AB1761" s="5"/>
    </row>
    <row r="1762" spans="1:28" x14ac:dyDescent="0.2">
      <c r="A1762" s="4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91"/>
      <c r="O1762" s="91"/>
      <c r="P1762" s="91"/>
      <c r="Q1762" s="91"/>
      <c r="R1762" s="91"/>
      <c r="S1762" s="91"/>
      <c r="T1762" s="91"/>
      <c r="U1762" s="91"/>
      <c r="V1762" s="92"/>
      <c r="W1762" s="92"/>
      <c r="X1762" s="93"/>
      <c r="Y1762" s="93"/>
      <c r="Z1762" s="93"/>
      <c r="AA1762" s="4"/>
      <c r="AB1762" s="5"/>
    </row>
    <row r="1763" spans="1:28" x14ac:dyDescent="0.2">
      <c r="A1763" s="4"/>
      <c r="B1763" s="94"/>
      <c r="C1763" s="94"/>
      <c r="D1763" s="94"/>
      <c r="E1763" s="94"/>
      <c r="F1763" s="94"/>
      <c r="G1763" s="94"/>
      <c r="H1763" s="94"/>
      <c r="I1763" s="94"/>
      <c r="J1763" s="94"/>
      <c r="K1763" s="94"/>
      <c r="L1763" s="94"/>
      <c r="M1763" s="94"/>
      <c r="N1763" s="95"/>
      <c r="O1763" s="95"/>
      <c r="P1763" s="95"/>
      <c r="Q1763" s="95"/>
      <c r="R1763" s="95"/>
      <c r="S1763" s="95"/>
      <c r="T1763" s="95"/>
      <c r="U1763" s="95"/>
      <c r="V1763" s="96"/>
      <c r="W1763" s="96"/>
      <c r="X1763" s="97"/>
      <c r="Y1763" s="97"/>
      <c r="Z1763" s="97"/>
      <c r="AA1763" s="4"/>
      <c r="AB1763" s="5"/>
    </row>
    <row r="1764" spans="1:28" x14ac:dyDescent="0.2">
      <c r="A1764" s="4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91"/>
      <c r="O1764" s="91"/>
      <c r="P1764" s="91"/>
      <c r="Q1764" s="91"/>
      <c r="R1764" s="91"/>
      <c r="S1764" s="91"/>
      <c r="T1764" s="91"/>
      <c r="U1764" s="91"/>
      <c r="V1764" s="92"/>
      <c r="W1764" s="92"/>
      <c r="X1764" s="93"/>
      <c r="Y1764" s="93"/>
      <c r="Z1764" s="93"/>
      <c r="AA1764" s="4"/>
      <c r="AB1764" s="5"/>
    </row>
    <row r="1765" spans="1:28" x14ac:dyDescent="0.2">
      <c r="A1765" s="4"/>
      <c r="B1765" s="94"/>
      <c r="C1765" s="94"/>
      <c r="D1765" s="94"/>
      <c r="E1765" s="94"/>
      <c r="F1765" s="94"/>
      <c r="G1765" s="94"/>
      <c r="H1765" s="94"/>
      <c r="I1765" s="94"/>
      <c r="J1765" s="94"/>
      <c r="K1765" s="94"/>
      <c r="L1765" s="94"/>
      <c r="M1765" s="94"/>
      <c r="N1765" s="95"/>
      <c r="O1765" s="95"/>
      <c r="P1765" s="95"/>
      <c r="Q1765" s="95"/>
      <c r="R1765" s="95"/>
      <c r="S1765" s="95"/>
      <c r="T1765" s="95"/>
      <c r="U1765" s="95"/>
      <c r="V1765" s="96"/>
      <c r="W1765" s="96"/>
      <c r="X1765" s="97"/>
      <c r="Y1765" s="97"/>
      <c r="Z1765" s="97"/>
      <c r="AA1765" s="4"/>
      <c r="AB1765" s="5"/>
    </row>
    <row r="1766" spans="1:28" x14ac:dyDescent="0.2">
      <c r="A1766" s="4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91"/>
      <c r="O1766" s="91"/>
      <c r="P1766" s="91"/>
      <c r="Q1766" s="91"/>
      <c r="R1766" s="91"/>
      <c r="S1766" s="91"/>
      <c r="T1766" s="91"/>
      <c r="U1766" s="91"/>
      <c r="V1766" s="92"/>
      <c r="W1766" s="92"/>
      <c r="X1766" s="93"/>
      <c r="Y1766" s="93"/>
      <c r="Z1766" s="93"/>
      <c r="AA1766" s="4"/>
      <c r="AB1766" s="5"/>
    </row>
    <row r="1767" spans="1:28" x14ac:dyDescent="0.2">
      <c r="A1767" s="4"/>
      <c r="B1767" s="94"/>
      <c r="C1767" s="94"/>
      <c r="D1767" s="94"/>
      <c r="E1767" s="94"/>
      <c r="F1767" s="94"/>
      <c r="G1767" s="94"/>
      <c r="H1767" s="94"/>
      <c r="I1767" s="94"/>
      <c r="J1767" s="94"/>
      <c r="K1767" s="94"/>
      <c r="L1767" s="94"/>
      <c r="M1767" s="94"/>
      <c r="N1767" s="95"/>
      <c r="O1767" s="95"/>
      <c r="P1767" s="95"/>
      <c r="Q1767" s="95"/>
      <c r="R1767" s="95"/>
      <c r="S1767" s="95"/>
      <c r="T1767" s="95"/>
      <c r="U1767" s="95"/>
      <c r="V1767" s="96"/>
      <c r="W1767" s="96"/>
      <c r="X1767" s="97"/>
      <c r="Y1767" s="97"/>
      <c r="Z1767" s="97"/>
      <c r="AA1767" s="4"/>
      <c r="AB1767" s="5"/>
    </row>
    <row r="1768" spans="1:28" x14ac:dyDescent="0.2">
      <c r="A1768" s="4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91"/>
      <c r="O1768" s="91"/>
      <c r="P1768" s="91"/>
      <c r="Q1768" s="91"/>
      <c r="R1768" s="91"/>
      <c r="S1768" s="91"/>
      <c r="T1768" s="91"/>
      <c r="U1768" s="91"/>
      <c r="V1768" s="92"/>
      <c r="W1768" s="92"/>
      <c r="X1768" s="93"/>
      <c r="Y1768" s="93"/>
      <c r="Z1768" s="93"/>
      <c r="AA1768" s="4"/>
      <c r="AB1768" s="5"/>
    </row>
    <row r="1769" spans="1:28" x14ac:dyDescent="0.2">
      <c r="A1769" s="4"/>
      <c r="B1769" s="94"/>
      <c r="C1769" s="94"/>
      <c r="D1769" s="94"/>
      <c r="E1769" s="94"/>
      <c r="F1769" s="94"/>
      <c r="G1769" s="94"/>
      <c r="H1769" s="94"/>
      <c r="I1769" s="94"/>
      <c r="J1769" s="94"/>
      <c r="K1769" s="94"/>
      <c r="L1769" s="94"/>
      <c r="M1769" s="94"/>
      <c r="N1769" s="95"/>
      <c r="O1769" s="95"/>
      <c r="P1769" s="95"/>
      <c r="Q1769" s="95"/>
      <c r="R1769" s="95"/>
      <c r="S1769" s="95"/>
      <c r="T1769" s="95"/>
      <c r="U1769" s="95"/>
      <c r="V1769" s="96"/>
      <c r="W1769" s="96"/>
      <c r="X1769" s="97"/>
      <c r="Y1769" s="97"/>
      <c r="Z1769" s="97"/>
      <c r="AA1769" s="4"/>
      <c r="AB1769" s="5"/>
    </row>
    <row r="1770" spans="1:28" x14ac:dyDescent="0.2">
      <c r="A1770" s="4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91"/>
      <c r="O1770" s="91"/>
      <c r="P1770" s="91"/>
      <c r="Q1770" s="91"/>
      <c r="R1770" s="91"/>
      <c r="S1770" s="91"/>
      <c r="T1770" s="91"/>
      <c r="U1770" s="91"/>
      <c r="V1770" s="92"/>
      <c r="W1770" s="92"/>
      <c r="X1770" s="93"/>
      <c r="Y1770" s="93"/>
      <c r="Z1770" s="93"/>
      <c r="AA1770" s="4"/>
      <c r="AB1770" s="5"/>
    </row>
    <row r="1771" spans="1:28" x14ac:dyDescent="0.2">
      <c r="A1771" s="4"/>
      <c r="B1771" s="94"/>
      <c r="C1771" s="94"/>
      <c r="D1771" s="94"/>
      <c r="E1771" s="94"/>
      <c r="F1771" s="94"/>
      <c r="G1771" s="94"/>
      <c r="H1771" s="94"/>
      <c r="I1771" s="94"/>
      <c r="J1771" s="94"/>
      <c r="K1771" s="94"/>
      <c r="L1771" s="94"/>
      <c r="M1771" s="94"/>
      <c r="N1771" s="95"/>
      <c r="O1771" s="95"/>
      <c r="P1771" s="95"/>
      <c r="Q1771" s="95"/>
      <c r="R1771" s="95"/>
      <c r="S1771" s="95"/>
      <c r="T1771" s="95"/>
      <c r="U1771" s="95"/>
      <c r="V1771" s="96"/>
      <c r="W1771" s="96"/>
      <c r="X1771" s="97"/>
      <c r="Y1771" s="97"/>
      <c r="Z1771" s="97"/>
      <c r="AA1771" s="4"/>
      <c r="AB1771" s="5"/>
    </row>
    <row r="1772" spans="1:28" x14ac:dyDescent="0.2">
      <c r="A1772" s="4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91"/>
      <c r="O1772" s="91"/>
      <c r="P1772" s="91"/>
      <c r="Q1772" s="91"/>
      <c r="R1772" s="91"/>
      <c r="S1772" s="91"/>
      <c r="T1772" s="91"/>
      <c r="U1772" s="91"/>
      <c r="V1772" s="92"/>
      <c r="W1772" s="92"/>
      <c r="X1772" s="93"/>
      <c r="Y1772" s="93"/>
      <c r="Z1772" s="93"/>
      <c r="AA1772" s="4"/>
      <c r="AB1772" s="5"/>
    </row>
    <row r="1773" spans="1:28" x14ac:dyDescent="0.2">
      <c r="A1773" s="4"/>
      <c r="B1773" s="94"/>
      <c r="C1773" s="94"/>
      <c r="D1773" s="94"/>
      <c r="E1773" s="94"/>
      <c r="F1773" s="94"/>
      <c r="G1773" s="94"/>
      <c r="H1773" s="94"/>
      <c r="I1773" s="94"/>
      <c r="J1773" s="94"/>
      <c r="K1773" s="94"/>
      <c r="L1773" s="94"/>
      <c r="M1773" s="94"/>
      <c r="N1773" s="95"/>
      <c r="O1773" s="95"/>
      <c r="P1773" s="95"/>
      <c r="Q1773" s="95"/>
      <c r="R1773" s="95"/>
      <c r="S1773" s="95"/>
      <c r="T1773" s="95"/>
      <c r="U1773" s="95"/>
      <c r="V1773" s="96"/>
      <c r="W1773" s="96"/>
      <c r="X1773" s="97"/>
      <c r="Y1773" s="97"/>
      <c r="Z1773" s="97"/>
      <c r="AA1773" s="4"/>
      <c r="AB1773" s="5"/>
    </row>
    <row r="1774" spans="1:28" x14ac:dyDescent="0.2">
      <c r="A1774" s="4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91"/>
      <c r="O1774" s="91"/>
      <c r="P1774" s="91"/>
      <c r="Q1774" s="91"/>
      <c r="R1774" s="91"/>
      <c r="S1774" s="91"/>
      <c r="T1774" s="91"/>
      <c r="U1774" s="91"/>
      <c r="V1774" s="92"/>
      <c r="W1774" s="92"/>
      <c r="X1774" s="93"/>
      <c r="Y1774" s="93"/>
      <c r="Z1774" s="93"/>
      <c r="AA1774" s="4"/>
      <c r="AB1774" s="5"/>
    </row>
    <row r="1775" spans="1:28" x14ac:dyDescent="0.2">
      <c r="A1775" s="4"/>
      <c r="B1775" s="94"/>
      <c r="C1775" s="94"/>
      <c r="D1775" s="94"/>
      <c r="E1775" s="94"/>
      <c r="F1775" s="94"/>
      <c r="G1775" s="94"/>
      <c r="H1775" s="94"/>
      <c r="I1775" s="94"/>
      <c r="J1775" s="94"/>
      <c r="K1775" s="94"/>
      <c r="L1775" s="94"/>
      <c r="M1775" s="94"/>
      <c r="N1775" s="95"/>
      <c r="O1775" s="95"/>
      <c r="P1775" s="95"/>
      <c r="Q1775" s="95"/>
      <c r="R1775" s="95"/>
      <c r="S1775" s="95"/>
      <c r="T1775" s="95"/>
      <c r="U1775" s="95"/>
      <c r="V1775" s="96"/>
      <c r="W1775" s="96"/>
      <c r="X1775" s="97"/>
      <c r="Y1775" s="97"/>
      <c r="Z1775" s="97"/>
      <c r="AA1775" s="4"/>
      <c r="AB1775" s="5"/>
    </row>
    <row r="1776" spans="1:28" x14ac:dyDescent="0.2">
      <c r="A1776" s="4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91"/>
      <c r="O1776" s="91"/>
      <c r="P1776" s="91"/>
      <c r="Q1776" s="91"/>
      <c r="R1776" s="91"/>
      <c r="S1776" s="91"/>
      <c r="T1776" s="91"/>
      <c r="U1776" s="91"/>
      <c r="V1776" s="92"/>
      <c r="W1776" s="92"/>
      <c r="X1776" s="93"/>
      <c r="Y1776" s="93"/>
      <c r="Z1776" s="93"/>
      <c r="AA1776" s="4"/>
      <c r="AB1776" s="5"/>
    </row>
    <row r="1777" spans="1:28" x14ac:dyDescent="0.2">
      <c r="A1777" s="4"/>
      <c r="B1777" s="94"/>
      <c r="C1777" s="94"/>
      <c r="D1777" s="94"/>
      <c r="E1777" s="94"/>
      <c r="F1777" s="94"/>
      <c r="G1777" s="94"/>
      <c r="H1777" s="94"/>
      <c r="I1777" s="94"/>
      <c r="J1777" s="94"/>
      <c r="K1777" s="94"/>
      <c r="L1777" s="94"/>
      <c r="M1777" s="94"/>
      <c r="N1777" s="95"/>
      <c r="O1777" s="95"/>
      <c r="P1777" s="95"/>
      <c r="Q1777" s="95"/>
      <c r="R1777" s="95"/>
      <c r="S1777" s="95"/>
      <c r="T1777" s="95"/>
      <c r="U1777" s="95"/>
      <c r="V1777" s="96"/>
      <c r="W1777" s="96"/>
      <c r="X1777" s="97"/>
      <c r="Y1777" s="97"/>
      <c r="Z1777" s="97"/>
      <c r="AA1777" s="4"/>
      <c r="AB1777" s="5"/>
    </row>
    <row r="1778" spans="1:28" x14ac:dyDescent="0.2">
      <c r="A1778" s="4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91"/>
      <c r="O1778" s="91"/>
      <c r="P1778" s="91"/>
      <c r="Q1778" s="91"/>
      <c r="R1778" s="91"/>
      <c r="S1778" s="91"/>
      <c r="T1778" s="91"/>
      <c r="U1778" s="91"/>
      <c r="V1778" s="92"/>
      <c r="W1778" s="92"/>
      <c r="X1778" s="93"/>
      <c r="Y1778" s="93"/>
      <c r="Z1778" s="93"/>
      <c r="AA1778" s="4"/>
      <c r="AB1778" s="5"/>
    </row>
    <row r="1779" spans="1:28" x14ac:dyDescent="0.2">
      <c r="A1779" s="4"/>
      <c r="B1779" s="94"/>
      <c r="C1779" s="94"/>
      <c r="D1779" s="94"/>
      <c r="E1779" s="94"/>
      <c r="F1779" s="94"/>
      <c r="G1779" s="94"/>
      <c r="H1779" s="94"/>
      <c r="I1779" s="94"/>
      <c r="J1779" s="94"/>
      <c r="K1779" s="94"/>
      <c r="L1779" s="94"/>
      <c r="M1779" s="94"/>
      <c r="N1779" s="95"/>
      <c r="O1779" s="95"/>
      <c r="P1779" s="95"/>
      <c r="Q1779" s="95"/>
      <c r="R1779" s="95"/>
      <c r="S1779" s="95"/>
      <c r="T1779" s="95"/>
      <c r="U1779" s="95"/>
      <c r="V1779" s="96"/>
      <c r="W1779" s="96"/>
      <c r="X1779" s="97"/>
      <c r="Y1779" s="97"/>
      <c r="Z1779" s="97"/>
      <c r="AA1779" s="4"/>
      <c r="AB1779" s="5"/>
    </row>
    <row r="1780" spans="1:28" x14ac:dyDescent="0.2">
      <c r="A1780" s="4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91"/>
      <c r="O1780" s="91"/>
      <c r="P1780" s="91"/>
      <c r="Q1780" s="91"/>
      <c r="R1780" s="91"/>
      <c r="S1780" s="91"/>
      <c r="T1780" s="91"/>
      <c r="U1780" s="91"/>
      <c r="V1780" s="92"/>
      <c r="W1780" s="92"/>
      <c r="X1780" s="93"/>
      <c r="Y1780" s="93"/>
      <c r="Z1780" s="93"/>
      <c r="AA1780" s="4"/>
      <c r="AB1780" s="5"/>
    </row>
    <row r="1781" spans="1:28" x14ac:dyDescent="0.2">
      <c r="A1781" s="4"/>
      <c r="B1781" s="94"/>
      <c r="C1781" s="94"/>
      <c r="D1781" s="94"/>
      <c r="E1781" s="94"/>
      <c r="F1781" s="94"/>
      <c r="G1781" s="94"/>
      <c r="H1781" s="94"/>
      <c r="I1781" s="94"/>
      <c r="J1781" s="94"/>
      <c r="K1781" s="94"/>
      <c r="L1781" s="94"/>
      <c r="M1781" s="94"/>
      <c r="N1781" s="95"/>
      <c r="O1781" s="95"/>
      <c r="P1781" s="95"/>
      <c r="Q1781" s="95"/>
      <c r="R1781" s="95"/>
      <c r="S1781" s="95"/>
      <c r="T1781" s="95"/>
      <c r="U1781" s="95"/>
      <c r="V1781" s="96"/>
      <c r="W1781" s="96"/>
      <c r="X1781" s="97"/>
      <c r="Y1781" s="97"/>
      <c r="Z1781" s="97"/>
      <c r="AA1781" s="4"/>
      <c r="AB1781" s="5"/>
    </row>
    <row r="1782" spans="1:28" x14ac:dyDescent="0.2">
      <c r="A1782" s="4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91"/>
      <c r="O1782" s="91"/>
      <c r="P1782" s="91"/>
      <c r="Q1782" s="91"/>
      <c r="R1782" s="91"/>
      <c r="S1782" s="91"/>
      <c r="T1782" s="91"/>
      <c r="U1782" s="91"/>
      <c r="V1782" s="92"/>
      <c r="W1782" s="92"/>
      <c r="X1782" s="93"/>
      <c r="Y1782" s="93"/>
      <c r="Z1782" s="93"/>
      <c r="AA1782" s="4"/>
      <c r="AB1782" s="5"/>
    </row>
    <row r="1783" spans="1:28" x14ac:dyDescent="0.2">
      <c r="A1783" s="4"/>
      <c r="B1783" s="94"/>
      <c r="C1783" s="94"/>
      <c r="D1783" s="94"/>
      <c r="E1783" s="94"/>
      <c r="F1783" s="94"/>
      <c r="G1783" s="94"/>
      <c r="H1783" s="94"/>
      <c r="I1783" s="94"/>
      <c r="J1783" s="94"/>
      <c r="K1783" s="94"/>
      <c r="L1783" s="94"/>
      <c r="M1783" s="94"/>
      <c r="N1783" s="95"/>
      <c r="O1783" s="95"/>
      <c r="P1783" s="95"/>
      <c r="Q1783" s="95"/>
      <c r="R1783" s="95"/>
      <c r="S1783" s="95"/>
      <c r="T1783" s="95"/>
      <c r="U1783" s="95"/>
      <c r="V1783" s="96"/>
      <c r="W1783" s="96"/>
      <c r="X1783" s="97"/>
      <c r="Y1783" s="97"/>
      <c r="Z1783" s="97"/>
      <c r="AA1783" s="4"/>
      <c r="AB1783" s="5"/>
    </row>
    <row r="1784" spans="1:28" x14ac:dyDescent="0.2">
      <c r="A1784" s="4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91"/>
      <c r="O1784" s="91"/>
      <c r="P1784" s="91"/>
      <c r="Q1784" s="91"/>
      <c r="R1784" s="91"/>
      <c r="S1784" s="91"/>
      <c r="T1784" s="91"/>
      <c r="U1784" s="91"/>
      <c r="V1784" s="92"/>
      <c r="W1784" s="92"/>
      <c r="X1784" s="93"/>
      <c r="Y1784" s="93"/>
      <c r="Z1784" s="93"/>
      <c r="AA1784" s="4"/>
      <c r="AB1784" s="5"/>
    </row>
    <row r="1785" spans="1:28" x14ac:dyDescent="0.2">
      <c r="A1785" s="4"/>
      <c r="B1785" s="94"/>
      <c r="C1785" s="94"/>
      <c r="D1785" s="94"/>
      <c r="E1785" s="94"/>
      <c r="F1785" s="94"/>
      <c r="G1785" s="94"/>
      <c r="H1785" s="94"/>
      <c r="I1785" s="94"/>
      <c r="J1785" s="94"/>
      <c r="K1785" s="94"/>
      <c r="L1785" s="94"/>
      <c r="M1785" s="94"/>
      <c r="N1785" s="95"/>
      <c r="O1785" s="95"/>
      <c r="P1785" s="95"/>
      <c r="Q1785" s="95"/>
      <c r="R1785" s="95"/>
      <c r="S1785" s="95"/>
      <c r="T1785" s="95"/>
      <c r="U1785" s="95"/>
      <c r="V1785" s="96"/>
      <c r="W1785" s="96"/>
      <c r="X1785" s="97"/>
      <c r="Y1785" s="97"/>
      <c r="Z1785" s="97"/>
      <c r="AA1785" s="4"/>
      <c r="AB1785" s="5"/>
    </row>
    <row r="1786" spans="1:28" x14ac:dyDescent="0.2">
      <c r="A1786" s="4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91"/>
      <c r="O1786" s="91"/>
      <c r="P1786" s="91"/>
      <c r="Q1786" s="91"/>
      <c r="R1786" s="91"/>
      <c r="S1786" s="91"/>
      <c r="T1786" s="91"/>
      <c r="U1786" s="91"/>
      <c r="V1786" s="92"/>
      <c r="W1786" s="92"/>
      <c r="X1786" s="93"/>
      <c r="Y1786" s="93"/>
      <c r="Z1786" s="93"/>
      <c r="AA1786" s="4"/>
      <c r="AB1786" s="5"/>
    </row>
    <row r="1787" spans="1:28" x14ac:dyDescent="0.2">
      <c r="A1787" s="4"/>
      <c r="B1787" s="94"/>
      <c r="C1787" s="94"/>
      <c r="D1787" s="94"/>
      <c r="E1787" s="94"/>
      <c r="F1787" s="94"/>
      <c r="G1787" s="94"/>
      <c r="H1787" s="94"/>
      <c r="I1787" s="94"/>
      <c r="J1787" s="94"/>
      <c r="K1787" s="94"/>
      <c r="L1787" s="94"/>
      <c r="M1787" s="94"/>
      <c r="N1787" s="95"/>
      <c r="O1787" s="95"/>
      <c r="P1787" s="95"/>
      <c r="Q1787" s="95"/>
      <c r="R1787" s="95"/>
      <c r="S1787" s="95"/>
      <c r="T1787" s="95"/>
      <c r="U1787" s="95"/>
      <c r="V1787" s="96"/>
      <c r="W1787" s="96"/>
      <c r="X1787" s="97"/>
      <c r="Y1787" s="97"/>
      <c r="Z1787" s="97"/>
      <c r="AA1787" s="4"/>
      <c r="AB1787" s="5"/>
    </row>
    <row r="1788" spans="1:28" x14ac:dyDescent="0.2">
      <c r="A1788" s="4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91"/>
      <c r="O1788" s="91"/>
      <c r="P1788" s="91"/>
      <c r="Q1788" s="91"/>
      <c r="R1788" s="91"/>
      <c r="S1788" s="91"/>
      <c r="T1788" s="91"/>
      <c r="U1788" s="91"/>
      <c r="V1788" s="92"/>
      <c r="W1788" s="92"/>
      <c r="X1788" s="93"/>
      <c r="Y1788" s="93"/>
      <c r="Z1788" s="93"/>
      <c r="AA1788" s="4"/>
      <c r="AB1788" s="5"/>
    </row>
    <row r="1789" spans="1:28" x14ac:dyDescent="0.2">
      <c r="A1789" s="4"/>
      <c r="B1789" s="94"/>
      <c r="C1789" s="94"/>
      <c r="D1789" s="94"/>
      <c r="E1789" s="94"/>
      <c r="F1789" s="94"/>
      <c r="G1789" s="94"/>
      <c r="H1789" s="94"/>
      <c r="I1789" s="94"/>
      <c r="J1789" s="94"/>
      <c r="K1789" s="94"/>
      <c r="L1789" s="94"/>
      <c r="M1789" s="94"/>
      <c r="N1789" s="95"/>
      <c r="O1789" s="95"/>
      <c r="P1789" s="95"/>
      <c r="Q1789" s="95"/>
      <c r="R1789" s="95"/>
      <c r="S1789" s="95"/>
      <c r="T1789" s="95"/>
      <c r="U1789" s="95"/>
      <c r="V1789" s="96"/>
      <c r="W1789" s="96"/>
      <c r="X1789" s="97"/>
      <c r="Y1789" s="97"/>
      <c r="Z1789" s="97"/>
      <c r="AA1789" s="4"/>
      <c r="AB1789" s="5"/>
    </row>
    <row r="1790" spans="1:28" x14ac:dyDescent="0.2">
      <c r="A1790" s="4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91"/>
      <c r="O1790" s="91"/>
      <c r="P1790" s="91"/>
      <c r="Q1790" s="91"/>
      <c r="R1790" s="91"/>
      <c r="S1790" s="91"/>
      <c r="T1790" s="91"/>
      <c r="U1790" s="91"/>
      <c r="V1790" s="92"/>
      <c r="W1790" s="92"/>
      <c r="X1790" s="93"/>
      <c r="Y1790" s="93"/>
      <c r="Z1790" s="93"/>
      <c r="AA1790" s="4"/>
      <c r="AB1790" s="5"/>
    </row>
    <row r="1791" spans="1:28" x14ac:dyDescent="0.2">
      <c r="A1791" s="4"/>
      <c r="B1791" s="94"/>
      <c r="C1791" s="94"/>
      <c r="D1791" s="94"/>
      <c r="E1791" s="94"/>
      <c r="F1791" s="94"/>
      <c r="G1791" s="94"/>
      <c r="H1791" s="94"/>
      <c r="I1791" s="94"/>
      <c r="J1791" s="94"/>
      <c r="K1791" s="94"/>
      <c r="L1791" s="94"/>
      <c r="M1791" s="94"/>
      <c r="N1791" s="95"/>
      <c r="O1791" s="95"/>
      <c r="P1791" s="95"/>
      <c r="Q1791" s="95"/>
      <c r="R1791" s="95"/>
      <c r="S1791" s="95"/>
      <c r="T1791" s="95"/>
      <c r="U1791" s="95"/>
      <c r="V1791" s="96"/>
      <c r="W1791" s="96"/>
      <c r="X1791" s="97"/>
      <c r="Y1791" s="97"/>
      <c r="Z1791" s="97"/>
      <c r="AA1791" s="4"/>
      <c r="AB1791" s="5"/>
    </row>
    <row r="1792" spans="1:28" x14ac:dyDescent="0.2">
      <c r="A1792" s="4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91"/>
      <c r="O1792" s="91"/>
      <c r="P1792" s="91"/>
      <c r="Q1792" s="91"/>
      <c r="R1792" s="91"/>
      <c r="S1792" s="91"/>
      <c r="T1792" s="91"/>
      <c r="U1792" s="91"/>
      <c r="V1792" s="92"/>
      <c r="W1792" s="92"/>
      <c r="X1792" s="93"/>
      <c r="Y1792" s="93"/>
      <c r="Z1792" s="93"/>
      <c r="AA1792" s="4"/>
      <c r="AB1792" s="5"/>
    </row>
    <row r="1793" spans="1:28" x14ac:dyDescent="0.2">
      <c r="A1793" s="4"/>
      <c r="B1793" s="94"/>
      <c r="C1793" s="94"/>
      <c r="D1793" s="94"/>
      <c r="E1793" s="94"/>
      <c r="F1793" s="94"/>
      <c r="G1793" s="94"/>
      <c r="H1793" s="94"/>
      <c r="I1793" s="94"/>
      <c r="J1793" s="94"/>
      <c r="K1793" s="94"/>
      <c r="L1793" s="94"/>
      <c r="M1793" s="94"/>
      <c r="N1793" s="95"/>
      <c r="O1793" s="95"/>
      <c r="P1793" s="95"/>
      <c r="Q1793" s="95"/>
      <c r="R1793" s="95"/>
      <c r="S1793" s="95"/>
      <c r="T1793" s="95"/>
      <c r="U1793" s="95"/>
      <c r="V1793" s="96"/>
      <c r="W1793" s="96"/>
      <c r="X1793" s="97"/>
      <c r="Y1793" s="97"/>
      <c r="Z1793" s="97"/>
      <c r="AA1793" s="4"/>
      <c r="AB1793" s="5"/>
    </row>
    <row r="1794" spans="1:28" x14ac:dyDescent="0.2">
      <c r="A1794" s="4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91"/>
      <c r="O1794" s="91"/>
      <c r="P1794" s="91"/>
      <c r="Q1794" s="91"/>
      <c r="R1794" s="91"/>
      <c r="S1794" s="91"/>
      <c r="T1794" s="91"/>
      <c r="U1794" s="91"/>
      <c r="V1794" s="92"/>
      <c r="W1794" s="92"/>
      <c r="X1794" s="93"/>
      <c r="Y1794" s="93"/>
      <c r="Z1794" s="93"/>
      <c r="AA1794" s="4"/>
      <c r="AB1794" s="5"/>
    </row>
    <row r="1795" spans="1:28" x14ac:dyDescent="0.2">
      <c r="A1795" s="4"/>
      <c r="B1795" s="94"/>
      <c r="C1795" s="94"/>
      <c r="D1795" s="94"/>
      <c r="E1795" s="94"/>
      <c r="F1795" s="94"/>
      <c r="G1795" s="94"/>
      <c r="H1795" s="94"/>
      <c r="I1795" s="94"/>
      <c r="J1795" s="94"/>
      <c r="K1795" s="94"/>
      <c r="L1795" s="94"/>
      <c r="M1795" s="94"/>
      <c r="N1795" s="95"/>
      <c r="O1795" s="95"/>
      <c r="P1795" s="95"/>
      <c r="Q1795" s="95"/>
      <c r="R1795" s="95"/>
      <c r="S1795" s="95"/>
      <c r="T1795" s="95"/>
      <c r="U1795" s="95"/>
      <c r="V1795" s="96"/>
      <c r="W1795" s="96"/>
      <c r="X1795" s="97"/>
      <c r="Y1795" s="97"/>
      <c r="Z1795" s="97"/>
      <c r="AA1795" s="4"/>
      <c r="AB1795" s="5"/>
    </row>
    <row r="1796" spans="1:28" x14ac:dyDescent="0.2">
      <c r="A1796" s="4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91"/>
      <c r="O1796" s="91"/>
      <c r="P1796" s="91"/>
      <c r="Q1796" s="91"/>
      <c r="R1796" s="91"/>
      <c r="S1796" s="91"/>
      <c r="T1796" s="91"/>
      <c r="U1796" s="91"/>
      <c r="V1796" s="92"/>
      <c r="W1796" s="92"/>
      <c r="X1796" s="93"/>
      <c r="Y1796" s="93"/>
      <c r="Z1796" s="93"/>
      <c r="AA1796" s="4"/>
      <c r="AB1796" s="5"/>
    </row>
    <row r="1797" spans="1:28" x14ac:dyDescent="0.2">
      <c r="A1797" s="4"/>
      <c r="B1797" s="94"/>
      <c r="C1797" s="94"/>
      <c r="D1797" s="94"/>
      <c r="E1797" s="94"/>
      <c r="F1797" s="94"/>
      <c r="G1797" s="94"/>
      <c r="H1797" s="94"/>
      <c r="I1797" s="94"/>
      <c r="J1797" s="94"/>
      <c r="K1797" s="94"/>
      <c r="L1797" s="94"/>
      <c r="M1797" s="94"/>
      <c r="N1797" s="95"/>
      <c r="O1797" s="95"/>
      <c r="P1797" s="95"/>
      <c r="Q1797" s="95"/>
      <c r="R1797" s="95"/>
      <c r="S1797" s="95"/>
      <c r="T1797" s="95"/>
      <c r="U1797" s="95"/>
      <c r="V1797" s="96"/>
      <c r="W1797" s="96"/>
      <c r="X1797" s="97"/>
      <c r="Y1797" s="97"/>
      <c r="Z1797" s="97"/>
      <c r="AA1797" s="4"/>
      <c r="AB1797" s="5"/>
    </row>
    <row r="1798" spans="1:28" x14ac:dyDescent="0.2">
      <c r="A1798" s="4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91"/>
      <c r="O1798" s="91"/>
      <c r="P1798" s="91"/>
      <c r="Q1798" s="91"/>
      <c r="R1798" s="91"/>
      <c r="S1798" s="91"/>
      <c r="T1798" s="91"/>
      <c r="U1798" s="91"/>
      <c r="V1798" s="92"/>
      <c r="W1798" s="92"/>
      <c r="X1798" s="93"/>
      <c r="Y1798" s="93"/>
      <c r="Z1798" s="93"/>
      <c r="AA1798" s="4"/>
      <c r="AB1798" s="5"/>
    </row>
    <row r="1799" spans="1:28" x14ac:dyDescent="0.2">
      <c r="A1799" s="4"/>
      <c r="B1799" s="94"/>
      <c r="C1799" s="94"/>
      <c r="D1799" s="94"/>
      <c r="E1799" s="94"/>
      <c r="F1799" s="94"/>
      <c r="G1799" s="94"/>
      <c r="H1799" s="94"/>
      <c r="I1799" s="94"/>
      <c r="J1799" s="94"/>
      <c r="K1799" s="94"/>
      <c r="L1799" s="94"/>
      <c r="M1799" s="94"/>
      <c r="N1799" s="95"/>
      <c r="O1799" s="95"/>
      <c r="P1799" s="95"/>
      <c r="Q1799" s="95"/>
      <c r="R1799" s="95"/>
      <c r="S1799" s="95"/>
      <c r="T1799" s="95"/>
      <c r="U1799" s="95"/>
      <c r="V1799" s="96"/>
      <c r="W1799" s="96"/>
      <c r="X1799" s="97"/>
      <c r="Y1799" s="97"/>
      <c r="Z1799" s="97"/>
      <c r="AA1799" s="4"/>
      <c r="AB1799" s="5"/>
    </row>
    <row r="1800" spans="1:28" x14ac:dyDescent="0.2">
      <c r="A1800" s="4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91"/>
      <c r="O1800" s="91"/>
      <c r="P1800" s="91"/>
      <c r="Q1800" s="91"/>
      <c r="R1800" s="91"/>
      <c r="S1800" s="91"/>
      <c r="T1800" s="91"/>
      <c r="U1800" s="91"/>
      <c r="V1800" s="92"/>
      <c r="W1800" s="92"/>
      <c r="X1800" s="93"/>
      <c r="Y1800" s="93"/>
      <c r="Z1800" s="93"/>
      <c r="AA1800" s="4"/>
      <c r="AB1800" s="5"/>
    </row>
    <row r="1801" spans="1:28" x14ac:dyDescent="0.2">
      <c r="A1801" s="4"/>
      <c r="B1801" s="94"/>
      <c r="C1801" s="94"/>
      <c r="D1801" s="94"/>
      <c r="E1801" s="94"/>
      <c r="F1801" s="94"/>
      <c r="G1801" s="94"/>
      <c r="H1801" s="94"/>
      <c r="I1801" s="94"/>
      <c r="J1801" s="94"/>
      <c r="K1801" s="94"/>
      <c r="L1801" s="94"/>
      <c r="M1801" s="94"/>
      <c r="N1801" s="95"/>
      <c r="O1801" s="95"/>
      <c r="P1801" s="95"/>
      <c r="Q1801" s="95"/>
      <c r="R1801" s="95"/>
      <c r="S1801" s="95"/>
      <c r="T1801" s="95"/>
      <c r="U1801" s="95"/>
      <c r="V1801" s="96"/>
      <c r="W1801" s="96"/>
      <c r="X1801" s="97"/>
      <c r="Y1801" s="97"/>
      <c r="Z1801" s="97"/>
      <c r="AA1801" s="4"/>
      <c r="AB1801" s="5"/>
    </row>
    <row r="1802" spans="1:28" x14ac:dyDescent="0.2">
      <c r="A1802" s="4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91"/>
      <c r="O1802" s="91"/>
      <c r="P1802" s="91"/>
      <c r="Q1802" s="91"/>
      <c r="R1802" s="91"/>
      <c r="S1802" s="91"/>
      <c r="T1802" s="91"/>
      <c r="U1802" s="91"/>
      <c r="V1802" s="92"/>
      <c r="W1802" s="92"/>
      <c r="X1802" s="93"/>
      <c r="Y1802" s="93"/>
      <c r="Z1802" s="93"/>
      <c r="AA1802" s="4"/>
      <c r="AB1802" s="5"/>
    </row>
    <row r="1803" spans="1:28" x14ac:dyDescent="0.2">
      <c r="A1803" s="4"/>
      <c r="B1803" s="94"/>
      <c r="C1803" s="94"/>
      <c r="D1803" s="94"/>
      <c r="E1803" s="94"/>
      <c r="F1803" s="94"/>
      <c r="G1803" s="94"/>
      <c r="H1803" s="94"/>
      <c r="I1803" s="94"/>
      <c r="J1803" s="94"/>
      <c r="K1803" s="94"/>
      <c r="L1803" s="94"/>
      <c r="M1803" s="94"/>
      <c r="N1803" s="95"/>
      <c r="O1803" s="95"/>
      <c r="P1803" s="95"/>
      <c r="Q1803" s="95"/>
      <c r="R1803" s="95"/>
      <c r="S1803" s="95"/>
      <c r="T1803" s="95"/>
      <c r="U1803" s="95"/>
      <c r="V1803" s="96"/>
      <c r="W1803" s="96"/>
      <c r="X1803" s="97"/>
      <c r="Y1803" s="97"/>
      <c r="Z1803" s="97"/>
      <c r="AA1803" s="4"/>
      <c r="AB1803" s="5"/>
    </row>
    <row r="1804" spans="1:28" x14ac:dyDescent="0.2">
      <c r="A1804" s="4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91"/>
      <c r="O1804" s="91"/>
      <c r="P1804" s="91"/>
      <c r="Q1804" s="91"/>
      <c r="R1804" s="91"/>
      <c r="S1804" s="91"/>
      <c r="T1804" s="91"/>
      <c r="U1804" s="91"/>
      <c r="V1804" s="92"/>
      <c r="W1804" s="92"/>
      <c r="X1804" s="93"/>
      <c r="Y1804" s="93"/>
      <c r="Z1804" s="93"/>
      <c r="AA1804" s="4"/>
      <c r="AB1804" s="5"/>
    </row>
    <row r="1805" spans="1:28" x14ac:dyDescent="0.2">
      <c r="A1805" s="4"/>
      <c r="B1805" s="94"/>
      <c r="C1805" s="94"/>
      <c r="D1805" s="94"/>
      <c r="E1805" s="94"/>
      <c r="F1805" s="94"/>
      <c r="G1805" s="94"/>
      <c r="H1805" s="94"/>
      <c r="I1805" s="94"/>
      <c r="J1805" s="94"/>
      <c r="K1805" s="94"/>
      <c r="L1805" s="94"/>
      <c r="M1805" s="94"/>
      <c r="N1805" s="95"/>
      <c r="O1805" s="95"/>
      <c r="P1805" s="95"/>
      <c r="Q1805" s="95"/>
      <c r="R1805" s="95"/>
      <c r="S1805" s="95"/>
      <c r="T1805" s="95"/>
      <c r="U1805" s="95"/>
      <c r="V1805" s="96"/>
      <c r="W1805" s="96"/>
      <c r="X1805" s="97"/>
      <c r="Y1805" s="97"/>
      <c r="Z1805" s="97"/>
      <c r="AA1805" s="4"/>
      <c r="AB1805" s="5"/>
    </row>
    <row r="1806" spans="1:28" x14ac:dyDescent="0.2">
      <c r="A1806" s="4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91"/>
      <c r="O1806" s="91"/>
      <c r="P1806" s="91"/>
      <c r="Q1806" s="91"/>
      <c r="R1806" s="91"/>
      <c r="S1806" s="91"/>
      <c r="T1806" s="91"/>
      <c r="U1806" s="91"/>
      <c r="V1806" s="92"/>
      <c r="W1806" s="92"/>
      <c r="X1806" s="93"/>
      <c r="Y1806" s="93"/>
      <c r="Z1806" s="93"/>
      <c r="AA1806" s="4"/>
      <c r="AB1806" s="5"/>
    </row>
    <row r="1807" spans="1:28" x14ac:dyDescent="0.2">
      <c r="A1807" s="4"/>
      <c r="B1807" s="94"/>
      <c r="C1807" s="94"/>
      <c r="D1807" s="94"/>
      <c r="E1807" s="94"/>
      <c r="F1807" s="94"/>
      <c r="G1807" s="94"/>
      <c r="H1807" s="94"/>
      <c r="I1807" s="94"/>
      <c r="J1807" s="94"/>
      <c r="K1807" s="94"/>
      <c r="L1807" s="94"/>
      <c r="M1807" s="94"/>
      <c r="N1807" s="95"/>
      <c r="O1807" s="95"/>
      <c r="P1807" s="95"/>
      <c r="Q1807" s="95"/>
      <c r="R1807" s="95"/>
      <c r="S1807" s="95"/>
      <c r="T1807" s="95"/>
      <c r="U1807" s="95"/>
      <c r="V1807" s="96"/>
      <c r="W1807" s="96"/>
      <c r="X1807" s="97"/>
      <c r="Y1807" s="97"/>
      <c r="Z1807" s="97"/>
      <c r="AA1807" s="4"/>
      <c r="AB1807" s="5"/>
    </row>
    <row r="1808" spans="1:28" x14ac:dyDescent="0.2">
      <c r="A1808" s="4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91"/>
      <c r="O1808" s="91"/>
      <c r="P1808" s="91"/>
      <c r="Q1808" s="91"/>
      <c r="R1808" s="91"/>
      <c r="S1808" s="91"/>
      <c r="T1808" s="91"/>
      <c r="U1808" s="91"/>
      <c r="V1808" s="92"/>
      <c r="W1808" s="92"/>
      <c r="X1808" s="93"/>
      <c r="Y1808" s="93"/>
      <c r="Z1808" s="93"/>
      <c r="AA1808" s="4"/>
      <c r="AB1808" s="5"/>
    </row>
    <row r="1809" spans="1:28" x14ac:dyDescent="0.2">
      <c r="A1809" s="4"/>
      <c r="B1809" s="94"/>
      <c r="C1809" s="94"/>
      <c r="D1809" s="94"/>
      <c r="E1809" s="94"/>
      <c r="F1809" s="94"/>
      <c r="G1809" s="94"/>
      <c r="H1809" s="94"/>
      <c r="I1809" s="94"/>
      <c r="J1809" s="94"/>
      <c r="K1809" s="94"/>
      <c r="L1809" s="94"/>
      <c r="M1809" s="94"/>
      <c r="N1809" s="95"/>
      <c r="O1809" s="95"/>
      <c r="P1809" s="95"/>
      <c r="Q1809" s="95"/>
      <c r="R1809" s="95"/>
      <c r="S1809" s="95"/>
      <c r="T1809" s="95"/>
      <c r="U1809" s="95"/>
      <c r="V1809" s="96"/>
      <c r="W1809" s="96"/>
      <c r="X1809" s="97"/>
      <c r="Y1809" s="97"/>
      <c r="Z1809" s="97"/>
      <c r="AA1809" s="4"/>
      <c r="AB1809" s="5"/>
    </row>
    <row r="1810" spans="1:28" x14ac:dyDescent="0.2">
      <c r="A1810" s="4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91"/>
      <c r="O1810" s="91"/>
      <c r="P1810" s="91"/>
      <c r="Q1810" s="91"/>
      <c r="R1810" s="91"/>
      <c r="S1810" s="91"/>
      <c r="T1810" s="91"/>
      <c r="U1810" s="91"/>
      <c r="V1810" s="92"/>
      <c r="W1810" s="92"/>
      <c r="X1810" s="93"/>
      <c r="Y1810" s="93"/>
      <c r="Z1810" s="93"/>
      <c r="AA1810" s="4"/>
      <c r="AB1810" s="5"/>
    </row>
    <row r="1811" spans="1:28" x14ac:dyDescent="0.2">
      <c r="A1811" s="4"/>
      <c r="B1811" s="94"/>
      <c r="C1811" s="94"/>
      <c r="D1811" s="94"/>
      <c r="E1811" s="94"/>
      <c r="F1811" s="94"/>
      <c r="G1811" s="94"/>
      <c r="H1811" s="94"/>
      <c r="I1811" s="94"/>
      <c r="J1811" s="94"/>
      <c r="K1811" s="94"/>
      <c r="L1811" s="94"/>
      <c r="M1811" s="94"/>
      <c r="N1811" s="95"/>
      <c r="O1811" s="95"/>
      <c r="P1811" s="95"/>
      <c r="Q1811" s="95"/>
      <c r="R1811" s="95"/>
      <c r="S1811" s="95"/>
      <c r="T1811" s="95"/>
      <c r="U1811" s="95"/>
      <c r="V1811" s="96"/>
      <c r="W1811" s="96"/>
      <c r="X1811" s="97"/>
      <c r="Y1811" s="97"/>
      <c r="Z1811" s="97"/>
      <c r="AA1811" s="4"/>
      <c r="AB1811" s="5"/>
    </row>
    <row r="1812" spans="1:28" x14ac:dyDescent="0.2">
      <c r="A1812" s="4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91"/>
      <c r="O1812" s="91"/>
      <c r="P1812" s="91"/>
      <c r="Q1812" s="91"/>
      <c r="R1812" s="91"/>
      <c r="S1812" s="91"/>
      <c r="T1812" s="91"/>
      <c r="U1812" s="91"/>
      <c r="V1812" s="92"/>
      <c r="W1812" s="92"/>
      <c r="X1812" s="93"/>
      <c r="Y1812" s="93"/>
      <c r="Z1812" s="93"/>
      <c r="AA1812" s="4"/>
      <c r="AB1812" s="5"/>
    </row>
    <row r="1813" spans="1:28" x14ac:dyDescent="0.2">
      <c r="A1813" s="4"/>
      <c r="B1813" s="94"/>
      <c r="C1813" s="94"/>
      <c r="D1813" s="94"/>
      <c r="E1813" s="94"/>
      <c r="F1813" s="94"/>
      <c r="G1813" s="94"/>
      <c r="H1813" s="94"/>
      <c r="I1813" s="94"/>
      <c r="J1813" s="94"/>
      <c r="K1813" s="94"/>
      <c r="L1813" s="94"/>
      <c r="M1813" s="94"/>
      <c r="N1813" s="95"/>
      <c r="O1813" s="95"/>
      <c r="P1813" s="95"/>
      <c r="Q1813" s="95"/>
      <c r="R1813" s="95"/>
      <c r="S1813" s="95"/>
      <c r="T1813" s="95"/>
      <c r="U1813" s="95"/>
      <c r="V1813" s="96"/>
      <c r="W1813" s="96"/>
      <c r="X1813" s="97"/>
      <c r="Y1813" s="97"/>
      <c r="Z1813" s="97"/>
      <c r="AA1813" s="4"/>
      <c r="AB1813" s="5"/>
    </row>
    <row r="1814" spans="1:28" x14ac:dyDescent="0.2">
      <c r="A1814" s="4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91"/>
      <c r="O1814" s="91"/>
      <c r="P1814" s="91"/>
      <c r="Q1814" s="91"/>
      <c r="R1814" s="91"/>
      <c r="S1814" s="91"/>
      <c r="T1814" s="91"/>
      <c r="U1814" s="91"/>
      <c r="V1814" s="92"/>
      <c r="W1814" s="92"/>
      <c r="X1814" s="93"/>
      <c r="Y1814" s="93"/>
      <c r="Z1814" s="93"/>
      <c r="AA1814" s="4"/>
      <c r="AB1814" s="5"/>
    </row>
    <row r="1815" spans="1:28" x14ac:dyDescent="0.2">
      <c r="A1815" s="4"/>
      <c r="B1815" s="94"/>
      <c r="C1815" s="94"/>
      <c r="D1815" s="94"/>
      <c r="E1815" s="94"/>
      <c r="F1815" s="94"/>
      <c r="G1815" s="94"/>
      <c r="H1815" s="94"/>
      <c r="I1815" s="94"/>
      <c r="J1815" s="94"/>
      <c r="K1815" s="94"/>
      <c r="L1815" s="94"/>
      <c r="M1815" s="94"/>
      <c r="N1815" s="95"/>
      <c r="O1815" s="95"/>
      <c r="P1815" s="95"/>
      <c r="Q1815" s="95"/>
      <c r="R1815" s="95"/>
      <c r="S1815" s="95"/>
      <c r="T1815" s="95"/>
      <c r="U1815" s="95"/>
      <c r="V1815" s="96"/>
      <c r="W1815" s="96"/>
      <c r="X1815" s="97"/>
      <c r="Y1815" s="97"/>
      <c r="Z1815" s="97"/>
      <c r="AA1815" s="4"/>
      <c r="AB1815" s="5"/>
    </row>
    <row r="1816" spans="1:28" x14ac:dyDescent="0.2">
      <c r="A1816" s="4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91"/>
      <c r="O1816" s="91"/>
      <c r="P1816" s="91"/>
      <c r="Q1816" s="91"/>
      <c r="R1816" s="91"/>
      <c r="S1816" s="91"/>
      <c r="T1816" s="91"/>
      <c r="U1816" s="91"/>
      <c r="V1816" s="92"/>
      <c r="W1816" s="92"/>
      <c r="X1816" s="93"/>
      <c r="Y1816" s="93"/>
      <c r="Z1816" s="93"/>
      <c r="AA1816" s="4"/>
      <c r="AB1816" s="5"/>
    </row>
    <row r="1817" spans="1:28" x14ac:dyDescent="0.2">
      <c r="A1817" s="4"/>
      <c r="B1817" s="94"/>
      <c r="C1817" s="94"/>
      <c r="D1817" s="94"/>
      <c r="E1817" s="94"/>
      <c r="F1817" s="94"/>
      <c r="G1817" s="94"/>
      <c r="H1817" s="94"/>
      <c r="I1817" s="94"/>
      <c r="J1817" s="94"/>
      <c r="K1817" s="94"/>
      <c r="L1817" s="94"/>
      <c r="M1817" s="94"/>
      <c r="N1817" s="95"/>
      <c r="O1817" s="95"/>
      <c r="P1817" s="95"/>
      <c r="Q1817" s="95"/>
      <c r="R1817" s="95"/>
      <c r="S1817" s="95"/>
      <c r="T1817" s="95"/>
      <c r="U1817" s="95"/>
      <c r="V1817" s="96"/>
      <c r="W1817" s="96"/>
      <c r="X1817" s="97"/>
      <c r="Y1817" s="97"/>
      <c r="Z1817" s="97"/>
      <c r="AA1817" s="4"/>
      <c r="AB1817" s="5"/>
    </row>
    <row r="1818" spans="1:28" x14ac:dyDescent="0.2">
      <c r="A1818" s="4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91"/>
      <c r="O1818" s="91"/>
      <c r="P1818" s="91"/>
      <c r="Q1818" s="91"/>
      <c r="R1818" s="91"/>
      <c r="S1818" s="91"/>
      <c r="T1818" s="91"/>
      <c r="U1818" s="91"/>
      <c r="V1818" s="92"/>
      <c r="W1818" s="92"/>
      <c r="X1818" s="93"/>
      <c r="Y1818" s="93"/>
      <c r="Z1818" s="93"/>
      <c r="AA1818" s="4"/>
      <c r="AB1818" s="5"/>
    </row>
    <row r="1819" spans="1:28" x14ac:dyDescent="0.2">
      <c r="A1819" s="4"/>
      <c r="B1819" s="94"/>
      <c r="C1819" s="94"/>
      <c r="D1819" s="94"/>
      <c r="E1819" s="94"/>
      <c r="F1819" s="94"/>
      <c r="G1819" s="94"/>
      <c r="H1819" s="94"/>
      <c r="I1819" s="94"/>
      <c r="J1819" s="94"/>
      <c r="K1819" s="94"/>
      <c r="L1819" s="94"/>
      <c r="M1819" s="94"/>
      <c r="N1819" s="95"/>
      <c r="O1819" s="95"/>
      <c r="P1819" s="95"/>
      <c r="Q1819" s="95"/>
      <c r="R1819" s="95"/>
      <c r="S1819" s="95"/>
      <c r="T1819" s="95"/>
      <c r="U1819" s="95"/>
      <c r="V1819" s="96"/>
      <c r="W1819" s="96"/>
      <c r="X1819" s="97"/>
      <c r="Y1819" s="97"/>
      <c r="Z1819" s="97"/>
      <c r="AA1819" s="4"/>
      <c r="AB1819" s="5"/>
    </row>
    <row r="1820" spans="1:28" x14ac:dyDescent="0.2">
      <c r="A1820" s="4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91"/>
      <c r="O1820" s="91"/>
      <c r="P1820" s="91"/>
      <c r="Q1820" s="91"/>
      <c r="R1820" s="91"/>
      <c r="S1820" s="91"/>
      <c r="T1820" s="91"/>
      <c r="U1820" s="91"/>
      <c r="V1820" s="92"/>
      <c r="W1820" s="92"/>
      <c r="X1820" s="93"/>
      <c r="Y1820" s="93"/>
      <c r="Z1820" s="93"/>
      <c r="AA1820" s="4"/>
      <c r="AB1820" s="5"/>
    </row>
    <row r="1821" spans="1:28" x14ac:dyDescent="0.2">
      <c r="A1821" s="4"/>
      <c r="B1821" s="94"/>
      <c r="C1821" s="94"/>
      <c r="D1821" s="94"/>
      <c r="E1821" s="94"/>
      <c r="F1821" s="94"/>
      <c r="G1821" s="94"/>
      <c r="H1821" s="94"/>
      <c r="I1821" s="94"/>
      <c r="J1821" s="94"/>
      <c r="K1821" s="94"/>
      <c r="L1821" s="94"/>
      <c r="M1821" s="94"/>
      <c r="N1821" s="95"/>
      <c r="O1821" s="95"/>
      <c r="P1821" s="95"/>
      <c r="Q1821" s="95"/>
      <c r="R1821" s="95"/>
      <c r="S1821" s="95"/>
      <c r="T1821" s="95"/>
      <c r="U1821" s="95"/>
      <c r="V1821" s="96"/>
      <c r="W1821" s="96"/>
      <c r="X1821" s="97"/>
      <c r="Y1821" s="97"/>
      <c r="Z1821" s="97"/>
      <c r="AA1821" s="4"/>
      <c r="AB1821" s="5"/>
    </row>
    <row r="1822" spans="1:28" x14ac:dyDescent="0.2">
      <c r="A1822" s="4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91"/>
      <c r="O1822" s="91"/>
      <c r="P1822" s="91"/>
      <c r="Q1822" s="91"/>
      <c r="R1822" s="91"/>
      <c r="S1822" s="91"/>
      <c r="T1822" s="91"/>
      <c r="U1822" s="91"/>
      <c r="V1822" s="92"/>
      <c r="W1822" s="92"/>
      <c r="X1822" s="93"/>
      <c r="Y1822" s="93"/>
      <c r="Z1822" s="93"/>
      <c r="AA1822" s="4"/>
      <c r="AB1822" s="5"/>
    </row>
    <row r="1823" spans="1:28" x14ac:dyDescent="0.2">
      <c r="A1823" s="4"/>
      <c r="B1823" s="94"/>
      <c r="C1823" s="94"/>
      <c r="D1823" s="94"/>
      <c r="E1823" s="94"/>
      <c r="F1823" s="94"/>
      <c r="G1823" s="94"/>
      <c r="H1823" s="94"/>
      <c r="I1823" s="94"/>
      <c r="J1823" s="94"/>
      <c r="K1823" s="94"/>
      <c r="L1823" s="94"/>
      <c r="M1823" s="94"/>
      <c r="N1823" s="95"/>
      <c r="O1823" s="95"/>
      <c r="P1823" s="95"/>
      <c r="Q1823" s="95"/>
      <c r="R1823" s="95"/>
      <c r="S1823" s="95"/>
      <c r="T1823" s="95"/>
      <c r="U1823" s="95"/>
      <c r="V1823" s="96"/>
      <c r="W1823" s="96"/>
      <c r="X1823" s="97"/>
      <c r="Y1823" s="97"/>
      <c r="Z1823" s="97"/>
      <c r="AA1823" s="4"/>
      <c r="AB1823" s="5"/>
    </row>
    <row r="1824" spans="1:28" x14ac:dyDescent="0.2">
      <c r="A1824" s="4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91"/>
      <c r="O1824" s="91"/>
      <c r="P1824" s="91"/>
      <c r="Q1824" s="91"/>
      <c r="R1824" s="91"/>
      <c r="S1824" s="91"/>
      <c r="T1824" s="91"/>
      <c r="U1824" s="91"/>
      <c r="V1824" s="92"/>
      <c r="W1824" s="92"/>
      <c r="X1824" s="93"/>
      <c r="Y1824" s="93"/>
      <c r="Z1824" s="93"/>
      <c r="AA1824" s="4"/>
      <c r="AB1824" s="5"/>
    </row>
    <row r="1825" spans="1:28" x14ac:dyDescent="0.2">
      <c r="A1825" s="4"/>
      <c r="B1825" s="94"/>
      <c r="C1825" s="94"/>
      <c r="D1825" s="94"/>
      <c r="E1825" s="94"/>
      <c r="F1825" s="94"/>
      <c r="G1825" s="94"/>
      <c r="H1825" s="94"/>
      <c r="I1825" s="94"/>
      <c r="J1825" s="94"/>
      <c r="K1825" s="94"/>
      <c r="L1825" s="94"/>
      <c r="M1825" s="94"/>
      <c r="N1825" s="95"/>
      <c r="O1825" s="95"/>
      <c r="P1825" s="95"/>
      <c r="Q1825" s="95"/>
      <c r="R1825" s="95"/>
      <c r="S1825" s="95"/>
      <c r="T1825" s="95"/>
      <c r="U1825" s="95"/>
      <c r="V1825" s="96"/>
      <c r="W1825" s="96"/>
      <c r="X1825" s="97"/>
      <c r="Y1825" s="97"/>
      <c r="Z1825" s="97"/>
      <c r="AA1825" s="4"/>
      <c r="AB1825" s="5"/>
    </row>
    <row r="1826" spans="1:28" x14ac:dyDescent="0.2">
      <c r="A1826" s="4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91"/>
      <c r="O1826" s="91"/>
      <c r="P1826" s="91"/>
      <c r="Q1826" s="91"/>
      <c r="R1826" s="91"/>
      <c r="S1826" s="91"/>
      <c r="T1826" s="91"/>
      <c r="U1826" s="91"/>
      <c r="V1826" s="92"/>
      <c r="W1826" s="92"/>
      <c r="X1826" s="93"/>
      <c r="Y1826" s="93"/>
      <c r="Z1826" s="93"/>
      <c r="AA1826" s="4"/>
      <c r="AB1826" s="5"/>
    </row>
    <row r="1827" spans="1:28" x14ac:dyDescent="0.2">
      <c r="A1827" s="4"/>
      <c r="B1827" s="94"/>
      <c r="C1827" s="94"/>
      <c r="D1827" s="94"/>
      <c r="E1827" s="94"/>
      <c r="F1827" s="94"/>
      <c r="G1827" s="94"/>
      <c r="H1827" s="94"/>
      <c r="I1827" s="94"/>
      <c r="J1827" s="94"/>
      <c r="K1827" s="94"/>
      <c r="L1827" s="94"/>
      <c r="M1827" s="94"/>
      <c r="N1827" s="95"/>
      <c r="O1827" s="95"/>
      <c r="P1827" s="95"/>
      <c r="Q1827" s="95"/>
      <c r="R1827" s="95"/>
      <c r="S1827" s="95"/>
      <c r="T1827" s="95"/>
      <c r="U1827" s="95"/>
      <c r="V1827" s="96"/>
      <c r="W1827" s="96"/>
      <c r="X1827" s="97"/>
      <c r="Y1827" s="97"/>
      <c r="Z1827" s="97"/>
      <c r="AA1827" s="4"/>
      <c r="AB1827" s="5"/>
    </row>
    <row r="1828" spans="1:28" x14ac:dyDescent="0.2">
      <c r="A1828" s="4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91"/>
      <c r="O1828" s="91"/>
      <c r="P1828" s="91"/>
      <c r="Q1828" s="91"/>
      <c r="R1828" s="91"/>
      <c r="S1828" s="91"/>
      <c r="T1828" s="91"/>
      <c r="U1828" s="91"/>
      <c r="V1828" s="92"/>
      <c r="W1828" s="92"/>
      <c r="X1828" s="93"/>
      <c r="Y1828" s="93"/>
      <c r="Z1828" s="93"/>
      <c r="AA1828" s="4"/>
      <c r="AB1828" s="5"/>
    </row>
    <row r="1829" spans="1:28" x14ac:dyDescent="0.2">
      <c r="A1829" s="4"/>
      <c r="B1829" s="94"/>
      <c r="C1829" s="94"/>
      <c r="D1829" s="94"/>
      <c r="E1829" s="94"/>
      <c r="F1829" s="94"/>
      <c r="G1829" s="94"/>
      <c r="H1829" s="94"/>
      <c r="I1829" s="94"/>
      <c r="J1829" s="94"/>
      <c r="K1829" s="94"/>
      <c r="L1829" s="94"/>
      <c r="M1829" s="94"/>
      <c r="N1829" s="95"/>
      <c r="O1829" s="95"/>
      <c r="P1829" s="95"/>
      <c r="Q1829" s="95"/>
      <c r="R1829" s="95"/>
      <c r="S1829" s="95"/>
      <c r="T1829" s="95"/>
      <c r="U1829" s="95"/>
      <c r="V1829" s="96"/>
      <c r="W1829" s="96"/>
      <c r="X1829" s="97"/>
      <c r="Y1829" s="97"/>
      <c r="Z1829" s="97"/>
      <c r="AA1829" s="4"/>
      <c r="AB1829" s="5"/>
    </row>
    <row r="1830" spans="1:28" x14ac:dyDescent="0.2">
      <c r="A1830" s="4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91"/>
      <c r="O1830" s="91"/>
      <c r="P1830" s="91"/>
      <c r="Q1830" s="91"/>
      <c r="R1830" s="91"/>
      <c r="S1830" s="91"/>
      <c r="T1830" s="91"/>
      <c r="U1830" s="91"/>
      <c r="V1830" s="92"/>
      <c r="W1830" s="92"/>
      <c r="X1830" s="93"/>
      <c r="Y1830" s="93"/>
      <c r="Z1830" s="93"/>
      <c r="AA1830" s="4"/>
      <c r="AB1830" s="5"/>
    </row>
    <row r="1831" spans="1:28" x14ac:dyDescent="0.2">
      <c r="A1831" s="4"/>
      <c r="B1831" s="94"/>
      <c r="C1831" s="94"/>
      <c r="D1831" s="94"/>
      <c r="E1831" s="94"/>
      <c r="F1831" s="94"/>
      <c r="G1831" s="94"/>
      <c r="H1831" s="94"/>
      <c r="I1831" s="94"/>
      <c r="J1831" s="94"/>
      <c r="K1831" s="94"/>
      <c r="L1831" s="94"/>
      <c r="M1831" s="94"/>
      <c r="N1831" s="95"/>
      <c r="O1831" s="95"/>
      <c r="P1831" s="95"/>
      <c r="Q1831" s="95"/>
      <c r="R1831" s="95"/>
      <c r="S1831" s="95"/>
      <c r="T1831" s="95"/>
      <c r="U1831" s="95"/>
      <c r="V1831" s="96"/>
      <c r="W1831" s="96"/>
      <c r="X1831" s="97"/>
      <c r="Y1831" s="97"/>
      <c r="Z1831" s="97"/>
      <c r="AA1831" s="4"/>
      <c r="AB1831" s="5"/>
    </row>
    <row r="1832" spans="1:28" x14ac:dyDescent="0.2">
      <c r="A1832" s="4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91"/>
      <c r="O1832" s="91"/>
      <c r="P1832" s="91"/>
      <c r="Q1832" s="91"/>
      <c r="R1832" s="91"/>
      <c r="S1832" s="91"/>
      <c r="T1832" s="91"/>
      <c r="U1832" s="91"/>
      <c r="V1832" s="92"/>
      <c r="W1832" s="92"/>
      <c r="X1832" s="93"/>
      <c r="Y1832" s="93"/>
      <c r="Z1832" s="93"/>
      <c r="AA1832" s="4"/>
      <c r="AB1832" s="5"/>
    </row>
    <row r="1833" spans="1:28" x14ac:dyDescent="0.2">
      <c r="A1833" s="4"/>
      <c r="B1833" s="94"/>
      <c r="C1833" s="94"/>
      <c r="D1833" s="94"/>
      <c r="E1833" s="94"/>
      <c r="F1833" s="94"/>
      <c r="G1833" s="94"/>
      <c r="H1833" s="94"/>
      <c r="I1833" s="94"/>
      <c r="J1833" s="94"/>
      <c r="K1833" s="94"/>
      <c r="L1833" s="94"/>
      <c r="M1833" s="94"/>
      <c r="N1833" s="95"/>
      <c r="O1833" s="95"/>
      <c r="P1833" s="95"/>
      <c r="Q1833" s="95"/>
      <c r="R1833" s="95"/>
      <c r="S1833" s="95"/>
      <c r="T1833" s="95"/>
      <c r="U1833" s="95"/>
      <c r="V1833" s="96"/>
      <c r="W1833" s="96"/>
      <c r="X1833" s="97"/>
      <c r="Y1833" s="97"/>
      <c r="Z1833" s="97"/>
      <c r="AA1833" s="4"/>
      <c r="AB1833" s="5"/>
    </row>
    <row r="1834" spans="1:28" x14ac:dyDescent="0.2">
      <c r="A1834" s="4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91"/>
      <c r="O1834" s="91"/>
      <c r="P1834" s="91"/>
      <c r="Q1834" s="91"/>
      <c r="R1834" s="91"/>
      <c r="S1834" s="91"/>
      <c r="T1834" s="91"/>
      <c r="U1834" s="91"/>
      <c r="V1834" s="92"/>
      <c r="W1834" s="92"/>
      <c r="X1834" s="93"/>
      <c r="Y1834" s="93"/>
      <c r="Z1834" s="93"/>
      <c r="AA1834" s="4"/>
      <c r="AB1834" s="5"/>
    </row>
    <row r="1835" spans="1:28" x14ac:dyDescent="0.2">
      <c r="A1835" s="4"/>
      <c r="B1835" s="94"/>
      <c r="C1835" s="94"/>
      <c r="D1835" s="94"/>
      <c r="E1835" s="94"/>
      <c r="F1835" s="94"/>
      <c r="G1835" s="94"/>
      <c r="H1835" s="94"/>
      <c r="I1835" s="94"/>
      <c r="J1835" s="94"/>
      <c r="K1835" s="94"/>
      <c r="L1835" s="94"/>
      <c r="M1835" s="94"/>
      <c r="N1835" s="95"/>
      <c r="O1835" s="95"/>
      <c r="P1835" s="95"/>
      <c r="Q1835" s="95"/>
      <c r="R1835" s="95"/>
      <c r="S1835" s="95"/>
      <c r="T1835" s="95"/>
      <c r="U1835" s="95"/>
      <c r="V1835" s="96"/>
      <c r="W1835" s="96"/>
      <c r="X1835" s="97"/>
      <c r="Y1835" s="97"/>
      <c r="Z1835" s="97"/>
      <c r="AA1835" s="4"/>
      <c r="AB1835" s="5"/>
    </row>
    <row r="1836" spans="1:28" x14ac:dyDescent="0.2">
      <c r="A1836" s="4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91"/>
      <c r="O1836" s="91"/>
      <c r="P1836" s="91"/>
      <c r="Q1836" s="91"/>
      <c r="R1836" s="91"/>
      <c r="S1836" s="91"/>
      <c r="T1836" s="91"/>
      <c r="U1836" s="91"/>
      <c r="V1836" s="92"/>
      <c r="W1836" s="92"/>
      <c r="X1836" s="93"/>
      <c r="Y1836" s="93"/>
      <c r="Z1836" s="93"/>
      <c r="AA1836" s="4"/>
      <c r="AB1836" s="5"/>
    </row>
    <row r="1837" spans="1:28" x14ac:dyDescent="0.2">
      <c r="A1837" s="4"/>
      <c r="B1837" s="94"/>
      <c r="C1837" s="94"/>
      <c r="D1837" s="94"/>
      <c r="E1837" s="94"/>
      <c r="F1837" s="94"/>
      <c r="G1837" s="94"/>
      <c r="H1837" s="94"/>
      <c r="I1837" s="94"/>
      <c r="J1837" s="94"/>
      <c r="K1837" s="94"/>
      <c r="L1837" s="94"/>
      <c r="M1837" s="94"/>
      <c r="N1837" s="95"/>
      <c r="O1837" s="95"/>
      <c r="P1837" s="95"/>
      <c r="Q1837" s="95"/>
      <c r="R1837" s="95"/>
      <c r="S1837" s="95"/>
      <c r="T1837" s="95"/>
      <c r="U1837" s="95"/>
      <c r="V1837" s="96"/>
      <c r="W1837" s="96"/>
      <c r="X1837" s="97"/>
      <c r="Y1837" s="97"/>
      <c r="Z1837" s="97"/>
      <c r="AA1837" s="4"/>
      <c r="AB1837" s="5"/>
    </row>
    <row r="1838" spans="1:28" x14ac:dyDescent="0.2">
      <c r="A1838" s="4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91"/>
      <c r="O1838" s="91"/>
      <c r="P1838" s="91"/>
      <c r="Q1838" s="91"/>
      <c r="R1838" s="91"/>
      <c r="S1838" s="91"/>
      <c r="T1838" s="91"/>
      <c r="U1838" s="91"/>
      <c r="V1838" s="92"/>
      <c r="W1838" s="92"/>
      <c r="X1838" s="93"/>
      <c r="Y1838" s="93"/>
      <c r="Z1838" s="93"/>
      <c r="AA1838" s="4"/>
      <c r="AB1838" s="5"/>
    </row>
    <row r="1839" spans="1:28" x14ac:dyDescent="0.2">
      <c r="A1839" s="4"/>
      <c r="B1839" s="94"/>
      <c r="C1839" s="94"/>
      <c r="D1839" s="94"/>
      <c r="E1839" s="94"/>
      <c r="F1839" s="94"/>
      <c r="G1839" s="94"/>
      <c r="H1839" s="94"/>
      <c r="I1839" s="94"/>
      <c r="J1839" s="94"/>
      <c r="K1839" s="94"/>
      <c r="L1839" s="94"/>
      <c r="M1839" s="94"/>
      <c r="N1839" s="95"/>
      <c r="O1839" s="95"/>
      <c r="P1839" s="95"/>
      <c r="Q1839" s="95"/>
      <c r="R1839" s="95"/>
      <c r="S1839" s="95"/>
      <c r="T1839" s="95"/>
      <c r="U1839" s="95"/>
      <c r="V1839" s="96"/>
      <c r="W1839" s="96"/>
      <c r="X1839" s="97"/>
      <c r="Y1839" s="97"/>
      <c r="Z1839" s="97"/>
      <c r="AA1839" s="4"/>
      <c r="AB1839" s="5"/>
    </row>
    <row r="1840" spans="1:28" x14ac:dyDescent="0.2">
      <c r="A1840" s="4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91"/>
      <c r="O1840" s="91"/>
      <c r="P1840" s="91"/>
      <c r="Q1840" s="91"/>
      <c r="R1840" s="91"/>
      <c r="S1840" s="91"/>
      <c r="T1840" s="91"/>
      <c r="U1840" s="91"/>
      <c r="V1840" s="92"/>
      <c r="W1840" s="92"/>
      <c r="X1840" s="93"/>
      <c r="Y1840" s="93"/>
      <c r="Z1840" s="93"/>
      <c r="AA1840" s="4"/>
      <c r="AB1840" s="5"/>
    </row>
    <row r="1841" spans="1:28" x14ac:dyDescent="0.2">
      <c r="A1841" s="4"/>
      <c r="B1841" s="94"/>
      <c r="C1841" s="94"/>
      <c r="D1841" s="94"/>
      <c r="E1841" s="94"/>
      <c r="F1841" s="94"/>
      <c r="G1841" s="94"/>
      <c r="H1841" s="94"/>
      <c r="I1841" s="94"/>
      <c r="J1841" s="94"/>
      <c r="K1841" s="94"/>
      <c r="L1841" s="94"/>
      <c r="M1841" s="94"/>
      <c r="N1841" s="95"/>
      <c r="O1841" s="95"/>
      <c r="P1841" s="95"/>
      <c r="Q1841" s="95"/>
      <c r="R1841" s="95"/>
      <c r="S1841" s="95"/>
      <c r="T1841" s="95"/>
      <c r="U1841" s="95"/>
      <c r="V1841" s="96"/>
      <c r="W1841" s="96"/>
      <c r="X1841" s="97"/>
      <c r="Y1841" s="97"/>
      <c r="Z1841" s="97"/>
      <c r="AA1841" s="4"/>
      <c r="AB1841" s="5"/>
    </row>
    <row r="1842" spans="1:28" x14ac:dyDescent="0.2">
      <c r="A1842" s="4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91"/>
      <c r="O1842" s="91"/>
      <c r="P1842" s="91"/>
      <c r="Q1842" s="91"/>
      <c r="R1842" s="91"/>
      <c r="S1842" s="91"/>
      <c r="T1842" s="91"/>
      <c r="U1842" s="91"/>
      <c r="V1842" s="92"/>
      <c r="W1842" s="92"/>
      <c r="X1842" s="93"/>
      <c r="Y1842" s="93"/>
      <c r="Z1842" s="93"/>
      <c r="AA1842" s="4"/>
      <c r="AB1842" s="5"/>
    </row>
    <row r="1843" spans="1:28" x14ac:dyDescent="0.2">
      <c r="A1843" s="4"/>
      <c r="B1843" s="94"/>
      <c r="C1843" s="94"/>
      <c r="D1843" s="94"/>
      <c r="E1843" s="94"/>
      <c r="F1843" s="94"/>
      <c r="G1843" s="94"/>
      <c r="H1843" s="94"/>
      <c r="I1843" s="94"/>
      <c r="J1843" s="94"/>
      <c r="K1843" s="94"/>
      <c r="L1843" s="94"/>
      <c r="M1843" s="94"/>
      <c r="N1843" s="95"/>
      <c r="O1843" s="95"/>
      <c r="P1843" s="95"/>
      <c r="Q1843" s="95"/>
      <c r="R1843" s="95"/>
      <c r="S1843" s="95"/>
      <c r="T1843" s="95"/>
      <c r="U1843" s="95"/>
      <c r="V1843" s="96"/>
      <c r="W1843" s="96"/>
      <c r="X1843" s="97"/>
      <c r="Y1843" s="97"/>
      <c r="Z1843" s="97"/>
      <c r="AA1843" s="4"/>
      <c r="AB1843" s="5"/>
    </row>
    <row r="1844" spans="1:28" x14ac:dyDescent="0.2">
      <c r="A1844" s="4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91"/>
      <c r="O1844" s="91"/>
      <c r="P1844" s="91"/>
      <c r="Q1844" s="91"/>
      <c r="R1844" s="91"/>
      <c r="S1844" s="91"/>
      <c r="T1844" s="91"/>
      <c r="U1844" s="91"/>
      <c r="V1844" s="92"/>
      <c r="W1844" s="92"/>
      <c r="X1844" s="93"/>
      <c r="Y1844" s="93"/>
      <c r="Z1844" s="93"/>
      <c r="AA1844" s="4"/>
      <c r="AB1844" s="5"/>
    </row>
    <row r="1845" spans="1:28" x14ac:dyDescent="0.2">
      <c r="A1845" s="4"/>
      <c r="B1845" s="94"/>
      <c r="C1845" s="94"/>
      <c r="D1845" s="94"/>
      <c r="E1845" s="94"/>
      <c r="F1845" s="94"/>
      <c r="G1845" s="94"/>
      <c r="H1845" s="94"/>
      <c r="I1845" s="94"/>
      <c r="J1845" s="94"/>
      <c r="K1845" s="94"/>
      <c r="L1845" s="94"/>
      <c r="M1845" s="94"/>
      <c r="N1845" s="95"/>
      <c r="O1845" s="95"/>
      <c r="P1845" s="95"/>
      <c r="Q1845" s="95"/>
      <c r="R1845" s="95"/>
      <c r="S1845" s="95"/>
      <c r="T1845" s="95"/>
      <c r="U1845" s="95"/>
      <c r="V1845" s="96"/>
      <c r="W1845" s="96"/>
      <c r="X1845" s="97"/>
      <c r="Y1845" s="97"/>
      <c r="Z1845" s="97"/>
      <c r="AA1845" s="4"/>
      <c r="AB1845" s="5"/>
    </row>
    <row r="1846" spans="1:28" x14ac:dyDescent="0.2">
      <c r="A1846" s="4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91"/>
      <c r="O1846" s="91"/>
      <c r="P1846" s="91"/>
      <c r="Q1846" s="91"/>
      <c r="R1846" s="91"/>
      <c r="S1846" s="91"/>
      <c r="T1846" s="91"/>
      <c r="U1846" s="91"/>
      <c r="V1846" s="92"/>
      <c r="W1846" s="92"/>
      <c r="X1846" s="93"/>
      <c r="Y1846" s="93"/>
      <c r="Z1846" s="93"/>
      <c r="AA1846" s="4"/>
      <c r="AB1846" s="5"/>
    </row>
    <row r="1847" spans="1:28" x14ac:dyDescent="0.2">
      <c r="A1847" s="4"/>
      <c r="B1847" s="94"/>
      <c r="C1847" s="94"/>
      <c r="D1847" s="94"/>
      <c r="E1847" s="94"/>
      <c r="F1847" s="94"/>
      <c r="G1847" s="94"/>
      <c r="H1847" s="94"/>
      <c r="I1847" s="94"/>
      <c r="J1847" s="94"/>
      <c r="K1847" s="94"/>
      <c r="L1847" s="94"/>
      <c r="M1847" s="94"/>
      <c r="N1847" s="95"/>
      <c r="O1847" s="95"/>
      <c r="P1847" s="95"/>
      <c r="Q1847" s="95"/>
      <c r="R1847" s="95"/>
      <c r="S1847" s="95"/>
      <c r="T1847" s="95"/>
      <c r="U1847" s="95"/>
      <c r="V1847" s="96"/>
      <c r="W1847" s="96"/>
      <c r="X1847" s="97"/>
      <c r="Y1847" s="97"/>
      <c r="Z1847" s="97"/>
      <c r="AA1847" s="4"/>
      <c r="AB1847" s="5"/>
    </row>
    <row r="1848" spans="1:28" x14ac:dyDescent="0.2">
      <c r="A1848" s="4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91"/>
      <c r="O1848" s="91"/>
      <c r="P1848" s="91"/>
      <c r="Q1848" s="91"/>
      <c r="R1848" s="91"/>
      <c r="S1848" s="91"/>
      <c r="T1848" s="91"/>
      <c r="U1848" s="91"/>
      <c r="V1848" s="92"/>
      <c r="W1848" s="92"/>
      <c r="X1848" s="93"/>
      <c r="Y1848" s="93"/>
      <c r="Z1848" s="93"/>
      <c r="AA1848" s="4"/>
      <c r="AB1848" s="5"/>
    </row>
    <row r="1849" spans="1:28" x14ac:dyDescent="0.2">
      <c r="A1849" s="4"/>
      <c r="B1849" s="94"/>
      <c r="C1849" s="94"/>
      <c r="D1849" s="94"/>
      <c r="E1849" s="94"/>
      <c r="F1849" s="94"/>
      <c r="G1849" s="94"/>
      <c r="H1849" s="94"/>
      <c r="I1849" s="94"/>
      <c r="J1849" s="94"/>
      <c r="K1849" s="94"/>
      <c r="L1849" s="94"/>
      <c r="M1849" s="94"/>
      <c r="N1849" s="95"/>
      <c r="O1849" s="95"/>
      <c r="P1849" s="95"/>
      <c r="Q1849" s="95"/>
      <c r="R1849" s="95"/>
      <c r="S1849" s="95"/>
      <c r="T1849" s="95"/>
      <c r="U1849" s="95"/>
      <c r="V1849" s="96"/>
      <c r="W1849" s="96"/>
      <c r="X1849" s="97"/>
      <c r="Y1849" s="97"/>
      <c r="Z1849" s="97"/>
      <c r="AA1849" s="4"/>
      <c r="AB1849" s="5"/>
    </row>
    <row r="1850" spans="1:28" x14ac:dyDescent="0.2">
      <c r="A1850" s="4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91"/>
      <c r="O1850" s="91"/>
      <c r="P1850" s="91"/>
      <c r="Q1850" s="91"/>
      <c r="R1850" s="91"/>
      <c r="S1850" s="91"/>
      <c r="T1850" s="91"/>
      <c r="U1850" s="91"/>
      <c r="V1850" s="92"/>
      <c r="W1850" s="92"/>
      <c r="X1850" s="93"/>
      <c r="Y1850" s="93"/>
      <c r="Z1850" s="93"/>
      <c r="AA1850" s="4"/>
      <c r="AB1850" s="5"/>
    </row>
    <row r="1851" spans="1:28" x14ac:dyDescent="0.2">
      <c r="A1851" s="4"/>
      <c r="B1851" s="94"/>
      <c r="C1851" s="94"/>
      <c r="D1851" s="94"/>
      <c r="E1851" s="94"/>
      <c r="F1851" s="94"/>
      <c r="G1851" s="94"/>
      <c r="H1851" s="94"/>
      <c r="I1851" s="94"/>
      <c r="J1851" s="94"/>
      <c r="K1851" s="94"/>
      <c r="L1851" s="94"/>
      <c r="M1851" s="94"/>
      <c r="N1851" s="95"/>
      <c r="O1851" s="95"/>
      <c r="P1851" s="95"/>
      <c r="Q1851" s="95"/>
      <c r="R1851" s="95"/>
      <c r="S1851" s="95"/>
      <c r="T1851" s="95"/>
      <c r="U1851" s="95"/>
      <c r="V1851" s="96"/>
      <c r="W1851" s="96"/>
      <c r="X1851" s="97"/>
      <c r="Y1851" s="97"/>
      <c r="Z1851" s="97"/>
      <c r="AA1851" s="4"/>
      <c r="AB1851" s="5"/>
    </row>
    <row r="1852" spans="1:28" x14ac:dyDescent="0.2">
      <c r="A1852" s="4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91"/>
      <c r="O1852" s="91"/>
      <c r="P1852" s="91"/>
      <c r="Q1852" s="91"/>
      <c r="R1852" s="91"/>
      <c r="S1852" s="91"/>
      <c r="T1852" s="91"/>
      <c r="U1852" s="91"/>
      <c r="V1852" s="92"/>
      <c r="W1852" s="92"/>
      <c r="X1852" s="93"/>
      <c r="Y1852" s="93"/>
      <c r="Z1852" s="93"/>
      <c r="AA1852" s="4"/>
      <c r="AB1852" s="5"/>
    </row>
    <row r="1853" spans="1:28" x14ac:dyDescent="0.2">
      <c r="A1853" s="4"/>
      <c r="B1853" s="94"/>
      <c r="C1853" s="94"/>
      <c r="D1853" s="94"/>
      <c r="E1853" s="94"/>
      <c r="F1853" s="94"/>
      <c r="G1853" s="94"/>
      <c r="H1853" s="94"/>
      <c r="I1853" s="94"/>
      <c r="J1853" s="94"/>
      <c r="K1853" s="94"/>
      <c r="L1853" s="94"/>
      <c r="M1853" s="94"/>
      <c r="N1853" s="95"/>
      <c r="O1853" s="95"/>
      <c r="P1853" s="95"/>
      <c r="Q1853" s="95"/>
      <c r="R1853" s="95"/>
      <c r="S1853" s="95"/>
      <c r="T1853" s="95"/>
      <c r="U1853" s="95"/>
      <c r="V1853" s="96"/>
      <c r="W1853" s="96"/>
      <c r="X1853" s="97"/>
      <c r="Y1853" s="97"/>
      <c r="Z1853" s="97"/>
      <c r="AA1853" s="4"/>
      <c r="AB1853" s="5"/>
    </row>
    <row r="1854" spans="1:28" x14ac:dyDescent="0.2">
      <c r="A1854" s="4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91"/>
      <c r="O1854" s="91"/>
      <c r="P1854" s="91"/>
      <c r="Q1854" s="91"/>
      <c r="R1854" s="91"/>
      <c r="S1854" s="91"/>
      <c r="T1854" s="91"/>
      <c r="U1854" s="91"/>
      <c r="V1854" s="92"/>
      <c r="W1854" s="92"/>
      <c r="X1854" s="93"/>
      <c r="Y1854" s="93"/>
      <c r="Z1854" s="93"/>
      <c r="AA1854" s="4"/>
      <c r="AB1854" s="5"/>
    </row>
    <row r="1855" spans="1:28" x14ac:dyDescent="0.2">
      <c r="A1855" s="4"/>
      <c r="B1855" s="94"/>
      <c r="C1855" s="94"/>
      <c r="D1855" s="94"/>
      <c r="E1855" s="94"/>
      <c r="F1855" s="94"/>
      <c r="G1855" s="94"/>
      <c r="H1855" s="94"/>
      <c r="I1855" s="94"/>
      <c r="J1855" s="94"/>
      <c r="K1855" s="94"/>
      <c r="L1855" s="94"/>
      <c r="M1855" s="94"/>
      <c r="N1855" s="95"/>
      <c r="O1855" s="95"/>
      <c r="P1855" s="95"/>
      <c r="Q1855" s="95"/>
      <c r="R1855" s="95"/>
      <c r="S1855" s="95"/>
      <c r="T1855" s="95"/>
      <c r="U1855" s="95"/>
      <c r="V1855" s="96"/>
      <c r="W1855" s="96"/>
      <c r="X1855" s="97"/>
      <c r="Y1855" s="97"/>
      <c r="Z1855" s="97"/>
      <c r="AA1855" s="4"/>
      <c r="AB1855" s="5"/>
    </row>
    <row r="1856" spans="1:28" x14ac:dyDescent="0.2">
      <c r="A1856" s="4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91"/>
      <c r="O1856" s="91"/>
      <c r="P1856" s="91"/>
      <c r="Q1856" s="91"/>
      <c r="R1856" s="91"/>
      <c r="S1856" s="91"/>
      <c r="T1856" s="91"/>
      <c r="U1856" s="91"/>
      <c r="V1856" s="92"/>
      <c r="W1856" s="92"/>
      <c r="X1856" s="93"/>
      <c r="Y1856" s="93"/>
      <c r="Z1856" s="93"/>
      <c r="AA1856" s="4"/>
      <c r="AB1856" s="5"/>
    </row>
    <row r="1857" spans="1:28" x14ac:dyDescent="0.2">
      <c r="A1857" s="4"/>
      <c r="B1857" s="94"/>
      <c r="C1857" s="94"/>
      <c r="D1857" s="94"/>
      <c r="E1857" s="94"/>
      <c r="F1857" s="94"/>
      <c r="G1857" s="94"/>
      <c r="H1857" s="94"/>
      <c r="I1857" s="94"/>
      <c r="J1857" s="94"/>
      <c r="K1857" s="94"/>
      <c r="L1857" s="94"/>
      <c r="M1857" s="94"/>
      <c r="N1857" s="95"/>
      <c r="O1857" s="95"/>
      <c r="P1857" s="95"/>
      <c r="Q1857" s="95"/>
      <c r="R1857" s="95"/>
      <c r="S1857" s="95"/>
      <c r="T1857" s="95"/>
      <c r="U1857" s="95"/>
      <c r="V1857" s="96"/>
      <c r="W1857" s="96"/>
      <c r="X1857" s="97"/>
      <c r="Y1857" s="97"/>
      <c r="Z1857" s="97"/>
      <c r="AA1857" s="4"/>
      <c r="AB1857" s="5"/>
    </row>
    <row r="1858" spans="1:28" x14ac:dyDescent="0.2">
      <c r="A1858" s="4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91"/>
      <c r="O1858" s="91"/>
      <c r="P1858" s="91"/>
      <c r="Q1858" s="91"/>
      <c r="R1858" s="91"/>
      <c r="S1858" s="91"/>
      <c r="T1858" s="91"/>
      <c r="U1858" s="91"/>
      <c r="V1858" s="92"/>
      <c r="W1858" s="92"/>
      <c r="X1858" s="93"/>
      <c r="Y1858" s="93"/>
      <c r="Z1858" s="93"/>
      <c r="AA1858" s="4"/>
      <c r="AB1858" s="5"/>
    </row>
    <row r="1859" spans="1:28" x14ac:dyDescent="0.2">
      <c r="A1859" s="4"/>
      <c r="B1859" s="94"/>
      <c r="C1859" s="94"/>
      <c r="D1859" s="94"/>
      <c r="E1859" s="94"/>
      <c r="F1859" s="94"/>
      <c r="G1859" s="94"/>
      <c r="H1859" s="94"/>
      <c r="I1859" s="94"/>
      <c r="J1859" s="94"/>
      <c r="K1859" s="94"/>
      <c r="L1859" s="94"/>
      <c r="M1859" s="94"/>
      <c r="N1859" s="95"/>
      <c r="O1859" s="95"/>
      <c r="P1859" s="95"/>
      <c r="Q1859" s="95"/>
      <c r="R1859" s="95"/>
      <c r="S1859" s="95"/>
      <c r="T1859" s="95"/>
      <c r="U1859" s="95"/>
      <c r="V1859" s="96"/>
      <c r="W1859" s="96"/>
      <c r="X1859" s="97"/>
      <c r="Y1859" s="97"/>
      <c r="Z1859" s="97"/>
      <c r="AA1859" s="4"/>
      <c r="AB1859" s="5"/>
    </row>
    <row r="1860" spans="1:28" x14ac:dyDescent="0.2">
      <c r="A1860" s="4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91"/>
      <c r="O1860" s="91"/>
      <c r="P1860" s="91"/>
      <c r="Q1860" s="91"/>
      <c r="R1860" s="91"/>
      <c r="S1860" s="91"/>
      <c r="T1860" s="91"/>
      <c r="U1860" s="91"/>
      <c r="V1860" s="92"/>
      <c r="W1860" s="92"/>
      <c r="X1860" s="93"/>
      <c r="Y1860" s="93"/>
      <c r="Z1860" s="93"/>
      <c r="AA1860" s="4"/>
      <c r="AB1860" s="5"/>
    </row>
    <row r="1861" spans="1:28" x14ac:dyDescent="0.2">
      <c r="A1861" s="4"/>
      <c r="B1861" s="94"/>
      <c r="C1861" s="94"/>
      <c r="D1861" s="94"/>
      <c r="E1861" s="94"/>
      <c r="F1861" s="94"/>
      <c r="G1861" s="94"/>
      <c r="H1861" s="94"/>
      <c r="I1861" s="94"/>
      <c r="J1861" s="94"/>
      <c r="K1861" s="94"/>
      <c r="L1861" s="94"/>
      <c r="M1861" s="94"/>
      <c r="N1861" s="95"/>
      <c r="O1861" s="95"/>
      <c r="P1861" s="95"/>
      <c r="Q1861" s="95"/>
      <c r="R1861" s="95"/>
      <c r="S1861" s="95"/>
      <c r="T1861" s="95"/>
      <c r="U1861" s="95"/>
      <c r="V1861" s="96"/>
      <c r="W1861" s="96"/>
      <c r="X1861" s="97"/>
      <c r="Y1861" s="97"/>
      <c r="Z1861" s="97"/>
      <c r="AA1861" s="4"/>
      <c r="AB1861" s="5"/>
    </row>
    <row r="1862" spans="1:28" x14ac:dyDescent="0.2">
      <c r="A1862" s="4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91"/>
      <c r="O1862" s="91"/>
      <c r="P1862" s="91"/>
      <c r="Q1862" s="91"/>
      <c r="R1862" s="91"/>
      <c r="S1862" s="91"/>
      <c r="T1862" s="91"/>
      <c r="U1862" s="91"/>
      <c r="V1862" s="92"/>
      <c r="W1862" s="92"/>
      <c r="X1862" s="93"/>
      <c r="Y1862" s="93"/>
      <c r="Z1862" s="93"/>
      <c r="AA1862" s="4"/>
      <c r="AB1862" s="5"/>
    </row>
    <row r="1863" spans="1:28" x14ac:dyDescent="0.2">
      <c r="A1863" s="4"/>
      <c r="B1863" s="94"/>
      <c r="C1863" s="94"/>
      <c r="D1863" s="94"/>
      <c r="E1863" s="94"/>
      <c r="F1863" s="94"/>
      <c r="G1863" s="94"/>
      <c r="H1863" s="94"/>
      <c r="I1863" s="94"/>
      <c r="J1863" s="94"/>
      <c r="K1863" s="94"/>
      <c r="L1863" s="94"/>
      <c r="M1863" s="94"/>
      <c r="N1863" s="95"/>
      <c r="O1863" s="95"/>
      <c r="P1863" s="95"/>
      <c r="Q1863" s="95"/>
      <c r="R1863" s="95"/>
      <c r="S1863" s="95"/>
      <c r="T1863" s="95"/>
      <c r="U1863" s="95"/>
      <c r="V1863" s="96"/>
      <c r="W1863" s="96"/>
      <c r="X1863" s="97"/>
      <c r="Y1863" s="97"/>
      <c r="Z1863" s="97"/>
      <c r="AA1863" s="4"/>
      <c r="AB1863" s="5"/>
    </row>
    <row r="1864" spans="1:28" x14ac:dyDescent="0.2">
      <c r="A1864" s="4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91"/>
      <c r="O1864" s="91"/>
      <c r="P1864" s="91"/>
      <c r="Q1864" s="91"/>
      <c r="R1864" s="91"/>
      <c r="S1864" s="91"/>
      <c r="T1864" s="91"/>
      <c r="U1864" s="91"/>
      <c r="V1864" s="92"/>
      <c r="W1864" s="92"/>
      <c r="X1864" s="93"/>
      <c r="Y1864" s="93"/>
      <c r="Z1864" s="93"/>
      <c r="AA1864" s="4"/>
      <c r="AB1864" s="5"/>
    </row>
    <row r="1865" spans="1:28" x14ac:dyDescent="0.2">
      <c r="A1865" s="4"/>
      <c r="B1865" s="94"/>
      <c r="C1865" s="94"/>
      <c r="D1865" s="94"/>
      <c r="E1865" s="94"/>
      <c r="F1865" s="94"/>
      <c r="G1865" s="94"/>
      <c r="H1865" s="94"/>
      <c r="I1865" s="94"/>
      <c r="J1865" s="94"/>
      <c r="K1865" s="94"/>
      <c r="L1865" s="94"/>
      <c r="M1865" s="94"/>
      <c r="N1865" s="95"/>
      <c r="O1865" s="95"/>
      <c r="P1865" s="95"/>
      <c r="Q1865" s="95"/>
      <c r="R1865" s="95"/>
      <c r="S1865" s="95"/>
      <c r="T1865" s="95"/>
      <c r="U1865" s="95"/>
      <c r="V1865" s="96"/>
      <c r="W1865" s="96"/>
      <c r="X1865" s="97"/>
      <c r="Y1865" s="97"/>
      <c r="Z1865" s="97"/>
      <c r="AA1865" s="4"/>
      <c r="AB1865" s="5"/>
    </row>
    <row r="1866" spans="1:28" x14ac:dyDescent="0.2">
      <c r="A1866" s="4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91"/>
      <c r="O1866" s="91"/>
      <c r="P1866" s="91"/>
      <c r="Q1866" s="91"/>
      <c r="R1866" s="91"/>
      <c r="S1866" s="91"/>
      <c r="T1866" s="91"/>
      <c r="U1866" s="91"/>
      <c r="V1866" s="92"/>
      <c r="W1866" s="92"/>
      <c r="X1866" s="93"/>
      <c r="Y1866" s="93"/>
      <c r="Z1866" s="93"/>
      <c r="AA1866" s="4"/>
      <c r="AB1866" s="5"/>
    </row>
    <row r="1867" spans="1:28" x14ac:dyDescent="0.2">
      <c r="A1867" s="4"/>
      <c r="B1867" s="94"/>
      <c r="C1867" s="94"/>
      <c r="D1867" s="94"/>
      <c r="E1867" s="94"/>
      <c r="F1867" s="94"/>
      <c r="G1867" s="94"/>
      <c r="H1867" s="94"/>
      <c r="I1867" s="94"/>
      <c r="J1867" s="94"/>
      <c r="K1867" s="94"/>
      <c r="L1867" s="94"/>
      <c r="M1867" s="94"/>
      <c r="N1867" s="95"/>
      <c r="O1867" s="95"/>
      <c r="P1867" s="95"/>
      <c r="Q1867" s="95"/>
      <c r="R1867" s="95"/>
      <c r="S1867" s="95"/>
      <c r="T1867" s="95"/>
      <c r="U1867" s="95"/>
      <c r="V1867" s="96"/>
      <c r="W1867" s="96"/>
      <c r="X1867" s="97"/>
      <c r="Y1867" s="97"/>
      <c r="Z1867" s="97"/>
      <c r="AA1867" s="4"/>
      <c r="AB1867" s="5"/>
    </row>
    <row r="1868" spans="1:28" x14ac:dyDescent="0.2">
      <c r="A1868" s="4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91"/>
      <c r="O1868" s="91"/>
      <c r="P1868" s="91"/>
      <c r="Q1868" s="91"/>
      <c r="R1868" s="91"/>
      <c r="S1868" s="91"/>
      <c r="T1868" s="91"/>
      <c r="U1868" s="91"/>
      <c r="V1868" s="92"/>
      <c r="W1868" s="92"/>
      <c r="X1868" s="93"/>
      <c r="Y1868" s="93"/>
      <c r="Z1868" s="93"/>
      <c r="AA1868" s="4"/>
      <c r="AB1868" s="5"/>
    </row>
    <row r="1869" spans="1:28" x14ac:dyDescent="0.2">
      <c r="A1869" s="4"/>
      <c r="B1869" s="94"/>
      <c r="C1869" s="94"/>
      <c r="D1869" s="94"/>
      <c r="E1869" s="94"/>
      <c r="F1869" s="94"/>
      <c r="G1869" s="94"/>
      <c r="H1869" s="94"/>
      <c r="I1869" s="94"/>
      <c r="J1869" s="94"/>
      <c r="K1869" s="94"/>
      <c r="L1869" s="94"/>
      <c r="M1869" s="94"/>
      <c r="N1869" s="95"/>
      <c r="O1869" s="95"/>
      <c r="P1869" s="95"/>
      <c r="Q1869" s="95"/>
      <c r="R1869" s="95"/>
      <c r="S1869" s="95"/>
      <c r="T1869" s="95"/>
      <c r="U1869" s="95"/>
      <c r="V1869" s="96"/>
      <c r="W1869" s="96"/>
      <c r="X1869" s="97"/>
      <c r="Y1869" s="97"/>
      <c r="Z1869" s="97"/>
      <c r="AA1869" s="4"/>
      <c r="AB1869" s="5"/>
    </row>
    <row r="1870" spans="1:28" x14ac:dyDescent="0.2">
      <c r="A1870" s="4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91"/>
      <c r="O1870" s="91"/>
      <c r="P1870" s="91"/>
      <c r="Q1870" s="91"/>
      <c r="R1870" s="91"/>
      <c r="S1870" s="91"/>
      <c r="T1870" s="91"/>
      <c r="U1870" s="91"/>
      <c r="V1870" s="92"/>
      <c r="W1870" s="92"/>
      <c r="X1870" s="93"/>
      <c r="Y1870" s="93"/>
      <c r="Z1870" s="93"/>
      <c r="AA1870" s="4"/>
      <c r="AB1870" s="5"/>
    </row>
    <row r="1871" spans="1:28" x14ac:dyDescent="0.2">
      <c r="A1871" s="4"/>
      <c r="B1871" s="94"/>
      <c r="C1871" s="94"/>
      <c r="D1871" s="94"/>
      <c r="E1871" s="94"/>
      <c r="F1871" s="94"/>
      <c r="G1871" s="94"/>
      <c r="H1871" s="94"/>
      <c r="I1871" s="94"/>
      <c r="J1871" s="94"/>
      <c r="K1871" s="94"/>
      <c r="L1871" s="94"/>
      <c r="M1871" s="94"/>
      <c r="N1871" s="95"/>
      <c r="O1871" s="95"/>
      <c r="P1871" s="95"/>
      <c r="Q1871" s="95"/>
      <c r="R1871" s="95"/>
      <c r="S1871" s="95"/>
      <c r="T1871" s="95"/>
      <c r="U1871" s="95"/>
      <c r="V1871" s="96"/>
      <c r="W1871" s="96"/>
      <c r="X1871" s="97"/>
      <c r="Y1871" s="97"/>
      <c r="Z1871" s="97"/>
      <c r="AA1871" s="4"/>
      <c r="AB1871" s="5"/>
    </row>
    <row r="1872" spans="1:28" x14ac:dyDescent="0.2">
      <c r="A1872" s="4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91"/>
      <c r="O1872" s="91"/>
      <c r="P1872" s="91"/>
      <c r="Q1872" s="91"/>
      <c r="R1872" s="91"/>
      <c r="S1872" s="91"/>
      <c r="T1872" s="91"/>
      <c r="U1872" s="91"/>
      <c r="V1872" s="92"/>
      <c r="W1872" s="92"/>
      <c r="X1872" s="93"/>
      <c r="Y1872" s="93"/>
      <c r="Z1872" s="93"/>
      <c r="AA1872" s="4"/>
      <c r="AB1872" s="5"/>
    </row>
    <row r="1873" spans="1:28" x14ac:dyDescent="0.2">
      <c r="A1873" s="4"/>
      <c r="B1873" s="94"/>
      <c r="C1873" s="94"/>
      <c r="D1873" s="94"/>
      <c r="E1873" s="94"/>
      <c r="F1873" s="94"/>
      <c r="G1873" s="94"/>
      <c r="H1873" s="94"/>
      <c r="I1873" s="94"/>
      <c r="J1873" s="94"/>
      <c r="K1873" s="94"/>
      <c r="L1873" s="94"/>
      <c r="M1873" s="94"/>
      <c r="N1873" s="95"/>
      <c r="O1873" s="95"/>
      <c r="P1873" s="95"/>
      <c r="Q1873" s="95"/>
      <c r="R1873" s="95"/>
      <c r="S1873" s="95"/>
      <c r="T1873" s="95"/>
      <c r="U1873" s="95"/>
      <c r="V1873" s="96"/>
      <c r="W1873" s="96"/>
      <c r="X1873" s="97"/>
      <c r="Y1873" s="97"/>
      <c r="Z1873" s="97"/>
      <c r="AA1873" s="4"/>
      <c r="AB1873" s="5"/>
    </row>
    <row r="1874" spans="1:28" x14ac:dyDescent="0.2">
      <c r="A1874" s="4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91"/>
      <c r="O1874" s="91"/>
      <c r="P1874" s="91"/>
      <c r="Q1874" s="91"/>
      <c r="R1874" s="91"/>
      <c r="S1874" s="91"/>
      <c r="T1874" s="91"/>
      <c r="U1874" s="91"/>
      <c r="V1874" s="92"/>
      <c r="W1874" s="92"/>
      <c r="X1874" s="93"/>
      <c r="Y1874" s="93"/>
      <c r="Z1874" s="93"/>
      <c r="AA1874" s="4"/>
      <c r="AB1874" s="5"/>
    </row>
    <row r="1875" spans="1:28" x14ac:dyDescent="0.2">
      <c r="A1875" s="4"/>
      <c r="B1875" s="94"/>
      <c r="C1875" s="94"/>
      <c r="D1875" s="94"/>
      <c r="E1875" s="94"/>
      <c r="F1875" s="94"/>
      <c r="G1875" s="94"/>
      <c r="H1875" s="94"/>
      <c r="I1875" s="94"/>
      <c r="J1875" s="94"/>
      <c r="K1875" s="94"/>
      <c r="L1875" s="94"/>
      <c r="M1875" s="94"/>
      <c r="N1875" s="95"/>
      <c r="O1875" s="95"/>
      <c r="P1875" s="95"/>
      <c r="Q1875" s="95"/>
      <c r="R1875" s="95"/>
      <c r="S1875" s="95"/>
      <c r="T1875" s="95"/>
      <c r="U1875" s="95"/>
      <c r="V1875" s="96"/>
      <c r="W1875" s="96"/>
      <c r="X1875" s="97"/>
      <c r="Y1875" s="97"/>
      <c r="Z1875" s="97"/>
      <c r="AA1875" s="4"/>
      <c r="AB1875" s="5"/>
    </row>
    <row r="1876" spans="1:28" x14ac:dyDescent="0.2">
      <c r="A1876" s="4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91"/>
      <c r="O1876" s="91"/>
      <c r="P1876" s="91"/>
      <c r="Q1876" s="91"/>
      <c r="R1876" s="91"/>
      <c r="S1876" s="91"/>
      <c r="T1876" s="91"/>
      <c r="U1876" s="91"/>
      <c r="V1876" s="92"/>
      <c r="W1876" s="92"/>
      <c r="X1876" s="93"/>
      <c r="Y1876" s="93"/>
      <c r="Z1876" s="93"/>
      <c r="AA1876" s="4"/>
      <c r="AB1876" s="5"/>
    </row>
    <row r="1877" spans="1:28" x14ac:dyDescent="0.2">
      <c r="A1877" s="4"/>
      <c r="B1877" s="94"/>
      <c r="C1877" s="94"/>
      <c r="D1877" s="94"/>
      <c r="E1877" s="94"/>
      <c r="F1877" s="94"/>
      <c r="G1877" s="94"/>
      <c r="H1877" s="94"/>
      <c r="I1877" s="94"/>
      <c r="J1877" s="94"/>
      <c r="K1877" s="94"/>
      <c r="L1877" s="94"/>
      <c r="M1877" s="94"/>
      <c r="N1877" s="95"/>
      <c r="O1877" s="95"/>
      <c r="P1877" s="95"/>
      <c r="Q1877" s="95"/>
      <c r="R1877" s="95"/>
      <c r="S1877" s="95"/>
      <c r="T1877" s="95"/>
      <c r="U1877" s="95"/>
      <c r="V1877" s="96"/>
      <c r="W1877" s="96"/>
      <c r="X1877" s="97"/>
      <c r="Y1877" s="97"/>
      <c r="Z1877" s="97"/>
      <c r="AA1877" s="4"/>
      <c r="AB1877" s="5"/>
    </row>
    <row r="1878" spans="1:28" x14ac:dyDescent="0.2">
      <c r="A1878" s="4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91"/>
      <c r="O1878" s="91"/>
      <c r="P1878" s="91"/>
      <c r="Q1878" s="91"/>
      <c r="R1878" s="91"/>
      <c r="S1878" s="91"/>
      <c r="T1878" s="91"/>
      <c r="U1878" s="91"/>
      <c r="V1878" s="92"/>
      <c r="W1878" s="92"/>
      <c r="X1878" s="93"/>
      <c r="Y1878" s="93"/>
      <c r="Z1878" s="93"/>
      <c r="AA1878" s="4"/>
      <c r="AB1878" s="5"/>
    </row>
    <row r="1879" spans="1:28" x14ac:dyDescent="0.2">
      <c r="A1879" s="4"/>
      <c r="B1879" s="94"/>
      <c r="C1879" s="94"/>
      <c r="D1879" s="94"/>
      <c r="E1879" s="94"/>
      <c r="F1879" s="94"/>
      <c r="G1879" s="94"/>
      <c r="H1879" s="94"/>
      <c r="I1879" s="94"/>
      <c r="J1879" s="94"/>
      <c r="K1879" s="94"/>
      <c r="L1879" s="94"/>
      <c r="M1879" s="94"/>
      <c r="N1879" s="95"/>
      <c r="O1879" s="95"/>
      <c r="P1879" s="95"/>
      <c r="Q1879" s="95"/>
      <c r="R1879" s="95"/>
      <c r="S1879" s="95"/>
      <c r="T1879" s="95"/>
      <c r="U1879" s="95"/>
      <c r="V1879" s="96"/>
      <c r="W1879" s="96"/>
      <c r="X1879" s="97"/>
      <c r="Y1879" s="97"/>
      <c r="Z1879" s="97"/>
      <c r="AA1879" s="4"/>
      <c r="AB1879" s="5"/>
    </row>
    <row r="1880" spans="1:28" x14ac:dyDescent="0.2">
      <c r="A1880" s="4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91"/>
      <c r="O1880" s="91"/>
      <c r="P1880" s="91"/>
      <c r="Q1880" s="91"/>
      <c r="R1880" s="91"/>
      <c r="S1880" s="91"/>
      <c r="T1880" s="91"/>
      <c r="U1880" s="91"/>
      <c r="V1880" s="92"/>
      <c r="W1880" s="92"/>
      <c r="X1880" s="93"/>
      <c r="Y1880" s="93"/>
      <c r="Z1880" s="93"/>
      <c r="AA1880" s="4"/>
      <c r="AB1880" s="5"/>
    </row>
    <row r="1881" spans="1:28" x14ac:dyDescent="0.2">
      <c r="A1881" s="4"/>
      <c r="B1881" s="94"/>
      <c r="C1881" s="94"/>
      <c r="D1881" s="94"/>
      <c r="E1881" s="94"/>
      <c r="F1881" s="94"/>
      <c r="G1881" s="94"/>
      <c r="H1881" s="94"/>
      <c r="I1881" s="94"/>
      <c r="J1881" s="94"/>
      <c r="K1881" s="94"/>
      <c r="L1881" s="94"/>
      <c r="M1881" s="94"/>
      <c r="N1881" s="95"/>
      <c r="O1881" s="95"/>
      <c r="P1881" s="95"/>
      <c r="Q1881" s="95"/>
      <c r="R1881" s="95"/>
      <c r="S1881" s="95"/>
      <c r="T1881" s="95"/>
      <c r="U1881" s="95"/>
      <c r="V1881" s="96"/>
      <c r="W1881" s="96"/>
      <c r="X1881" s="97"/>
      <c r="Y1881" s="97"/>
      <c r="Z1881" s="97"/>
      <c r="AA1881" s="4"/>
      <c r="AB1881" s="5"/>
    </row>
    <row r="1882" spans="1:28" x14ac:dyDescent="0.2">
      <c r="A1882" s="4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91"/>
      <c r="O1882" s="91"/>
      <c r="P1882" s="91"/>
      <c r="Q1882" s="91"/>
      <c r="R1882" s="91"/>
      <c r="S1882" s="91"/>
      <c r="T1882" s="91"/>
      <c r="U1882" s="91"/>
      <c r="V1882" s="92"/>
      <c r="W1882" s="92"/>
      <c r="X1882" s="93"/>
      <c r="Y1882" s="93"/>
      <c r="Z1882" s="93"/>
      <c r="AA1882" s="4"/>
      <c r="AB1882" s="5"/>
    </row>
    <row r="1883" spans="1:28" x14ac:dyDescent="0.2">
      <c r="A1883" s="4"/>
      <c r="B1883" s="94"/>
      <c r="C1883" s="94"/>
      <c r="D1883" s="94"/>
      <c r="E1883" s="94"/>
      <c r="F1883" s="94"/>
      <c r="G1883" s="94"/>
      <c r="H1883" s="94"/>
      <c r="I1883" s="94"/>
      <c r="J1883" s="94"/>
      <c r="K1883" s="94"/>
      <c r="L1883" s="94"/>
      <c r="M1883" s="94"/>
      <c r="N1883" s="95"/>
      <c r="O1883" s="95"/>
      <c r="P1883" s="95"/>
      <c r="Q1883" s="95"/>
      <c r="R1883" s="95"/>
      <c r="S1883" s="95"/>
      <c r="T1883" s="95"/>
      <c r="U1883" s="95"/>
      <c r="V1883" s="96"/>
      <c r="W1883" s="96"/>
      <c r="X1883" s="97"/>
      <c r="Y1883" s="97"/>
      <c r="Z1883" s="97"/>
      <c r="AA1883" s="4"/>
      <c r="AB1883" s="5"/>
    </row>
    <row r="1884" spans="1:28" x14ac:dyDescent="0.2">
      <c r="A1884" s="4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91"/>
      <c r="O1884" s="91"/>
      <c r="P1884" s="91"/>
      <c r="Q1884" s="91"/>
      <c r="R1884" s="91"/>
      <c r="S1884" s="91"/>
      <c r="T1884" s="91"/>
      <c r="U1884" s="91"/>
      <c r="V1884" s="92"/>
      <c r="W1884" s="92"/>
      <c r="X1884" s="93"/>
      <c r="Y1884" s="93"/>
      <c r="Z1884" s="93"/>
      <c r="AA1884" s="4"/>
      <c r="AB1884" s="5"/>
    </row>
    <row r="1885" spans="1:28" x14ac:dyDescent="0.2">
      <c r="A1885" s="4"/>
      <c r="B1885" s="94"/>
      <c r="C1885" s="94"/>
      <c r="D1885" s="94"/>
      <c r="E1885" s="94"/>
      <c r="F1885" s="94"/>
      <c r="G1885" s="94"/>
      <c r="H1885" s="94"/>
      <c r="I1885" s="94"/>
      <c r="J1885" s="94"/>
      <c r="K1885" s="94"/>
      <c r="L1885" s="94"/>
      <c r="M1885" s="94"/>
      <c r="N1885" s="95"/>
      <c r="O1885" s="95"/>
      <c r="P1885" s="95"/>
      <c r="Q1885" s="95"/>
      <c r="R1885" s="95"/>
      <c r="S1885" s="95"/>
      <c r="T1885" s="95"/>
      <c r="U1885" s="95"/>
      <c r="V1885" s="96"/>
      <c r="W1885" s="96"/>
      <c r="X1885" s="97"/>
      <c r="Y1885" s="97"/>
      <c r="Z1885" s="97"/>
      <c r="AA1885" s="4"/>
      <c r="AB1885" s="5"/>
    </row>
    <row r="1886" spans="1:28" x14ac:dyDescent="0.2">
      <c r="A1886" s="4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91"/>
      <c r="O1886" s="91"/>
      <c r="P1886" s="91"/>
      <c r="Q1886" s="91"/>
      <c r="R1886" s="91"/>
      <c r="S1886" s="91"/>
      <c r="T1886" s="91"/>
      <c r="U1886" s="91"/>
      <c r="V1886" s="92"/>
      <c r="W1886" s="92"/>
      <c r="X1886" s="93"/>
      <c r="Y1886" s="93"/>
      <c r="Z1886" s="93"/>
      <c r="AA1886" s="4"/>
      <c r="AB1886" s="5"/>
    </row>
    <row r="1887" spans="1:28" x14ac:dyDescent="0.2">
      <c r="A1887" s="4"/>
      <c r="B1887" s="94"/>
      <c r="C1887" s="94"/>
      <c r="D1887" s="94"/>
      <c r="E1887" s="94"/>
      <c r="F1887" s="94"/>
      <c r="G1887" s="94"/>
      <c r="H1887" s="94"/>
      <c r="I1887" s="94"/>
      <c r="J1887" s="94"/>
      <c r="K1887" s="94"/>
      <c r="L1887" s="94"/>
      <c r="M1887" s="94"/>
      <c r="N1887" s="95"/>
      <c r="O1887" s="95"/>
      <c r="P1887" s="95"/>
      <c r="Q1887" s="95"/>
      <c r="R1887" s="95"/>
      <c r="S1887" s="95"/>
      <c r="T1887" s="95"/>
      <c r="U1887" s="95"/>
      <c r="V1887" s="96"/>
      <c r="W1887" s="96"/>
      <c r="X1887" s="97"/>
      <c r="Y1887" s="97"/>
      <c r="Z1887" s="97"/>
      <c r="AA1887" s="4"/>
      <c r="AB1887" s="5"/>
    </row>
    <row r="1888" spans="1:28" x14ac:dyDescent="0.2">
      <c r="A1888" s="4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91"/>
      <c r="O1888" s="91"/>
      <c r="P1888" s="91"/>
      <c r="Q1888" s="91"/>
      <c r="R1888" s="91"/>
      <c r="S1888" s="91"/>
      <c r="T1888" s="91"/>
      <c r="U1888" s="91"/>
      <c r="V1888" s="92"/>
      <c r="W1888" s="92"/>
      <c r="X1888" s="93"/>
      <c r="Y1888" s="93"/>
      <c r="Z1888" s="93"/>
      <c r="AA1888" s="4"/>
      <c r="AB1888" s="5"/>
    </row>
    <row r="1889" spans="1:28" x14ac:dyDescent="0.2">
      <c r="A1889" s="4"/>
      <c r="B1889" s="94"/>
      <c r="C1889" s="94"/>
      <c r="D1889" s="94"/>
      <c r="E1889" s="94"/>
      <c r="F1889" s="94"/>
      <c r="G1889" s="94"/>
      <c r="H1889" s="94"/>
      <c r="I1889" s="94"/>
      <c r="J1889" s="94"/>
      <c r="K1889" s="94"/>
      <c r="L1889" s="94"/>
      <c r="M1889" s="94"/>
      <c r="N1889" s="95"/>
      <c r="O1889" s="95"/>
      <c r="P1889" s="95"/>
      <c r="Q1889" s="95"/>
      <c r="R1889" s="95"/>
      <c r="S1889" s="95"/>
      <c r="T1889" s="95"/>
      <c r="U1889" s="95"/>
      <c r="V1889" s="96"/>
      <c r="W1889" s="96"/>
      <c r="X1889" s="97"/>
      <c r="Y1889" s="97"/>
      <c r="Z1889" s="97"/>
      <c r="AA1889" s="4"/>
      <c r="AB1889" s="5"/>
    </row>
    <row r="1890" spans="1:28" x14ac:dyDescent="0.2">
      <c r="A1890" s="4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91"/>
      <c r="O1890" s="91"/>
      <c r="P1890" s="91"/>
      <c r="Q1890" s="91"/>
      <c r="R1890" s="91"/>
      <c r="S1890" s="91"/>
      <c r="T1890" s="91"/>
      <c r="U1890" s="91"/>
      <c r="V1890" s="92"/>
      <c r="W1890" s="92"/>
      <c r="X1890" s="93"/>
      <c r="Y1890" s="93"/>
      <c r="Z1890" s="93"/>
      <c r="AA1890" s="4"/>
      <c r="AB1890" s="5"/>
    </row>
    <row r="1891" spans="1:28" x14ac:dyDescent="0.2">
      <c r="A1891" s="4"/>
      <c r="B1891" s="94"/>
      <c r="C1891" s="94"/>
      <c r="D1891" s="94"/>
      <c r="E1891" s="94"/>
      <c r="F1891" s="94"/>
      <c r="G1891" s="94"/>
      <c r="H1891" s="94"/>
      <c r="I1891" s="94"/>
      <c r="J1891" s="94"/>
      <c r="K1891" s="94"/>
      <c r="L1891" s="94"/>
      <c r="M1891" s="94"/>
      <c r="N1891" s="95"/>
      <c r="O1891" s="95"/>
      <c r="P1891" s="95"/>
      <c r="Q1891" s="95"/>
      <c r="R1891" s="95"/>
      <c r="S1891" s="95"/>
      <c r="T1891" s="95"/>
      <c r="U1891" s="95"/>
      <c r="V1891" s="96"/>
      <c r="W1891" s="96"/>
      <c r="X1891" s="97"/>
      <c r="Y1891" s="97"/>
      <c r="Z1891" s="97"/>
      <c r="AA1891" s="4"/>
      <c r="AB1891" s="5"/>
    </row>
    <row r="1892" spans="1:28" x14ac:dyDescent="0.2">
      <c r="A1892" s="4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91"/>
      <c r="O1892" s="91"/>
      <c r="P1892" s="91"/>
      <c r="Q1892" s="91"/>
      <c r="R1892" s="91"/>
      <c r="S1892" s="91"/>
      <c r="T1892" s="91"/>
      <c r="U1892" s="91"/>
      <c r="V1892" s="92"/>
      <c r="W1892" s="92"/>
      <c r="X1892" s="93"/>
      <c r="Y1892" s="93"/>
      <c r="Z1892" s="93"/>
      <c r="AA1892" s="4"/>
      <c r="AB1892" s="5"/>
    </row>
    <row r="1893" spans="1:28" x14ac:dyDescent="0.2">
      <c r="A1893" s="4"/>
      <c r="B1893" s="94"/>
      <c r="C1893" s="94"/>
      <c r="D1893" s="94"/>
      <c r="E1893" s="94"/>
      <c r="F1893" s="94"/>
      <c r="G1893" s="94"/>
      <c r="H1893" s="94"/>
      <c r="I1893" s="94"/>
      <c r="J1893" s="94"/>
      <c r="K1893" s="94"/>
      <c r="L1893" s="94"/>
      <c r="M1893" s="94"/>
      <c r="N1893" s="95"/>
      <c r="O1893" s="95"/>
      <c r="P1893" s="95"/>
      <c r="Q1893" s="95"/>
      <c r="R1893" s="95"/>
      <c r="S1893" s="95"/>
      <c r="T1893" s="95"/>
      <c r="U1893" s="95"/>
      <c r="V1893" s="96"/>
      <c r="W1893" s="96"/>
      <c r="X1893" s="97"/>
      <c r="Y1893" s="97"/>
      <c r="Z1893" s="97"/>
      <c r="AA1893" s="4"/>
      <c r="AB1893" s="5"/>
    </row>
    <row r="1894" spans="1:28" x14ac:dyDescent="0.2">
      <c r="A1894" s="4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91"/>
      <c r="O1894" s="91"/>
      <c r="P1894" s="91"/>
      <c r="Q1894" s="91"/>
      <c r="R1894" s="91"/>
      <c r="S1894" s="91"/>
      <c r="T1894" s="91"/>
      <c r="U1894" s="91"/>
      <c r="V1894" s="92"/>
      <c r="W1894" s="92"/>
      <c r="X1894" s="93"/>
      <c r="Y1894" s="93"/>
      <c r="Z1894" s="93"/>
      <c r="AA1894" s="4"/>
      <c r="AB1894" s="5"/>
    </row>
    <row r="1895" spans="1:28" x14ac:dyDescent="0.2">
      <c r="A1895" s="4"/>
      <c r="B1895" s="94"/>
      <c r="C1895" s="94"/>
      <c r="D1895" s="94"/>
      <c r="E1895" s="94"/>
      <c r="F1895" s="94"/>
      <c r="G1895" s="94"/>
      <c r="H1895" s="94"/>
      <c r="I1895" s="94"/>
      <c r="J1895" s="94"/>
      <c r="K1895" s="94"/>
      <c r="L1895" s="94"/>
      <c r="M1895" s="94"/>
      <c r="N1895" s="95"/>
      <c r="O1895" s="95"/>
      <c r="P1895" s="95"/>
      <c r="Q1895" s="95"/>
      <c r="R1895" s="95"/>
      <c r="S1895" s="95"/>
      <c r="T1895" s="95"/>
      <c r="U1895" s="95"/>
      <c r="V1895" s="96"/>
      <c r="W1895" s="96"/>
      <c r="X1895" s="97"/>
      <c r="Y1895" s="97"/>
      <c r="Z1895" s="97"/>
      <c r="AA1895" s="4"/>
      <c r="AB1895" s="5"/>
    </row>
    <row r="1896" spans="1:28" x14ac:dyDescent="0.2">
      <c r="A1896" s="4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91"/>
      <c r="O1896" s="91"/>
      <c r="P1896" s="91"/>
      <c r="Q1896" s="91"/>
      <c r="R1896" s="91"/>
      <c r="S1896" s="91"/>
      <c r="T1896" s="91"/>
      <c r="U1896" s="91"/>
      <c r="V1896" s="92"/>
      <c r="W1896" s="92"/>
      <c r="X1896" s="93"/>
      <c r="Y1896" s="93"/>
      <c r="Z1896" s="93"/>
      <c r="AA1896" s="4"/>
      <c r="AB1896" s="5"/>
    </row>
    <row r="1897" spans="1:28" x14ac:dyDescent="0.2">
      <c r="A1897" s="4"/>
      <c r="B1897" s="94"/>
      <c r="C1897" s="94"/>
      <c r="D1897" s="94"/>
      <c r="E1897" s="94"/>
      <c r="F1897" s="94"/>
      <c r="G1897" s="94"/>
      <c r="H1897" s="94"/>
      <c r="I1897" s="94"/>
      <c r="J1897" s="94"/>
      <c r="K1897" s="94"/>
      <c r="L1897" s="94"/>
      <c r="M1897" s="94"/>
      <c r="N1897" s="95"/>
      <c r="O1897" s="95"/>
      <c r="P1897" s="95"/>
      <c r="Q1897" s="95"/>
      <c r="R1897" s="95"/>
      <c r="S1897" s="95"/>
      <c r="T1897" s="95"/>
      <c r="U1897" s="95"/>
      <c r="V1897" s="96"/>
      <c r="W1897" s="96"/>
      <c r="X1897" s="97"/>
      <c r="Y1897" s="97"/>
      <c r="Z1897" s="97"/>
      <c r="AA1897" s="4"/>
      <c r="AB1897" s="5"/>
    </row>
    <row r="1898" spans="1:28" x14ac:dyDescent="0.2">
      <c r="A1898" s="4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91"/>
      <c r="O1898" s="91"/>
      <c r="P1898" s="91"/>
      <c r="Q1898" s="91"/>
      <c r="R1898" s="91"/>
      <c r="S1898" s="91"/>
      <c r="T1898" s="91"/>
      <c r="U1898" s="91"/>
      <c r="V1898" s="92"/>
      <c r="W1898" s="92"/>
      <c r="X1898" s="93"/>
      <c r="Y1898" s="93"/>
      <c r="Z1898" s="93"/>
      <c r="AA1898" s="4"/>
      <c r="AB1898" s="5"/>
    </row>
    <row r="1899" spans="1:28" x14ac:dyDescent="0.2">
      <c r="A1899" s="4"/>
      <c r="B1899" s="94"/>
      <c r="C1899" s="94"/>
      <c r="D1899" s="94"/>
      <c r="E1899" s="94"/>
      <c r="F1899" s="94"/>
      <c r="G1899" s="94"/>
      <c r="H1899" s="94"/>
      <c r="I1899" s="94"/>
      <c r="J1899" s="94"/>
      <c r="K1899" s="94"/>
      <c r="L1899" s="94"/>
      <c r="M1899" s="94"/>
      <c r="N1899" s="95"/>
      <c r="O1899" s="95"/>
      <c r="P1899" s="95"/>
      <c r="Q1899" s="95"/>
      <c r="R1899" s="95"/>
      <c r="S1899" s="95"/>
      <c r="T1899" s="95"/>
      <c r="U1899" s="95"/>
      <c r="V1899" s="96"/>
      <c r="W1899" s="96"/>
      <c r="X1899" s="97"/>
      <c r="Y1899" s="97"/>
      <c r="Z1899" s="97"/>
      <c r="AA1899" s="4"/>
      <c r="AB1899" s="5"/>
    </row>
    <row r="1900" spans="1:28" x14ac:dyDescent="0.2">
      <c r="A1900" s="4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91"/>
      <c r="O1900" s="91"/>
      <c r="P1900" s="91"/>
      <c r="Q1900" s="91"/>
      <c r="R1900" s="91"/>
      <c r="S1900" s="91"/>
      <c r="T1900" s="91"/>
      <c r="U1900" s="91"/>
      <c r="V1900" s="92"/>
      <c r="W1900" s="92"/>
      <c r="X1900" s="93"/>
      <c r="Y1900" s="93"/>
      <c r="Z1900" s="93"/>
      <c r="AA1900" s="4"/>
      <c r="AB1900" s="5"/>
    </row>
    <row r="1901" spans="1:28" x14ac:dyDescent="0.2">
      <c r="A1901" s="4"/>
      <c r="B1901" s="94"/>
      <c r="C1901" s="94"/>
      <c r="D1901" s="94"/>
      <c r="E1901" s="94"/>
      <c r="F1901" s="94"/>
      <c r="G1901" s="94"/>
      <c r="H1901" s="94"/>
      <c r="I1901" s="94"/>
      <c r="J1901" s="94"/>
      <c r="K1901" s="94"/>
      <c r="L1901" s="94"/>
      <c r="M1901" s="94"/>
      <c r="N1901" s="95"/>
      <c r="O1901" s="95"/>
      <c r="P1901" s="95"/>
      <c r="Q1901" s="95"/>
      <c r="R1901" s="95"/>
      <c r="S1901" s="95"/>
      <c r="T1901" s="95"/>
      <c r="U1901" s="95"/>
      <c r="V1901" s="96"/>
      <c r="W1901" s="96"/>
      <c r="X1901" s="97"/>
      <c r="Y1901" s="97"/>
      <c r="Z1901" s="97"/>
      <c r="AA1901" s="4"/>
      <c r="AB1901" s="5"/>
    </row>
    <row r="1902" spans="1:28" x14ac:dyDescent="0.2">
      <c r="A1902" s="4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91"/>
      <c r="O1902" s="91"/>
      <c r="P1902" s="91"/>
      <c r="Q1902" s="91"/>
      <c r="R1902" s="91"/>
      <c r="S1902" s="91"/>
      <c r="T1902" s="91"/>
      <c r="U1902" s="91"/>
      <c r="V1902" s="92"/>
      <c r="W1902" s="92"/>
      <c r="X1902" s="93"/>
      <c r="Y1902" s="93"/>
      <c r="Z1902" s="93"/>
      <c r="AA1902" s="4"/>
      <c r="AB1902" s="5"/>
    </row>
    <row r="1903" spans="1:28" x14ac:dyDescent="0.2">
      <c r="A1903" s="4"/>
      <c r="B1903" s="94"/>
      <c r="C1903" s="94"/>
      <c r="D1903" s="94"/>
      <c r="E1903" s="94"/>
      <c r="F1903" s="94"/>
      <c r="G1903" s="94"/>
      <c r="H1903" s="94"/>
      <c r="I1903" s="94"/>
      <c r="J1903" s="94"/>
      <c r="K1903" s="94"/>
      <c r="L1903" s="94"/>
      <c r="M1903" s="94"/>
      <c r="N1903" s="95"/>
      <c r="O1903" s="95"/>
      <c r="P1903" s="95"/>
      <c r="Q1903" s="95"/>
      <c r="R1903" s="95"/>
      <c r="S1903" s="95"/>
      <c r="T1903" s="95"/>
      <c r="U1903" s="95"/>
      <c r="V1903" s="96"/>
      <c r="W1903" s="96"/>
      <c r="X1903" s="97"/>
      <c r="Y1903" s="97"/>
      <c r="Z1903" s="97"/>
      <c r="AA1903" s="4"/>
      <c r="AB1903" s="5"/>
    </row>
    <row r="1904" spans="1:28" x14ac:dyDescent="0.2">
      <c r="A1904" s="4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91"/>
      <c r="O1904" s="91"/>
      <c r="P1904" s="91"/>
      <c r="Q1904" s="91"/>
      <c r="R1904" s="91"/>
      <c r="S1904" s="91"/>
      <c r="T1904" s="91"/>
      <c r="U1904" s="91"/>
      <c r="V1904" s="92"/>
      <c r="W1904" s="92"/>
      <c r="X1904" s="93"/>
      <c r="Y1904" s="93"/>
      <c r="Z1904" s="93"/>
      <c r="AA1904" s="4"/>
      <c r="AB1904" s="5"/>
    </row>
    <row r="1905" spans="1:28" x14ac:dyDescent="0.2">
      <c r="A1905" s="4"/>
      <c r="B1905" s="94"/>
      <c r="C1905" s="94"/>
      <c r="D1905" s="94"/>
      <c r="E1905" s="94"/>
      <c r="F1905" s="94"/>
      <c r="G1905" s="94"/>
      <c r="H1905" s="94"/>
      <c r="I1905" s="94"/>
      <c r="J1905" s="94"/>
      <c r="K1905" s="94"/>
      <c r="L1905" s="94"/>
      <c r="M1905" s="94"/>
      <c r="N1905" s="95"/>
      <c r="O1905" s="95"/>
      <c r="P1905" s="95"/>
      <c r="Q1905" s="95"/>
      <c r="R1905" s="95"/>
      <c r="S1905" s="95"/>
      <c r="T1905" s="95"/>
      <c r="U1905" s="95"/>
      <c r="V1905" s="96"/>
      <c r="W1905" s="96"/>
      <c r="X1905" s="97"/>
      <c r="Y1905" s="97"/>
      <c r="Z1905" s="97"/>
      <c r="AA1905" s="4"/>
      <c r="AB1905" s="5"/>
    </row>
    <row r="1906" spans="1:28" x14ac:dyDescent="0.2">
      <c r="A1906" s="4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91"/>
      <c r="O1906" s="91"/>
      <c r="P1906" s="91"/>
      <c r="Q1906" s="91"/>
      <c r="R1906" s="91"/>
      <c r="S1906" s="91"/>
      <c r="T1906" s="91"/>
      <c r="U1906" s="91"/>
      <c r="V1906" s="92"/>
      <c r="W1906" s="92"/>
      <c r="X1906" s="93"/>
      <c r="Y1906" s="93"/>
      <c r="Z1906" s="93"/>
      <c r="AA1906" s="4"/>
      <c r="AB1906" s="5"/>
    </row>
    <row r="1907" spans="1:28" x14ac:dyDescent="0.2">
      <c r="A1907" s="4"/>
      <c r="B1907" s="94"/>
      <c r="C1907" s="94"/>
      <c r="D1907" s="94"/>
      <c r="E1907" s="94"/>
      <c r="F1907" s="94"/>
      <c r="G1907" s="94"/>
      <c r="H1907" s="94"/>
      <c r="I1907" s="94"/>
      <c r="J1907" s="94"/>
      <c r="K1907" s="94"/>
      <c r="L1907" s="94"/>
      <c r="M1907" s="94"/>
      <c r="N1907" s="95"/>
      <c r="O1907" s="95"/>
      <c r="P1907" s="95"/>
      <c r="Q1907" s="95"/>
      <c r="R1907" s="95"/>
      <c r="S1907" s="95"/>
      <c r="T1907" s="95"/>
      <c r="U1907" s="95"/>
      <c r="V1907" s="96"/>
      <c r="W1907" s="96"/>
      <c r="X1907" s="97"/>
      <c r="Y1907" s="97"/>
      <c r="Z1907" s="97"/>
      <c r="AA1907" s="4"/>
      <c r="AB1907" s="5"/>
    </row>
    <row r="1908" spans="1:28" x14ac:dyDescent="0.2">
      <c r="A1908" s="4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91"/>
      <c r="O1908" s="91"/>
      <c r="P1908" s="91"/>
      <c r="Q1908" s="91"/>
      <c r="R1908" s="91"/>
      <c r="S1908" s="91"/>
      <c r="T1908" s="91"/>
      <c r="U1908" s="91"/>
      <c r="V1908" s="92"/>
      <c r="W1908" s="92"/>
      <c r="X1908" s="93"/>
      <c r="Y1908" s="93"/>
      <c r="Z1908" s="93"/>
      <c r="AA1908" s="4"/>
      <c r="AB1908" s="5"/>
    </row>
    <row r="1909" spans="1:28" x14ac:dyDescent="0.2">
      <c r="A1909" s="4"/>
      <c r="B1909" s="94"/>
      <c r="C1909" s="94"/>
      <c r="D1909" s="94"/>
      <c r="E1909" s="94"/>
      <c r="F1909" s="94"/>
      <c r="G1909" s="94"/>
      <c r="H1909" s="94"/>
      <c r="I1909" s="94"/>
      <c r="J1909" s="94"/>
      <c r="K1909" s="94"/>
      <c r="L1909" s="94"/>
      <c r="M1909" s="94"/>
      <c r="N1909" s="95"/>
      <c r="O1909" s="95"/>
      <c r="P1909" s="95"/>
      <c r="Q1909" s="95"/>
      <c r="R1909" s="95"/>
      <c r="S1909" s="95"/>
      <c r="T1909" s="95"/>
      <c r="U1909" s="95"/>
      <c r="V1909" s="96"/>
      <c r="W1909" s="96"/>
      <c r="X1909" s="97"/>
      <c r="Y1909" s="97"/>
      <c r="Z1909" s="97"/>
      <c r="AA1909" s="4"/>
      <c r="AB1909" s="5"/>
    </row>
    <row r="1910" spans="1:28" x14ac:dyDescent="0.2">
      <c r="A1910" s="4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91"/>
      <c r="O1910" s="91"/>
      <c r="P1910" s="91"/>
      <c r="Q1910" s="91"/>
      <c r="R1910" s="91"/>
      <c r="S1910" s="91"/>
      <c r="T1910" s="91"/>
      <c r="U1910" s="91"/>
      <c r="V1910" s="92"/>
      <c r="W1910" s="92"/>
      <c r="X1910" s="93"/>
      <c r="Y1910" s="93"/>
      <c r="Z1910" s="93"/>
      <c r="AA1910" s="4"/>
      <c r="AB1910" s="5"/>
    </row>
    <row r="1911" spans="1:28" x14ac:dyDescent="0.2">
      <c r="A1911" s="4"/>
      <c r="B1911" s="94"/>
      <c r="C1911" s="94"/>
      <c r="D1911" s="94"/>
      <c r="E1911" s="94"/>
      <c r="F1911" s="94"/>
      <c r="G1911" s="94"/>
      <c r="H1911" s="94"/>
      <c r="I1911" s="94"/>
      <c r="J1911" s="94"/>
      <c r="K1911" s="94"/>
      <c r="L1911" s="94"/>
      <c r="M1911" s="94"/>
      <c r="N1911" s="95"/>
      <c r="O1911" s="95"/>
      <c r="P1911" s="95"/>
      <c r="Q1911" s="95"/>
      <c r="R1911" s="95"/>
      <c r="S1911" s="95"/>
      <c r="T1911" s="95"/>
      <c r="U1911" s="95"/>
      <c r="V1911" s="96"/>
      <c r="W1911" s="96"/>
      <c r="X1911" s="97"/>
      <c r="Y1911" s="97"/>
      <c r="Z1911" s="97"/>
      <c r="AA1911" s="4"/>
      <c r="AB1911" s="5"/>
    </row>
    <row r="1912" spans="1:28" x14ac:dyDescent="0.2">
      <c r="A1912" s="4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91"/>
      <c r="O1912" s="91"/>
      <c r="P1912" s="91"/>
      <c r="Q1912" s="91"/>
      <c r="R1912" s="91"/>
      <c r="S1912" s="91"/>
      <c r="T1912" s="91"/>
      <c r="U1912" s="91"/>
      <c r="V1912" s="92"/>
      <c r="W1912" s="92"/>
      <c r="X1912" s="93"/>
      <c r="Y1912" s="93"/>
      <c r="Z1912" s="93"/>
      <c r="AA1912" s="4"/>
      <c r="AB1912" s="5"/>
    </row>
    <row r="1913" spans="1:28" x14ac:dyDescent="0.2">
      <c r="A1913" s="4"/>
      <c r="B1913" s="94"/>
      <c r="C1913" s="94"/>
      <c r="D1913" s="94"/>
      <c r="E1913" s="94"/>
      <c r="F1913" s="94"/>
      <c r="G1913" s="94"/>
      <c r="H1913" s="94"/>
      <c r="I1913" s="94"/>
      <c r="J1913" s="94"/>
      <c r="K1913" s="94"/>
      <c r="L1913" s="94"/>
      <c r="M1913" s="94"/>
      <c r="N1913" s="95"/>
      <c r="O1913" s="95"/>
      <c r="P1913" s="95"/>
      <c r="Q1913" s="95"/>
      <c r="R1913" s="95"/>
      <c r="S1913" s="95"/>
      <c r="T1913" s="95"/>
      <c r="U1913" s="95"/>
      <c r="V1913" s="96"/>
      <c r="W1913" s="96"/>
      <c r="X1913" s="97"/>
      <c r="Y1913" s="97"/>
      <c r="Z1913" s="97"/>
      <c r="AA1913" s="4"/>
      <c r="AB1913" s="5"/>
    </row>
    <row r="1914" spans="1:28" x14ac:dyDescent="0.2">
      <c r="A1914" s="4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91"/>
      <c r="O1914" s="91"/>
      <c r="P1914" s="91"/>
      <c r="Q1914" s="91"/>
      <c r="R1914" s="91"/>
      <c r="S1914" s="91"/>
      <c r="T1914" s="91"/>
      <c r="U1914" s="91"/>
      <c r="V1914" s="92"/>
      <c r="W1914" s="92"/>
      <c r="X1914" s="93"/>
      <c r="Y1914" s="93"/>
      <c r="Z1914" s="93"/>
      <c r="AA1914" s="4"/>
      <c r="AB1914" s="5"/>
    </row>
    <row r="1915" spans="1:28" x14ac:dyDescent="0.2">
      <c r="A1915" s="4"/>
      <c r="B1915" s="94"/>
      <c r="C1915" s="94"/>
      <c r="D1915" s="94"/>
      <c r="E1915" s="94"/>
      <c r="F1915" s="94"/>
      <c r="G1915" s="94"/>
      <c r="H1915" s="94"/>
      <c r="I1915" s="94"/>
      <c r="J1915" s="94"/>
      <c r="K1915" s="94"/>
      <c r="L1915" s="94"/>
      <c r="M1915" s="94"/>
      <c r="N1915" s="95"/>
      <c r="O1915" s="95"/>
      <c r="P1915" s="95"/>
      <c r="Q1915" s="95"/>
      <c r="R1915" s="95"/>
      <c r="S1915" s="95"/>
      <c r="T1915" s="95"/>
      <c r="U1915" s="95"/>
      <c r="V1915" s="96"/>
      <c r="W1915" s="96"/>
      <c r="X1915" s="97"/>
      <c r="Y1915" s="97"/>
      <c r="Z1915" s="97"/>
      <c r="AA1915" s="4"/>
      <c r="AB1915" s="5"/>
    </row>
    <row r="1916" spans="1:28" x14ac:dyDescent="0.2">
      <c r="A1916" s="4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91"/>
      <c r="O1916" s="91"/>
      <c r="P1916" s="91"/>
      <c r="Q1916" s="91"/>
      <c r="R1916" s="91"/>
      <c r="S1916" s="91"/>
      <c r="T1916" s="91"/>
      <c r="U1916" s="91"/>
      <c r="V1916" s="92"/>
      <c r="W1916" s="92"/>
      <c r="X1916" s="93"/>
      <c r="Y1916" s="93"/>
      <c r="Z1916" s="93"/>
      <c r="AA1916" s="4"/>
      <c r="AB1916" s="5"/>
    </row>
    <row r="1917" spans="1:28" x14ac:dyDescent="0.2">
      <c r="A1917" s="4"/>
      <c r="B1917" s="94"/>
      <c r="C1917" s="94"/>
      <c r="D1917" s="94"/>
      <c r="E1917" s="94"/>
      <c r="F1917" s="94"/>
      <c r="G1917" s="94"/>
      <c r="H1917" s="94"/>
      <c r="I1917" s="94"/>
      <c r="J1917" s="94"/>
      <c r="K1917" s="94"/>
      <c r="L1917" s="94"/>
      <c r="M1917" s="94"/>
      <c r="N1917" s="95"/>
      <c r="O1917" s="95"/>
      <c r="P1917" s="95"/>
      <c r="Q1917" s="95"/>
      <c r="R1917" s="95"/>
      <c r="S1917" s="95"/>
      <c r="T1917" s="95"/>
      <c r="U1917" s="95"/>
      <c r="V1917" s="96"/>
      <c r="W1917" s="96"/>
      <c r="X1917" s="97"/>
      <c r="Y1917" s="97"/>
      <c r="Z1917" s="97"/>
      <c r="AA1917" s="4"/>
      <c r="AB1917" s="5"/>
    </row>
    <row r="1918" spans="1:28" x14ac:dyDescent="0.2">
      <c r="A1918" s="4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91"/>
      <c r="O1918" s="91"/>
      <c r="P1918" s="91"/>
      <c r="Q1918" s="91"/>
      <c r="R1918" s="91"/>
      <c r="S1918" s="91"/>
      <c r="T1918" s="91"/>
      <c r="U1918" s="91"/>
      <c r="V1918" s="92"/>
      <c r="W1918" s="92"/>
      <c r="X1918" s="93"/>
      <c r="Y1918" s="93"/>
      <c r="Z1918" s="93"/>
      <c r="AA1918" s="4"/>
      <c r="AB1918" s="5"/>
    </row>
    <row r="1919" spans="1:28" x14ac:dyDescent="0.2">
      <c r="A1919" s="4"/>
      <c r="B1919" s="94"/>
      <c r="C1919" s="94"/>
      <c r="D1919" s="94"/>
      <c r="E1919" s="94"/>
      <c r="F1919" s="94"/>
      <c r="G1919" s="94"/>
      <c r="H1919" s="94"/>
      <c r="I1919" s="94"/>
      <c r="J1919" s="94"/>
      <c r="K1919" s="94"/>
      <c r="L1919" s="94"/>
      <c r="M1919" s="94"/>
      <c r="N1919" s="95"/>
      <c r="O1919" s="95"/>
      <c r="P1919" s="95"/>
      <c r="Q1919" s="95"/>
      <c r="R1919" s="95"/>
      <c r="S1919" s="95"/>
      <c r="T1919" s="95"/>
      <c r="U1919" s="95"/>
      <c r="V1919" s="96"/>
      <c r="W1919" s="96"/>
      <c r="X1919" s="97"/>
      <c r="Y1919" s="97"/>
      <c r="Z1919" s="97"/>
      <c r="AA1919" s="4"/>
      <c r="AB1919" s="5"/>
    </row>
    <row r="1920" spans="1:28" x14ac:dyDescent="0.2">
      <c r="A1920" s="4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91"/>
      <c r="O1920" s="91"/>
      <c r="P1920" s="91"/>
      <c r="Q1920" s="91"/>
      <c r="R1920" s="91"/>
      <c r="S1920" s="91"/>
      <c r="T1920" s="91"/>
      <c r="U1920" s="91"/>
      <c r="V1920" s="92"/>
      <c r="W1920" s="92"/>
      <c r="X1920" s="93"/>
      <c r="Y1920" s="93"/>
      <c r="Z1920" s="93"/>
      <c r="AA1920" s="4"/>
      <c r="AB1920" s="5"/>
    </row>
    <row r="1921" spans="1:28" x14ac:dyDescent="0.2">
      <c r="A1921" s="4"/>
      <c r="B1921" s="94"/>
      <c r="C1921" s="94"/>
      <c r="D1921" s="94"/>
      <c r="E1921" s="94"/>
      <c r="F1921" s="94"/>
      <c r="G1921" s="94"/>
      <c r="H1921" s="94"/>
      <c r="I1921" s="94"/>
      <c r="J1921" s="94"/>
      <c r="K1921" s="94"/>
      <c r="L1921" s="94"/>
      <c r="M1921" s="94"/>
      <c r="N1921" s="95"/>
      <c r="O1921" s="95"/>
      <c r="P1921" s="95"/>
      <c r="Q1921" s="95"/>
      <c r="R1921" s="95"/>
      <c r="S1921" s="95"/>
      <c r="T1921" s="95"/>
      <c r="U1921" s="95"/>
      <c r="V1921" s="96"/>
      <c r="W1921" s="96"/>
      <c r="X1921" s="97"/>
      <c r="Y1921" s="97"/>
      <c r="Z1921" s="97"/>
      <c r="AA1921" s="4"/>
      <c r="AB1921" s="5"/>
    </row>
    <row r="1922" spans="1:28" x14ac:dyDescent="0.2">
      <c r="A1922" s="4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91"/>
      <c r="O1922" s="91"/>
      <c r="P1922" s="91"/>
      <c r="Q1922" s="91"/>
      <c r="R1922" s="91"/>
      <c r="S1922" s="91"/>
      <c r="T1922" s="91"/>
      <c r="U1922" s="91"/>
      <c r="V1922" s="92"/>
      <c r="W1922" s="92"/>
      <c r="X1922" s="93"/>
      <c r="Y1922" s="93"/>
      <c r="Z1922" s="93"/>
      <c r="AA1922" s="4"/>
      <c r="AB1922" s="5"/>
    </row>
    <row r="1923" spans="1:28" x14ac:dyDescent="0.2">
      <c r="A1923" s="4"/>
      <c r="B1923" s="94"/>
      <c r="C1923" s="94"/>
      <c r="D1923" s="94"/>
      <c r="E1923" s="94"/>
      <c r="F1923" s="94"/>
      <c r="G1923" s="94"/>
      <c r="H1923" s="94"/>
      <c r="I1923" s="94"/>
      <c r="J1923" s="94"/>
      <c r="K1923" s="94"/>
      <c r="L1923" s="94"/>
      <c r="M1923" s="94"/>
      <c r="N1923" s="95"/>
      <c r="O1923" s="95"/>
      <c r="P1923" s="95"/>
      <c r="Q1923" s="95"/>
      <c r="R1923" s="95"/>
      <c r="S1923" s="95"/>
      <c r="T1923" s="95"/>
      <c r="U1923" s="95"/>
      <c r="V1923" s="96"/>
      <c r="W1923" s="96"/>
      <c r="X1923" s="97"/>
      <c r="Y1923" s="97"/>
      <c r="Z1923" s="97"/>
      <c r="AA1923" s="4"/>
      <c r="AB1923" s="5"/>
    </row>
    <row r="1924" spans="1:28" x14ac:dyDescent="0.2">
      <c r="A1924" s="4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91"/>
      <c r="O1924" s="91"/>
      <c r="P1924" s="91"/>
      <c r="Q1924" s="91"/>
      <c r="R1924" s="91"/>
      <c r="S1924" s="91"/>
      <c r="T1924" s="91"/>
      <c r="U1924" s="91"/>
      <c r="V1924" s="92"/>
      <c r="W1924" s="92"/>
      <c r="X1924" s="93"/>
      <c r="Y1924" s="93"/>
      <c r="Z1924" s="93"/>
      <c r="AA1924" s="4"/>
      <c r="AB1924" s="5"/>
    </row>
    <row r="1925" spans="1:28" x14ac:dyDescent="0.2">
      <c r="A1925" s="4"/>
      <c r="B1925" s="94"/>
      <c r="C1925" s="94"/>
      <c r="D1925" s="94"/>
      <c r="E1925" s="94"/>
      <c r="F1925" s="94"/>
      <c r="G1925" s="94"/>
      <c r="H1925" s="94"/>
      <c r="I1925" s="94"/>
      <c r="J1925" s="94"/>
      <c r="K1925" s="94"/>
      <c r="L1925" s="94"/>
      <c r="M1925" s="94"/>
      <c r="N1925" s="95"/>
      <c r="O1925" s="95"/>
      <c r="P1925" s="95"/>
      <c r="Q1925" s="95"/>
      <c r="R1925" s="95"/>
      <c r="S1925" s="95"/>
      <c r="T1925" s="95"/>
      <c r="U1925" s="95"/>
      <c r="V1925" s="96"/>
      <c r="W1925" s="96"/>
      <c r="X1925" s="97"/>
      <c r="Y1925" s="97"/>
      <c r="Z1925" s="97"/>
      <c r="AA1925" s="4"/>
      <c r="AB1925" s="5"/>
    </row>
    <row r="1926" spans="1:28" x14ac:dyDescent="0.2">
      <c r="A1926" s="4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91"/>
      <c r="O1926" s="91"/>
      <c r="P1926" s="91"/>
      <c r="Q1926" s="91"/>
      <c r="R1926" s="91"/>
      <c r="S1926" s="91"/>
      <c r="T1926" s="91"/>
      <c r="U1926" s="91"/>
      <c r="V1926" s="92"/>
      <c r="W1926" s="92"/>
      <c r="X1926" s="93"/>
      <c r="Y1926" s="93"/>
      <c r="Z1926" s="93"/>
      <c r="AA1926" s="4"/>
      <c r="AB1926" s="5"/>
    </row>
    <row r="1927" spans="1:28" x14ac:dyDescent="0.2">
      <c r="A1927" s="4"/>
      <c r="B1927" s="94"/>
      <c r="C1927" s="94"/>
      <c r="D1927" s="94"/>
      <c r="E1927" s="94"/>
      <c r="F1927" s="94"/>
      <c r="G1927" s="94"/>
      <c r="H1927" s="94"/>
      <c r="I1927" s="94"/>
      <c r="J1927" s="94"/>
      <c r="K1927" s="94"/>
      <c r="L1927" s="94"/>
      <c r="M1927" s="94"/>
      <c r="N1927" s="95"/>
      <c r="O1927" s="95"/>
      <c r="P1927" s="95"/>
      <c r="Q1927" s="95"/>
      <c r="R1927" s="95"/>
      <c r="S1927" s="95"/>
      <c r="T1927" s="95"/>
      <c r="U1927" s="95"/>
      <c r="V1927" s="96"/>
      <c r="W1927" s="96"/>
      <c r="X1927" s="97"/>
      <c r="Y1927" s="97"/>
      <c r="Z1927" s="97"/>
      <c r="AA1927" s="4"/>
      <c r="AB1927" s="5"/>
    </row>
    <row r="1928" spans="1:28" x14ac:dyDescent="0.2">
      <c r="A1928" s="4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91"/>
      <c r="O1928" s="91"/>
      <c r="P1928" s="91"/>
      <c r="Q1928" s="91"/>
      <c r="R1928" s="91"/>
      <c r="S1928" s="91"/>
      <c r="T1928" s="91"/>
      <c r="U1928" s="91"/>
      <c r="V1928" s="92"/>
      <c r="W1928" s="92"/>
      <c r="X1928" s="93"/>
      <c r="Y1928" s="93"/>
      <c r="Z1928" s="93"/>
      <c r="AA1928" s="4"/>
      <c r="AB1928" s="5"/>
    </row>
    <row r="1929" spans="1:28" x14ac:dyDescent="0.2">
      <c r="A1929" s="4"/>
      <c r="B1929" s="94"/>
      <c r="C1929" s="94"/>
      <c r="D1929" s="94"/>
      <c r="E1929" s="94"/>
      <c r="F1929" s="94"/>
      <c r="G1929" s="94"/>
      <c r="H1929" s="94"/>
      <c r="I1929" s="94"/>
      <c r="J1929" s="94"/>
      <c r="K1929" s="94"/>
      <c r="L1929" s="94"/>
      <c r="M1929" s="94"/>
      <c r="N1929" s="95"/>
      <c r="O1929" s="95"/>
      <c r="P1929" s="95"/>
      <c r="Q1929" s="95"/>
      <c r="R1929" s="95"/>
      <c r="S1929" s="95"/>
      <c r="T1929" s="95"/>
      <c r="U1929" s="95"/>
      <c r="V1929" s="96"/>
      <c r="W1929" s="96"/>
      <c r="X1929" s="97"/>
      <c r="Y1929" s="97"/>
      <c r="Z1929" s="97"/>
      <c r="AA1929" s="4"/>
      <c r="AB1929" s="5"/>
    </row>
    <row r="1930" spans="1:28" x14ac:dyDescent="0.2">
      <c r="A1930" s="4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91"/>
      <c r="O1930" s="91"/>
      <c r="P1930" s="91"/>
      <c r="Q1930" s="91"/>
      <c r="R1930" s="91"/>
      <c r="S1930" s="91"/>
      <c r="T1930" s="91"/>
      <c r="U1930" s="91"/>
      <c r="V1930" s="92"/>
      <c r="W1930" s="92"/>
      <c r="X1930" s="93"/>
      <c r="Y1930" s="93"/>
      <c r="Z1930" s="93"/>
      <c r="AA1930" s="4"/>
      <c r="AB1930" s="5"/>
    </row>
    <row r="1931" spans="1:28" x14ac:dyDescent="0.2">
      <c r="A1931" s="4"/>
      <c r="B1931" s="94"/>
      <c r="C1931" s="94"/>
      <c r="D1931" s="94"/>
      <c r="E1931" s="94"/>
      <c r="F1931" s="94"/>
      <c r="G1931" s="94"/>
      <c r="H1931" s="94"/>
      <c r="I1931" s="94"/>
      <c r="J1931" s="94"/>
      <c r="K1931" s="94"/>
      <c r="L1931" s="94"/>
      <c r="M1931" s="94"/>
      <c r="N1931" s="95"/>
      <c r="O1931" s="95"/>
      <c r="P1931" s="95"/>
      <c r="Q1931" s="95"/>
      <c r="R1931" s="95"/>
      <c r="S1931" s="95"/>
      <c r="T1931" s="95"/>
      <c r="U1931" s="95"/>
      <c r="V1931" s="96"/>
      <c r="W1931" s="96"/>
      <c r="X1931" s="97"/>
      <c r="Y1931" s="97"/>
      <c r="Z1931" s="97"/>
      <c r="AA1931" s="4"/>
      <c r="AB1931" s="5"/>
    </row>
    <row r="1932" spans="1:28" x14ac:dyDescent="0.2">
      <c r="A1932" s="4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91"/>
      <c r="O1932" s="91"/>
      <c r="P1932" s="91"/>
      <c r="Q1932" s="91"/>
      <c r="R1932" s="91"/>
      <c r="S1932" s="91"/>
      <c r="T1932" s="91"/>
      <c r="U1932" s="91"/>
      <c r="V1932" s="92"/>
      <c r="W1932" s="92"/>
      <c r="X1932" s="93"/>
      <c r="Y1932" s="93"/>
      <c r="Z1932" s="93"/>
      <c r="AA1932" s="4"/>
      <c r="AB1932" s="5"/>
    </row>
    <row r="1933" spans="1:28" x14ac:dyDescent="0.2">
      <c r="A1933" s="4"/>
      <c r="B1933" s="94"/>
      <c r="C1933" s="94"/>
      <c r="D1933" s="94"/>
      <c r="E1933" s="94"/>
      <c r="F1933" s="94"/>
      <c r="G1933" s="94"/>
      <c r="H1933" s="94"/>
      <c r="I1933" s="94"/>
      <c r="J1933" s="94"/>
      <c r="K1933" s="94"/>
      <c r="L1933" s="94"/>
      <c r="M1933" s="94"/>
      <c r="N1933" s="95"/>
      <c r="O1933" s="95"/>
      <c r="P1933" s="95"/>
      <c r="Q1933" s="95"/>
      <c r="R1933" s="95"/>
      <c r="S1933" s="95"/>
      <c r="T1933" s="95"/>
      <c r="U1933" s="95"/>
      <c r="V1933" s="96"/>
      <c r="W1933" s="96"/>
      <c r="X1933" s="97"/>
      <c r="Y1933" s="97"/>
      <c r="Z1933" s="97"/>
      <c r="AA1933" s="4"/>
      <c r="AB1933" s="5"/>
    </row>
    <row r="1934" spans="1:28" x14ac:dyDescent="0.2">
      <c r="A1934" s="4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91"/>
      <c r="O1934" s="91"/>
      <c r="P1934" s="91"/>
      <c r="Q1934" s="91"/>
      <c r="R1934" s="91"/>
      <c r="S1934" s="91"/>
      <c r="T1934" s="91"/>
      <c r="U1934" s="91"/>
      <c r="V1934" s="92"/>
      <c r="W1934" s="92"/>
      <c r="X1934" s="93"/>
      <c r="Y1934" s="93"/>
      <c r="Z1934" s="93"/>
      <c r="AA1934" s="4"/>
      <c r="AB1934" s="5"/>
    </row>
    <row r="1935" spans="1:28" x14ac:dyDescent="0.2">
      <c r="A1935" s="4"/>
      <c r="B1935" s="94"/>
      <c r="C1935" s="94"/>
      <c r="D1935" s="94"/>
      <c r="E1935" s="94"/>
      <c r="F1935" s="94"/>
      <c r="G1935" s="94"/>
      <c r="H1935" s="94"/>
      <c r="I1935" s="94"/>
      <c r="J1935" s="94"/>
      <c r="K1935" s="94"/>
      <c r="L1935" s="94"/>
      <c r="M1935" s="94"/>
      <c r="N1935" s="95"/>
      <c r="O1935" s="95"/>
      <c r="P1935" s="95"/>
      <c r="Q1935" s="95"/>
      <c r="R1935" s="95"/>
      <c r="S1935" s="95"/>
      <c r="T1935" s="95"/>
      <c r="U1935" s="95"/>
      <c r="V1935" s="96"/>
      <c r="W1935" s="96"/>
      <c r="X1935" s="97"/>
      <c r="Y1935" s="97"/>
      <c r="Z1935" s="97"/>
      <c r="AA1935" s="4"/>
      <c r="AB1935" s="5"/>
    </row>
    <row r="1936" spans="1:28" x14ac:dyDescent="0.2">
      <c r="A1936" s="4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91"/>
      <c r="O1936" s="91"/>
      <c r="P1936" s="91"/>
      <c r="Q1936" s="91"/>
      <c r="R1936" s="91"/>
      <c r="S1936" s="91"/>
      <c r="T1936" s="91"/>
      <c r="U1936" s="91"/>
      <c r="V1936" s="92"/>
      <c r="W1936" s="92"/>
      <c r="X1936" s="93"/>
      <c r="Y1936" s="93"/>
      <c r="Z1936" s="93"/>
      <c r="AA1936" s="4"/>
      <c r="AB1936" s="5"/>
    </row>
    <row r="1937" spans="1:28" x14ac:dyDescent="0.2">
      <c r="A1937" s="4"/>
      <c r="B1937" s="94"/>
      <c r="C1937" s="94"/>
      <c r="D1937" s="94"/>
      <c r="E1937" s="94"/>
      <c r="F1937" s="94"/>
      <c r="G1937" s="94"/>
      <c r="H1937" s="94"/>
      <c r="I1937" s="94"/>
      <c r="J1937" s="94"/>
      <c r="K1937" s="94"/>
      <c r="L1937" s="94"/>
      <c r="M1937" s="94"/>
      <c r="N1937" s="95"/>
      <c r="O1937" s="95"/>
      <c r="P1937" s="95"/>
      <c r="Q1937" s="95"/>
      <c r="R1937" s="95"/>
      <c r="S1937" s="95"/>
      <c r="T1937" s="95"/>
      <c r="U1937" s="95"/>
      <c r="V1937" s="96"/>
      <c r="W1937" s="96"/>
      <c r="X1937" s="97"/>
      <c r="Y1937" s="97"/>
      <c r="Z1937" s="97"/>
      <c r="AA1937" s="4"/>
      <c r="AB1937" s="5"/>
    </row>
    <row r="1938" spans="1:28" x14ac:dyDescent="0.2">
      <c r="A1938" s="4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91"/>
      <c r="O1938" s="91"/>
      <c r="P1938" s="91"/>
      <c r="Q1938" s="91"/>
      <c r="R1938" s="91"/>
      <c r="S1938" s="91"/>
      <c r="T1938" s="91"/>
      <c r="U1938" s="91"/>
      <c r="V1938" s="92"/>
      <c r="W1938" s="92"/>
      <c r="X1938" s="93"/>
      <c r="Y1938" s="93"/>
      <c r="Z1938" s="93"/>
      <c r="AA1938" s="4"/>
      <c r="AB1938" s="5"/>
    </row>
    <row r="1939" spans="1:28" x14ac:dyDescent="0.2">
      <c r="A1939" s="4"/>
      <c r="B1939" s="94"/>
      <c r="C1939" s="94"/>
      <c r="D1939" s="94"/>
      <c r="E1939" s="94"/>
      <c r="F1939" s="94"/>
      <c r="G1939" s="94"/>
      <c r="H1939" s="94"/>
      <c r="I1939" s="94"/>
      <c r="J1939" s="94"/>
      <c r="K1939" s="94"/>
      <c r="L1939" s="94"/>
      <c r="M1939" s="94"/>
      <c r="N1939" s="95"/>
      <c r="O1939" s="95"/>
      <c r="P1939" s="95"/>
      <c r="Q1939" s="95"/>
      <c r="R1939" s="95"/>
      <c r="S1939" s="95"/>
      <c r="T1939" s="95"/>
      <c r="U1939" s="95"/>
      <c r="V1939" s="96"/>
      <c r="W1939" s="96"/>
      <c r="X1939" s="97"/>
      <c r="Y1939" s="97"/>
      <c r="Z1939" s="97"/>
      <c r="AA1939" s="4"/>
      <c r="AB1939" s="5"/>
    </row>
    <row r="1940" spans="1:28" x14ac:dyDescent="0.2">
      <c r="A1940" s="4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91"/>
      <c r="O1940" s="91"/>
      <c r="P1940" s="91"/>
      <c r="Q1940" s="91"/>
      <c r="R1940" s="91"/>
      <c r="S1940" s="91"/>
      <c r="T1940" s="91"/>
      <c r="U1940" s="91"/>
      <c r="V1940" s="92"/>
      <c r="W1940" s="92"/>
      <c r="X1940" s="93"/>
      <c r="Y1940" s="93"/>
      <c r="Z1940" s="93"/>
      <c r="AA1940" s="4"/>
      <c r="AB1940" s="5"/>
    </row>
    <row r="1941" spans="1:28" x14ac:dyDescent="0.2">
      <c r="A1941" s="4"/>
      <c r="B1941" s="94"/>
      <c r="C1941" s="94"/>
      <c r="D1941" s="94"/>
      <c r="E1941" s="94"/>
      <c r="F1941" s="94"/>
      <c r="G1941" s="94"/>
      <c r="H1941" s="94"/>
      <c r="I1941" s="94"/>
      <c r="J1941" s="94"/>
      <c r="K1941" s="94"/>
      <c r="L1941" s="94"/>
      <c r="M1941" s="94"/>
      <c r="N1941" s="95"/>
      <c r="O1941" s="95"/>
      <c r="P1941" s="95"/>
      <c r="Q1941" s="95"/>
      <c r="R1941" s="95"/>
      <c r="S1941" s="95"/>
      <c r="T1941" s="95"/>
      <c r="U1941" s="95"/>
      <c r="V1941" s="96"/>
      <c r="W1941" s="96"/>
      <c r="X1941" s="97"/>
      <c r="Y1941" s="97"/>
      <c r="Z1941" s="97"/>
      <c r="AA1941" s="4"/>
      <c r="AB1941" s="5"/>
    </row>
    <row r="1942" spans="1:28" x14ac:dyDescent="0.2">
      <c r="A1942" s="4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91"/>
      <c r="O1942" s="91"/>
      <c r="P1942" s="91"/>
      <c r="Q1942" s="91"/>
      <c r="R1942" s="91"/>
      <c r="S1942" s="91"/>
      <c r="T1942" s="91"/>
      <c r="U1942" s="91"/>
      <c r="V1942" s="92"/>
      <c r="W1942" s="92"/>
      <c r="X1942" s="93"/>
      <c r="Y1942" s="93"/>
      <c r="Z1942" s="93"/>
      <c r="AA1942" s="4"/>
      <c r="AB1942" s="5"/>
    </row>
    <row r="1943" spans="1:28" x14ac:dyDescent="0.2">
      <c r="A1943" s="4"/>
      <c r="B1943" s="94"/>
      <c r="C1943" s="94"/>
      <c r="D1943" s="94"/>
      <c r="E1943" s="94"/>
      <c r="F1943" s="94"/>
      <c r="G1943" s="94"/>
      <c r="H1943" s="94"/>
      <c r="I1943" s="94"/>
      <c r="J1943" s="94"/>
      <c r="K1943" s="94"/>
      <c r="L1943" s="94"/>
      <c r="M1943" s="94"/>
      <c r="N1943" s="95"/>
      <c r="O1943" s="95"/>
      <c r="P1943" s="95"/>
      <c r="Q1943" s="95"/>
      <c r="R1943" s="95"/>
      <c r="S1943" s="95"/>
      <c r="T1943" s="95"/>
      <c r="U1943" s="95"/>
      <c r="V1943" s="96"/>
      <c r="W1943" s="96"/>
      <c r="X1943" s="97"/>
      <c r="Y1943" s="97"/>
      <c r="Z1943" s="97"/>
      <c r="AA1943" s="4"/>
      <c r="AB1943" s="5"/>
    </row>
    <row r="1944" spans="1:28" x14ac:dyDescent="0.2">
      <c r="A1944" s="4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91"/>
      <c r="O1944" s="91"/>
      <c r="P1944" s="91"/>
      <c r="Q1944" s="91"/>
      <c r="R1944" s="91"/>
      <c r="S1944" s="91"/>
      <c r="T1944" s="91"/>
      <c r="U1944" s="91"/>
      <c r="V1944" s="92"/>
      <c r="W1944" s="92"/>
      <c r="X1944" s="93"/>
      <c r="Y1944" s="93"/>
      <c r="Z1944" s="93"/>
      <c r="AA1944" s="4"/>
      <c r="AB1944" s="5"/>
    </row>
    <row r="1945" spans="1:28" x14ac:dyDescent="0.2">
      <c r="A1945" s="4"/>
      <c r="B1945" s="94"/>
      <c r="C1945" s="94"/>
      <c r="D1945" s="94"/>
      <c r="E1945" s="94"/>
      <c r="F1945" s="94"/>
      <c r="G1945" s="94"/>
      <c r="H1945" s="94"/>
      <c r="I1945" s="94"/>
      <c r="J1945" s="94"/>
      <c r="K1945" s="94"/>
      <c r="L1945" s="94"/>
      <c r="M1945" s="94"/>
      <c r="N1945" s="95"/>
      <c r="O1945" s="95"/>
      <c r="P1945" s="95"/>
      <c r="Q1945" s="95"/>
      <c r="R1945" s="95"/>
      <c r="S1945" s="95"/>
      <c r="T1945" s="95"/>
      <c r="U1945" s="95"/>
      <c r="V1945" s="96"/>
      <c r="W1945" s="96"/>
      <c r="X1945" s="97"/>
      <c r="Y1945" s="97"/>
      <c r="Z1945" s="97"/>
      <c r="AA1945" s="4"/>
      <c r="AB1945" s="5"/>
    </row>
    <row r="1946" spans="1:28" x14ac:dyDescent="0.2">
      <c r="A1946" s="4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91"/>
      <c r="O1946" s="91"/>
      <c r="P1946" s="91"/>
      <c r="Q1946" s="91"/>
      <c r="R1946" s="91"/>
      <c r="S1946" s="91"/>
      <c r="T1946" s="91"/>
      <c r="U1946" s="91"/>
      <c r="V1946" s="92"/>
      <c r="W1946" s="92"/>
      <c r="X1946" s="93"/>
      <c r="Y1946" s="93"/>
      <c r="Z1946" s="93"/>
      <c r="AA1946" s="4"/>
      <c r="AB1946" s="5"/>
    </row>
    <row r="1947" spans="1:28" x14ac:dyDescent="0.2">
      <c r="A1947" s="4"/>
      <c r="B1947" s="94"/>
      <c r="C1947" s="94"/>
      <c r="D1947" s="94"/>
      <c r="E1947" s="94"/>
      <c r="F1947" s="94"/>
      <c r="G1947" s="94"/>
      <c r="H1947" s="94"/>
      <c r="I1947" s="94"/>
      <c r="J1947" s="94"/>
      <c r="K1947" s="94"/>
      <c r="L1947" s="94"/>
      <c r="M1947" s="94"/>
      <c r="N1947" s="95"/>
      <c r="O1947" s="95"/>
      <c r="P1947" s="95"/>
      <c r="Q1947" s="95"/>
      <c r="R1947" s="95"/>
      <c r="S1947" s="95"/>
      <c r="T1947" s="95"/>
      <c r="U1947" s="95"/>
      <c r="V1947" s="96"/>
      <c r="W1947" s="96"/>
      <c r="X1947" s="97"/>
      <c r="Y1947" s="97"/>
      <c r="Z1947" s="97"/>
      <c r="AA1947" s="4"/>
      <c r="AB1947" s="5"/>
    </row>
    <row r="1948" spans="1:28" x14ac:dyDescent="0.2">
      <c r="A1948" s="4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91"/>
      <c r="O1948" s="91"/>
      <c r="P1948" s="91"/>
      <c r="Q1948" s="91"/>
      <c r="R1948" s="91"/>
      <c r="S1948" s="91"/>
      <c r="T1948" s="91"/>
      <c r="U1948" s="91"/>
      <c r="V1948" s="92"/>
      <c r="W1948" s="92"/>
      <c r="X1948" s="93"/>
      <c r="Y1948" s="93"/>
      <c r="Z1948" s="93"/>
      <c r="AA1948" s="4"/>
      <c r="AB1948" s="5"/>
    </row>
    <row r="1949" spans="1:28" x14ac:dyDescent="0.2">
      <c r="A1949" s="4"/>
      <c r="B1949" s="94"/>
      <c r="C1949" s="94"/>
      <c r="D1949" s="94"/>
      <c r="E1949" s="94"/>
      <c r="F1949" s="94"/>
      <c r="G1949" s="94"/>
      <c r="H1949" s="94"/>
      <c r="I1949" s="94"/>
      <c r="J1949" s="94"/>
      <c r="K1949" s="94"/>
      <c r="L1949" s="94"/>
      <c r="M1949" s="94"/>
      <c r="N1949" s="95"/>
      <c r="O1949" s="95"/>
      <c r="P1949" s="95"/>
      <c r="Q1949" s="95"/>
      <c r="R1949" s="95"/>
      <c r="S1949" s="95"/>
      <c r="T1949" s="95"/>
      <c r="U1949" s="95"/>
      <c r="V1949" s="96"/>
      <c r="W1949" s="96"/>
      <c r="X1949" s="97"/>
      <c r="Y1949" s="97"/>
      <c r="Z1949" s="97"/>
      <c r="AA1949" s="4"/>
      <c r="AB1949" s="5"/>
    </row>
    <row r="1950" spans="1:28" x14ac:dyDescent="0.2">
      <c r="A1950" s="4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91"/>
      <c r="O1950" s="91"/>
      <c r="P1950" s="91"/>
      <c r="Q1950" s="91"/>
      <c r="R1950" s="91"/>
      <c r="S1950" s="91"/>
      <c r="T1950" s="91"/>
      <c r="U1950" s="91"/>
      <c r="V1950" s="92"/>
      <c r="W1950" s="92"/>
      <c r="X1950" s="93"/>
      <c r="Y1950" s="93"/>
      <c r="Z1950" s="93"/>
      <c r="AA1950" s="4"/>
      <c r="AB1950" s="5"/>
    </row>
    <row r="1951" spans="1:28" x14ac:dyDescent="0.2">
      <c r="A1951" s="4"/>
      <c r="B1951" s="94"/>
      <c r="C1951" s="94"/>
      <c r="D1951" s="94"/>
      <c r="E1951" s="94"/>
      <c r="F1951" s="94"/>
      <c r="G1951" s="94"/>
      <c r="H1951" s="94"/>
      <c r="I1951" s="94"/>
      <c r="J1951" s="94"/>
      <c r="K1951" s="94"/>
      <c r="L1951" s="94"/>
      <c r="M1951" s="94"/>
      <c r="N1951" s="95"/>
      <c r="O1951" s="95"/>
      <c r="P1951" s="95"/>
      <c r="Q1951" s="95"/>
      <c r="R1951" s="95"/>
      <c r="S1951" s="95"/>
      <c r="T1951" s="95"/>
      <c r="U1951" s="95"/>
      <c r="V1951" s="96"/>
      <c r="W1951" s="96"/>
      <c r="X1951" s="97"/>
      <c r="Y1951" s="97"/>
      <c r="Z1951" s="97"/>
      <c r="AA1951" s="4"/>
      <c r="AB1951" s="5"/>
    </row>
    <row r="1952" spans="1:28" x14ac:dyDescent="0.2">
      <c r="A1952" s="4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91"/>
      <c r="O1952" s="91"/>
      <c r="P1952" s="91"/>
      <c r="Q1952" s="91"/>
      <c r="R1952" s="91"/>
      <c r="S1952" s="91"/>
      <c r="T1952" s="91"/>
      <c r="U1952" s="91"/>
      <c r="V1952" s="92"/>
      <c r="W1952" s="92"/>
      <c r="X1952" s="93"/>
      <c r="Y1952" s="93"/>
      <c r="Z1952" s="93"/>
      <c r="AA1952" s="4"/>
      <c r="AB1952" s="5"/>
    </row>
    <row r="1953" spans="1:28" x14ac:dyDescent="0.2">
      <c r="A1953" s="4"/>
      <c r="B1953" s="94"/>
      <c r="C1953" s="94"/>
      <c r="D1953" s="94"/>
      <c r="E1953" s="94"/>
      <c r="F1953" s="94"/>
      <c r="G1953" s="94"/>
      <c r="H1953" s="94"/>
      <c r="I1953" s="94"/>
      <c r="J1953" s="94"/>
      <c r="K1953" s="94"/>
      <c r="L1953" s="94"/>
      <c r="M1953" s="94"/>
      <c r="N1953" s="95"/>
      <c r="O1953" s="95"/>
      <c r="P1953" s="95"/>
      <c r="Q1953" s="95"/>
      <c r="R1953" s="95"/>
      <c r="S1953" s="95"/>
      <c r="T1953" s="95"/>
      <c r="U1953" s="95"/>
      <c r="V1953" s="96"/>
      <c r="W1953" s="96"/>
      <c r="X1953" s="97"/>
      <c r="Y1953" s="97"/>
      <c r="Z1953" s="97"/>
      <c r="AA1953" s="4"/>
      <c r="AB1953" s="5"/>
    </row>
    <row r="1954" spans="1:28" x14ac:dyDescent="0.2">
      <c r="A1954" s="4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91"/>
      <c r="O1954" s="91"/>
      <c r="P1954" s="91"/>
      <c r="Q1954" s="91"/>
      <c r="R1954" s="91"/>
      <c r="S1954" s="91"/>
      <c r="T1954" s="91"/>
      <c r="U1954" s="91"/>
      <c r="V1954" s="92"/>
      <c r="W1954" s="92"/>
      <c r="X1954" s="93"/>
      <c r="Y1954" s="93"/>
      <c r="Z1954" s="93"/>
      <c r="AA1954" s="4"/>
      <c r="AB1954" s="5"/>
    </row>
    <row r="1955" spans="1:28" x14ac:dyDescent="0.2">
      <c r="A1955" s="4"/>
      <c r="B1955" s="94"/>
      <c r="C1955" s="94"/>
      <c r="D1955" s="94"/>
      <c r="E1955" s="94"/>
      <c r="F1955" s="94"/>
      <c r="G1955" s="94"/>
      <c r="H1955" s="94"/>
      <c r="I1955" s="94"/>
      <c r="J1955" s="94"/>
      <c r="K1955" s="94"/>
      <c r="L1955" s="94"/>
      <c r="M1955" s="94"/>
      <c r="N1955" s="95"/>
      <c r="O1955" s="95"/>
      <c r="P1955" s="95"/>
      <c r="Q1955" s="95"/>
      <c r="R1955" s="95"/>
      <c r="S1955" s="95"/>
      <c r="T1955" s="95"/>
      <c r="U1955" s="95"/>
      <c r="V1955" s="96"/>
      <c r="W1955" s="96"/>
      <c r="X1955" s="97"/>
      <c r="Y1955" s="97"/>
      <c r="Z1955" s="97"/>
      <c r="AA1955" s="4"/>
      <c r="AB1955" s="5"/>
    </row>
    <row r="1956" spans="1:28" x14ac:dyDescent="0.2">
      <c r="A1956" s="4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91"/>
      <c r="O1956" s="91"/>
      <c r="P1956" s="91"/>
      <c r="Q1956" s="91"/>
      <c r="R1956" s="91"/>
      <c r="S1956" s="91"/>
      <c r="T1956" s="91"/>
      <c r="U1956" s="91"/>
      <c r="V1956" s="92"/>
      <c r="W1956" s="92"/>
      <c r="X1956" s="93"/>
      <c r="Y1956" s="93"/>
      <c r="Z1956" s="93"/>
      <c r="AA1956" s="4"/>
      <c r="AB1956" s="5"/>
    </row>
    <row r="1957" spans="1:28" x14ac:dyDescent="0.2">
      <c r="A1957" s="4"/>
      <c r="B1957" s="94"/>
      <c r="C1957" s="94"/>
      <c r="D1957" s="94"/>
      <c r="E1957" s="94"/>
      <c r="F1957" s="94"/>
      <c r="G1957" s="94"/>
      <c r="H1957" s="94"/>
      <c r="I1957" s="94"/>
      <c r="J1957" s="94"/>
      <c r="K1957" s="94"/>
      <c r="L1957" s="94"/>
      <c r="M1957" s="94"/>
      <c r="N1957" s="95"/>
      <c r="O1957" s="95"/>
      <c r="P1957" s="95"/>
      <c r="Q1957" s="95"/>
      <c r="R1957" s="95"/>
      <c r="S1957" s="95"/>
      <c r="T1957" s="95"/>
      <c r="U1957" s="95"/>
      <c r="V1957" s="96"/>
      <c r="W1957" s="96"/>
      <c r="X1957" s="97"/>
      <c r="Y1957" s="97"/>
      <c r="Z1957" s="97"/>
      <c r="AA1957" s="4"/>
      <c r="AB1957" s="5"/>
    </row>
    <row r="1958" spans="1:28" x14ac:dyDescent="0.2">
      <c r="A1958" s="4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91"/>
      <c r="O1958" s="91"/>
      <c r="P1958" s="91"/>
      <c r="Q1958" s="91"/>
      <c r="R1958" s="91"/>
      <c r="S1958" s="91"/>
      <c r="T1958" s="91"/>
      <c r="U1958" s="91"/>
      <c r="V1958" s="92"/>
      <c r="W1958" s="92"/>
      <c r="X1958" s="93"/>
      <c r="Y1958" s="93"/>
      <c r="Z1958" s="93"/>
      <c r="AA1958" s="4"/>
      <c r="AB1958" s="5"/>
    </row>
    <row r="1959" spans="1:28" x14ac:dyDescent="0.2">
      <c r="A1959" s="4"/>
      <c r="B1959" s="94"/>
      <c r="C1959" s="94"/>
      <c r="D1959" s="94"/>
      <c r="E1959" s="94"/>
      <c r="F1959" s="94"/>
      <c r="G1959" s="94"/>
      <c r="H1959" s="94"/>
      <c r="I1959" s="94"/>
      <c r="J1959" s="94"/>
      <c r="K1959" s="94"/>
      <c r="L1959" s="94"/>
      <c r="M1959" s="94"/>
      <c r="N1959" s="95"/>
      <c r="O1959" s="95"/>
      <c r="P1959" s="95"/>
      <c r="Q1959" s="95"/>
      <c r="R1959" s="95"/>
      <c r="S1959" s="95"/>
      <c r="T1959" s="95"/>
      <c r="U1959" s="95"/>
      <c r="V1959" s="96"/>
      <c r="W1959" s="96"/>
      <c r="X1959" s="97"/>
      <c r="Y1959" s="97"/>
      <c r="Z1959" s="97"/>
      <c r="AA1959" s="4"/>
      <c r="AB1959" s="5"/>
    </row>
    <row r="1960" spans="1:28" x14ac:dyDescent="0.2">
      <c r="A1960" s="4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91"/>
      <c r="O1960" s="91"/>
      <c r="P1960" s="91"/>
      <c r="Q1960" s="91"/>
      <c r="R1960" s="91"/>
      <c r="S1960" s="91"/>
      <c r="T1960" s="91"/>
      <c r="U1960" s="91"/>
      <c r="V1960" s="92"/>
      <c r="W1960" s="92"/>
      <c r="X1960" s="93"/>
      <c r="Y1960" s="93"/>
      <c r="Z1960" s="93"/>
      <c r="AA1960" s="4"/>
      <c r="AB1960" s="5"/>
    </row>
    <row r="1961" spans="1:28" x14ac:dyDescent="0.2">
      <c r="A1961" s="4"/>
      <c r="B1961" s="94"/>
      <c r="C1961" s="94"/>
      <c r="D1961" s="94"/>
      <c r="E1961" s="94"/>
      <c r="F1961" s="94"/>
      <c r="G1961" s="94"/>
      <c r="H1961" s="94"/>
      <c r="I1961" s="94"/>
      <c r="J1961" s="94"/>
      <c r="K1961" s="94"/>
      <c r="L1961" s="94"/>
      <c r="M1961" s="94"/>
      <c r="N1961" s="95"/>
      <c r="O1961" s="95"/>
      <c r="P1961" s="95"/>
      <c r="Q1961" s="95"/>
      <c r="R1961" s="95"/>
      <c r="S1961" s="95"/>
      <c r="T1961" s="95"/>
      <c r="U1961" s="95"/>
      <c r="V1961" s="96"/>
      <c r="W1961" s="96"/>
      <c r="X1961" s="97"/>
      <c r="Y1961" s="97"/>
      <c r="Z1961" s="97"/>
      <c r="AA1961" s="4"/>
      <c r="AB1961" s="5"/>
    </row>
    <row r="1962" spans="1:28" x14ac:dyDescent="0.2">
      <c r="A1962" s="4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91"/>
      <c r="O1962" s="91"/>
      <c r="P1962" s="91"/>
      <c r="Q1962" s="91"/>
      <c r="R1962" s="91"/>
      <c r="S1962" s="91"/>
      <c r="T1962" s="91"/>
      <c r="U1962" s="91"/>
      <c r="V1962" s="92"/>
      <c r="W1962" s="92"/>
      <c r="X1962" s="93"/>
      <c r="Y1962" s="93"/>
      <c r="Z1962" s="93"/>
      <c r="AA1962" s="4"/>
      <c r="AB1962" s="5"/>
    </row>
    <row r="1963" spans="1:28" x14ac:dyDescent="0.2">
      <c r="A1963" s="4"/>
      <c r="B1963" s="94"/>
      <c r="C1963" s="94"/>
      <c r="D1963" s="94"/>
      <c r="E1963" s="94"/>
      <c r="F1963" s="94"/>
      <c r="G1963" s="94"/>
      <c r="H1963" s="94"/>
      <c r="I1963" s="94"/>
      <c r="J1963" s="94"/>
      <c r="K1963" s="94"/>
      <c r="L1963" s="94"/>
      <c r="M1963" s="94"/>
      <c r="N1963" s="95"/>
      <c r="O1963" s="95"/>
      <c r="P1963" s="95"/>
      <c r="Q1963" s="95"/>
      <c r="R1963" s="95"/>
      <c r="S1963" s="95"/>
      <c r="T1963" s="95"/>
      <c r="U1963" s="95"/>
      <c r="V1963" s="96"/>
      <c r="W1963" s="96"/>
      <c r="X1963" s="97"/>
      <c r="Y1963" s="97"/>
      <c r="Z1963" s="97"/>
      <c r="AA1963" s="4"/>
      <c r="AB1963" s="5"/>
    </row>
    <row r="1964" spans="1:28" x14ac:dyDescent="0.2">
      <c r="A1964" s="4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91"/>
      <c r="O1964" s="91"/>
      <c r="P1964" s="91"/>
      <c r="Q1964" s="91"/>
      <c r="R1964" s="91"/>
      <c r="S1964" s="91"/>
      <c r="T1964" s="91"/>
      <c r="U1964" s="91"/>
      <c r="V1964" s="92"/>
      <c r="W1964" s="92"/>
      <c r="X1964" s="93"/>
      <c r="Y1964" s="93"/>
      <c r="Z1964" s="93"/>
      <c r="AA1964" s="4"/>
      <c r="AB1964" s="5"/>
    </row>
    <row r="1965" spans="1:28" x14ac:dyDescent="0.2">
      <c r="A1965" s="4"/>
      <c r="B1965" s="94"/>
      <c r="C1965" s="94"/>
      <c r="D1965" s="94"/>
      <c r="E1965" s="94"/>
      <c r="F1965" s="94"/>
      <c r="G1965" s="94"/>
      <c r="H1965" s="94"/>
      <c r="I1965" s="94"/>
      <c r="J1965" s="94"/>
      <c r="K1965" s="94"/>
      <c r="L1965" s="94"/>
      <c r="M1965" s="94"/>
      <c r="N1965" s="95"/>
      <c r="O1965" s="95"/>
      <c r="P1965" s="95"/>
      <c r="Q1965" s="95"/>
      <c r="R1965" s="95"/>
      <c r="S1965" s="95"/>
      <c r="T1965" s="95"/>
      <c r="U1965" s="95"/>
      <c r="V1965" s="96"/>
      <c r="W1965" s="96"/>
      <c r="X1965" s="97"/>
      <c r="Y1965" s="97"/>
      <c r="Z1965" s="97"/>
      <c r="AA1965" s="4"/>
      <c r="AB1965" s="5"/>
    </row>
    <row r="1966" spans="1:28" x14ac:dyDescent="0.2">
      <c r="A1966" s="4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91"/>
      <c r="O1966" s="91"/>
      <c r="P1966" s="91"/>
      <c r="Q1966" s="91"/>
      <c r="R1966" s="91"/>
      <c r="S1966" s="91"/>
      <c r="T1966" s="91"/>
      <c r="U1966" s="91"/>
      <c r="V1966" s="92"/>
      <c r="W1966" s="92"/>
      <c r="X1966" s="93"/>
      <c r="Y1966" s="93"/>
      <c r="Z1966" s="93"/>
      <c r="AA1966" s="4"/>
      <c r="AB1966" s="5"/>
    </row>
    <row r="1967" spans="1:28" x14ac:dyDescent="0.2">
      <c r="A1967" s="4"/>
      <c r="B1967" s="94"/>
      <c r="C1967" s="94"/>
      <c r="D1967" s="94"/>
      <c r="E1967" s="94"/>
      <c r="F1967" s="94"/>
      <c r="G1967" s="94"/>
      <c r="H1967" s="94"/>
      <c r="I1967" s="94"/>
      <c r="J1967" s="94"/>
      <c r="K1967" s="94"/>
      <c r="L1967" s="94"/>
      <c r="M1967" s="94"/>
      <c r="N1967" s="95"/>
      <c r="O1967" s="95"/>
      <c r="P1967" s="95"/>
      <c r="Q1967" s="95"/>
      <c r="R1967" s="95"/>
      <c r="S1967" s="95"/>
      <c r="T1967" s="95"/>
      <c r="U1967" s="95"/>
      <c r="V1967" s="96"/>
      <c r="W1967" s="96"/>
      <c r="X1967" s="97"/>
      <c r="Y1967" s="97"/>
      <c r="Z1967" s="97"/>
      <c r="AA1967" s="4"/>
      <c r="AB1967" s="5"/>
    </row>
    <row r="1968" spans="1:28" x14ac:dyDescent="0.2">
      <c r="A1968" s="4"/>
      <c r="B1968" s="90"/>
      <c r="C1968" s="90"/>
      <c r="D1968" s="90"/>
      <c r="E1968" s="90"/>
      <c r="F1968" s="90"/>
      <c r="G1968" s="90"/>
      <c r="H1968" s="90"/>
      <c r="I1968" s="90"/>
      <c r="J1968" s="90"/>
      <c r="K1968" s="90"/>
      <c r="L1968" s="90"/>
      <c r="M1968" s="90"/>
      <c r="N1968" s="91"/>
      <c r="O1968" s="91"/>
      <c r="P1968" s="91"/>
      <c r="Q1968" s="91"/>
      <c r="R1968" s="91"/>
      <c r="S1968" s="91"/>
      <c r="T1968" s="91"/>
      <c r="U1968" s="91"/>
      <c r="V1968" s="92"/>
      <c r="W1968" s="92"/>
      <c r="X1968" s="93"/>
      <c r="Y1968" s="93"/>
      <c r="Z1968" s="93"/>
      <c r="AA1968" s="4"/>
      <c r="AB1968" s="5"/>
    </row>
    <row r="1969" spans="1:28" x14ac:dyDescent="0.2">
      <c r="A1969" s="4"/>
      <c r="B1969" s="94"/>
      <c r="C1969" s="94"/>
      <c r="D1969" s="94"/>
      <c r="E1969" s="94"/>
      <c r="F1969" s="94"/>
      <c r="G1969" s="94"/>
      <c r="H1969" s="94"/>
      <c r="I1969" s="94"/>
      <c r="J1969" s="94"/>
      <c r="K1969" s="94"/>
      <c r="L1969" s="94"/>
      <c r="M1969" s="94"/>
      <c r="N1969" s="95"/>
      <c r="O1969" s="95"/>
      <c r="P1969" s="95"/>
      <c r="Q1969" s="95"/>
      <c r="R1969" s="95"/>
      <c r="S1969" s="95"/>
      <c r="T1969" s="95"/>
      <c r="U1969" s="95"/>
      <c r="V1969" s="96"/>
      <c r="W1969" s="96"/>
      <c r="X1969" s="97"/>
      <c r="Y1969" s="97"/>
      <c r="Z1969" s="97"/>
      <c r="AA1969" s="4"/>
      <c r="AB1969" s="5"/>
    </row>
    <row r="1970" spans="1:28" x14ac:dyDescent="0.2">
      <c r="A1970" s="4"/>
      <c r="B1970" s="90"/>
      <c r="C1970" s="90"/>
      <c r="D1970" s="90"/>
      <c r="E1970" s="90"/>
      <c r="F1970" s="90"/>
      <c r="G1970" s="90"/>
      <c r="H1970" s="90"/>
      <c r="I1970" s="90"/>
      <c r="J1970" s="90"/>
      <c r="K1970" s="90"/>
      <c r="L1970" s="90"/>
      <c r="M1970" s="90"/>
      <c r="N1970" s="91"/>
      <c r="O1970" s="91"/>
      <c r="P1970" s="91"/>
      <c r="Q1970" s="91"/>
      <c r="R1970" s="91"/>
      <c r="S1970" s="91"/>
      <c r="T1970" s="91"/>
      <c r="U1970" s="91"/>
      <c r="V1970" s="92"/>
      <c r="W1970" s="92"/>
      <c r="X1970" s="93"/>
      <c r="Y1970" s="93"/>
      <c r="Z1970" s="93"/>
      <c r="AA1970" s="4"/>
      <c r="AB1970" s="5"/>
    </row>
    <row r="1971" spans="1:28" x14ac:dyDescent="0.2">
      <c r="A1971" s="4"/>
      <c r="B1971" s="94"/>
      <c r="C1971" s="94"/>
      <c r="D1971" s="94"/>
      <c r="E1971" s="94"/>
      <c r="F1971" s="94"/>
      <c r="G1971" s="94"/>
      <c r="H1971" s="94"/>
      <c r="I1971" s="94"/>
      <c r="J1971" s="94"/>
      <c r="K1971" s="94"/>
      <c r="L1971" s="94"/>
      <c r="M1971" s="94"/>
      <c r="N1971" s="95"/>
      <c r="O1971" s="95"/>
      <c r="P1971" s="95"/>
      <c r="Q1971" s="95"/>
      <c r="R1971" s="95"/>
      <c r="S1971" s="95"/>
      <c r="T1971" s="95"/>
      <c r="U1971" s="95"/>
      <c r="V1971" s="96"/>
      <c r="W1971" s="96"/>
      <c r="X1971" s="97"/>
      <c r="Y1971" s="97"/>
      <c r="Z1971" s="97"/>
      <c r="AA1971" s="4"/>
      <c r="AB1971" s="5"/>
    </row>
    <row r="1972" spans="1:28" x14ac:dyDescent="0.2">
      <c r="A1972" s="4"/>
      <c r="B1972" s="90"/>
      <c r="C1972" s="90"/>
      <c r="D1972" s="90"/>
      <c r="E1972" s="90"/>
      <c r="F1972" s="90"/>
      <c r="G1972" s="90"/>
      <c r="H1972" s="90"/>
      <c r="I1972" s="90"/>
      <c r="J1972" s="90"/>
      <c r="K1972" s="90"/>
      <c r="L1972" s="90"/>
      <c r="M1972" s="90"/>
      <c r="N1972" s="91"/>
      <c r="O1972" s="91"/>
      <c r="P1972" s="91"/>
      <c r="Q1972" s="91"/>
      <c r="R1972" s="91"/>
      <c r="S1972" s="91"/>
      <c r="T1972" s="91"/>
      <c r="U1972" s="91"/>
      <c r="V1972" s="92"/>
      <c r="W1972" s="92"/>
      <c r="X1972" s="93"/>
      <c r="Y1972" s="93"/>
      <c r="Z1972" s="93"/>
      <c r="AA1972" s="4"/>
      <c r="AB1972" s="5"/>
    </row>
    <row r="1973" spans="1:28" x14ac:dyDescent="0.2">
      <c r="A1973" s="4"/>
      <c r="B1973" s="94"/>
      <c r="C1973" s="94"/>
      <c r="D1973" s="94"/>
      <c r="E1973" s="94"/>
      <c r="F1973" s="94"/>
      <c r="G1973" s="94"/>
      <c r="H1973" s="94"/>
      <c r="I1973" s="94"/>
      <c r="J1973" s="94"/>
      <c r="K1973" s="94"/>
      <c r="L1973" s="94"/>
      <c r="M1973" s="94"/>
      <c r="N1973" s="95"/>
      <c r="O1973" s="95"/>
      <c r="P1973" s="95"/>
      <c r="Q1973" s="95"/>
      <c r="R1973" s="95"/>
      <c r="S1973" s="95"/>
      <c r="T1973" s="95"/>
      <c r="U1973" s="95"/>
      <c r="V1973" s="96"/>
      <c r="W1973" s="96"/>
      <c r="X1973" s="97"/>
      <c r="Y1973" s="97"/>
      <c r="Z1973" s="97"/>
      <c r="AA1973" s="4"/>
      <c r="AB1973" s="5"/>
    </row>
    <row r="1974" spans="1:28" x14ac:dyDescent="0.2">
      <c r="A1974" s="4"/>
      <c r="B1974" s="90"/>
      <c r="C1974" s="90"/>
      <c r="D1974" s="90"/>
      <c r="E1974" s="90"/>
      <c r="F1974" s="90"/>
      <c r="G1974" s="90"/>
      <c r="H1974" s="90"/>
      <c r="I1974" s="90"/>
      <c r="J1974" s="90"/>
      <c r="K1974" s="90"/>
      <c r="L1974" s="90"/>
      <c r="M1974" s="90"/>
      <c r="N1974" s="91"/>
      <c r="O1974" s="91"/>
      <c r="P1974" s="91"/>
      <c r="Q1974" s="91"/>
      <c r="R1974" s="91"/>
      <c r="S1974" s="91"/>
      <c r="T1974" s="91"/>
      <c r="U1974" s="91"/>
      <c r="V1974" s="92"/>
      <c r="W1974" s="92"/>
      <c r="X1974" s="93"/>
      <c r="Y1974" s="93"/>
      <c r="Z1974" s="93"/>
      <c r="AA1974" s="4"/>
      <c r="AB1974" s="5"/>
    </row>
    <row r="1975" spans="1:28" x14ac:dyDescent="0.2">
      <c r="A1975" s="4"/>
      <c r="B1975" s="94"/>
      <c r="C1975" s="94"/>
      <c r="D1975" s="94"/>
      <c r="E1975" s="94"/>
      <c r="F1975" s="94"/>
      <c r="G1975" s="94"/>
      <c r="H1975" s="94"/>
      <c r="I1975" s="94"/>
      <c r="J1975" s="94"/>
      <c r="K1975" s="94"/>
      <c r="L1975" s="94"/>
      <c r="M1975" s="94"/>
      <c r="N1975" s="95"/>
      <c r="O1975" s="95"/>
      <c r="P1975" s="95"/>
      <c r="Q1975" s="95"/>
      <c r="R1975" s="95"/>
      <c r="S1975" s="95"/>
      <c r="T1975" s="95"/>
      <c r="U1975" s="95"/>
      <c r="V1975" s="96"/>
      <c r="W1975" s="96"/>
      <c r="X1975" s="97"/>
      <c r="Y1975" s="97"/>
      <c r="Z1975" s="97"/>
      <c r="AA1975" s="4"/>
      <c r="AB1975" s="5"/>
    </row>
    <row r="1976" spans="1:28" x14ac:dyDescent="0.2">
      <c r="A1976" s="4"/>
      <c r="B1976" s="90"/>
      <c r="C1976" s="90"/>
      <c r="D1976" s="90"/>
      <c r="E1976" s="90"/>
      <c r="F1976" s="90"/>
      <c r="G1976" s="90"/>
      <c r="H1976" s="90"/>
      <c r="I1976" s="90"/>
      <c r="J1976" s="90"/>
      <c r="K1976" s="90"/>
      <c r="L1976" s="90"/>
      <c r="M1976" s="90"/>
      <c r="N1976" s="91"/>
      <c r="O1976" s="91"/>
      <c r="P1976" s="91"/>
      <c r="Q1976" s="91"/>
      <c r="R1976" s="91"/>
      <c r="S1976" s="91"/>
      <c r="T1976" s="91"/>
      <c r="U1976" s="91"/>
      <c r="V1976" s="92"/>
      <c r="W1976" s="92"/>
      <c r="X1976" s="93"/>
      <c r="Y1976" s="93"/>
      <c r="Z1976" s="93"/>
      <c r="AA1976" s="4"/>
      <c r="AB1976" s="5"/>
    </row>
    <row r="1977" spans="1:28" x14ac:dyDescent="0.2">
      <c r="A1977" s="4"/>
      <c r="B1977" s="94"/>
      <c r="C1977" s="94"/>
      <c r="D1977" s="94"/>
      <c r="E1977" s="94"/>
      <c r="F1977" s="94"/>
      <c r="G1977" s="94"/>
      <c r="H1977" s="94"/>
      <c r="I1977" s="94"/>
      <c r="J1977" s="94"/>
      <c r="K1977" s="94"/>
      <c r="L1977" s="94"/>
      <c r="M1977" s="94"/>
      <c r="N1977" s="95"/>
      <c r="O1977" s="95"/>
      <c r="P1977" s="95"/>
      <c r="Q1977" s="95"/>
      <c r="R1977" s="95"/>
      <c r="S1977" s="95"/>
      <c r="T1977" s="95"/>
      <c r="U1977" s="95"/>
      <c r="V1977" s="96"/>
      <c r="W1977" s="96"/>
      <c r="X1977" s="97"/>
      <c r="Y1977" s="97"/>
      <c r="Z1977" s="97"/>
      <c r="AA1977" s="4"/>
      <c r="AB1977" s="5"/>
    </row>
    <row r="1978" spans="1:28" x14ac:dyDescent="0.2">
      <c r="A1978" s="4"/>
      <c r="B1978" s="90"/>
      <c r="C1978" s="90"/>
      <c r="D1978" s="90"/>
      <c r="E1978" s="90"/>
      <c r="F1978" s="90"/>
      <c r="G1978" s="90"/>
      <c r="H1978" s="90"/>
      <c r="I1978" s="90"/>
      <c r="J1978" s="90"/>
      <c r="K1978" s="90"/>
      <c r="L1978" s="90"/>
      <c r="M1978" s="90"/>
      <c r="N1978" s="91"/>
      <c r="O1978" s="91"/>
      <c r="P1978" s="91"/>
      <c r="Q1978" s="91"/>
      <c r="R1978" s="91"/>
      <c r="S1978" s="91"/>
      <c r="T1978" s="91"/>
      <c r="U1978" s="91"/>
      <c r="V1978" s="92"/>
      <c r="W1978" s="92"/>
      <c r="X1978" s="93"/>
      <c r="Y1978" s="93"/>
      <c r="Z1978" s="93"/>
      <c r="AA1978" s="4"/>
      <c r="AB1978" s="5"/>
    </row>
    <row r="1979" spans="1:28" x14ac:dyDescent="0.2">
      <c r="A1979" s="4"/>
      <c r="B1979" s="94"/>
      <c r="C1979" s="94"/>
      <c r="D1979" s="94"/>
      <c r="E1979" s="94"/>
      <c r="F1979" s="94"/>
      <c r="G1979" s="94"/>
      <c r="H1979" s="94"/>
      <c r="I1979" s="94"/>
      <c r="J1979" s="94"/>
      <c r="K1979" s="94"/>
      <c r="L1979" s="94"/>
      <c r="M1979" s="94"/>
      <c r="N1979" s="95"/>
      <c r="O1979" s="95"/>
      <c r="P1979" s="95"/>
      <c r="Q1979" s="95"/>
      <c r="R1979" s="95"/>
      <c r="S1979" s="95"/>
      <c r="T1979" s="95"/>
      <c r="U1979" s="95"/>
      <c r="V1979" s="96"/>
      <c r="W1979" s="96"/>
      <c r="X1979" s="97"/>
      <c r="Y1979" s="97"/>
      <c r="Z1979" s="97"/>
      <c r="AA1979" s="4"/>
      <c r="AB1979" s="5"/>
    </row>
    <row r="1980" spans="1:28" x14ac:dyDescent="0.2">
      <c r="A1980" s="4"/>
      <c r="B1980" s="90"/>
      <c r="C1980" s="90"/>
      <c r="D1980" s="90"/>
      <c r="E1980" s="90"/>
      <c r="F1980" s="90"/>
      <c r="G1980" s="90"/>
      <c r="H1980" s="90"/>
      <c r="I1980" s="90"/>
      <c r="J1980" s="90"/>
      <c r="K1980" s="90"/>
      <c r="L1980" s="90"/>
      <c r="M1980" s="90"/>
      <c r="N1980" s="91"/>
      <c r="O1980" s="91"/>
      <c r="P1980" s="91"/>
      <c r="Q1980" s="91"/>
      <c r="R1980" s="91"/>
      <c r="S1980" s="91"/>
      <c r="T1980" s="91"/>
      <c r="U1980" s="91"/>
      <c r="V1980" s="92"/>
      <c r="W1980" s="92"/>
      <c r="X1980" s="93"/>
      <c r="Y1980" s="93"/>
      <c r="Z1980" s="93"/>
      <c r="AA1980" s="4"/>
      <c r="AB1980" s="5"/>
    </row>
    <row r="1981" spans="1:28" x14ac:dyDescent="0.2">
      <c r="A1981" s="4"/>
      <c r="B1981" s="94"/>
      <c r="C1981" s="94"/>
      <c r="D1981" s="94"/>
      <c r="E1981" s="94"/>
      <c r="F1981" s="94"/>
      <c r="G1981" s="94"/>
      <c r="H1981" s="94"/>
      <c r="I1981" s="94"/>
      <c r="J1981" s="94"/>
      <c r="K1981" s="94"/>
      <c r="L1981" s="94"/>
      <c r="M1981" s="94"/>
      <c r="N1981" s="95"/>
      <c r="O1981" s="95"/>
      <c r="P1981" s="95"/>
      <c r="Q1981" s="95"/>
      <c r="R1981" s="95"/>
      <c r="S1981" s="95"/>
      <c r="T1981" s="95"/>
      <c r="U1981" s="95"/>
      <c r="V1981" s="96"/>
      <c r="W1981" s="96"/>
      <c r="X1981" s="97"/>
      <c r="Y1981" s="97"/>
      <c r="Z1981" s="97"/>
      <c r="AA1981" s="4"/>
      <c r="AB1981" s="5"/>
    </row>
    <row r="1982" spans="1:28" x14ac:dyDescent="0.2">
      <c r="A1982" s="4"/>
      <c r="B1982" s="90"/>
      <c r="C1982" s="90"/>
      <c r="D1982" s="90"/>
      <c r="E1982" s="90"/>
      <c r="F1982" s="90"/>
      <c r="G1982" s="90"/>
      <c r="H1982" s="90"/>
      <c r="I1982" s="90"/>
      <c r="J1982" s="90"/>
      <c r="K1982" s="90"/>
      <c r="L1982" s="90"/>
      <c r="M1982" s="90"/>
      <c r="N1982" s="91"/>
      <c r="O1982" s="91"/>
      <c r="P1982" s="91"/>
      <c r="Q1982" s="91"/>
      <c r="R1982" s="91"/>
      <c r="S1982" s="91"/>
      <c r="T1982" s="91"/>
      <c r="U1982" s="91"/>
      <c r="V1982" s="92"/>
      <c r="W1982" s="92"/>
      <c r="X1982" s="93"/>
      <c r="Y1982" s="93"/>
      <c r="Z1982" s="93"/>
      <c r="AA1982" s="4"/>
      <c r="AB1982" s="5"/>
    </row>
    <row r="1983" spans="1:28" x14ac:dyDescent="0.2">
      <c r="A1983" s="4"/>
      <c r="B1983" s="94"/>
      <c r="C1983" s="94"/>
      <c r="D1983" s="94"/>
      <c r="E1983" s="94"/>
      <c r="F1983" s="94"/>
      <c r="G1983" s="94"/>
      <c r="H1983" s="94"/>
      <c r="I1983" s="94"/>
      <c r="J1983" s="94"/>
      <c r="K1983" s="94"/>
      <c r="L1983" s="94"/>
      <c r="M1983" s="94"/>
      <c r="N1983" s="95"/>
      <c r="O1983" s="95"/>
      <c r="P1983" s="95"/>
      <c r="Q1983" s="95"/>
      <c r="R1983" s="95"/>
      <c r="S1983" s="95"/>
      <c r="T1983" s="95"/>
      <c r="U1983" s="95"/>
      <c r="V1983" s="96"/>
      <c r="W1983" s="96"/>
      <c r="X1983" s="97"/>
      <c r="Y1983" s="97"/>
      <c r="Z1983" s="97"/>
      <c r="AA1983" s="4"/>
      <c r="AB1983" s="5"/>
    </row>
    <row r="1984" spans="1:28" x14ac:dyDescent="0.2">
      <c r="A1984" s="4"/>
      <c r="B1984" s="90"/>
      <c r="C1984" s="90"/>
      <c r="D1984" s="90"/>
      <c r="E1984" s="90"/>
      <c r="F1984" s="90"/>
      <c r="G1984" s="90"/>
      <c r="H1984" s="90"/>
      <c r="I1984" s="90"/>
      <c r="J1984" s="90"/>
      <c r="K1984" s="90"/>
      <c r="L1984" s="90"/>
      <c r="M1984" s="90"/>
      <c r="N1984" s="91"/>
      <c r="O1984" s="91"/>
      <c r="P1984" s="91"/>
      <c r="Q1984" s="91"/>
      <c r="R1984" s="91"/>
      <c r="S1984" s="91"/>
      <c r="T1984" s="91"/>
      <c r="U1984" s="91"/>
      <c r="V1984" s="92"/>
      <c r="W1984" s="92"/>
      <c r="X1984" s="93"/>
      <c r="Y1984" s="93"/>
      <c r="Z1984" s="93"/>
      <c r="AA1984" s="4"/>
      <c r="AB1984" s="5"/>
    </row>
    <row r="1985" spans="1:28" x14ac:dyDescent="0.2">
      <c r="A1985" s="4"/>
      <c r="B1985" s="94"/>
      <c r="C1985" s="94"/>
      <c r="D1985" s="94"/>
      <c r="E1985" s="94"/>
      <c r="F1985" s="94"/>
      <c r="G1985" s="94"/>
      <c r="H1985" s="94"/>
      <c r="I1985" s="94"/>
      <c r="J1985" s="94"/>
      <c r="K1985" s="94"/>
      <c r="L1985" s="94"/>
      <c r="M1985" s="94"/>
      <c r="N1985" s="95"/>
      <c r="O1985" s="95"/>
      <c r="P1985" s="95"/>
      <c r="Q1985" s="95"/>
      <c r="R1985" s="95"/>
      <c r="S1985" s="95"/>
      <c r="T1985" s="95"/>
      <c r="U1985" s="95"/>
      <c r="V1985" s="96"/>
      <c r="W1985" s="96"/>
      <c r="X1985" s="97"/>
      <c r="Y1985" s="97"/>
      <c r="Z1985" s="97"/>
      <c r="AA1985" s="4"/>
      <c r="AB1985" s="5"/>
    </row>
    <row r="1986" spans="1:28" x14ac:dyDescent="0.2">
      <c r="A1986" s="4"/>
      <c r="B1986" s="90"/>
      <c r="C1986" s="90"/>
      <c r="D1986" s="90"/>
      <c r="E1986" s="90"/>
      <c r="F1986" s="90"/>
      <c r="G1986" s="90"/>
      <c r="H1986" s="90"/>
      <c r="I1986" s="90"/>
      <c r="J1986" s="90"/>
      <c r="K1986" s="90"/>
      <c r="L1986" s="90"/>
      <c r="M1986" s="90"/>
      <c r="N1986" s="91"/>
      <c r="O1986" s="91"/>
      <c r="P1986" s="91"/>
      <c r="Q1986" s="91"/>
      <c r="R1986" s="91"/>
      <c r="S1986" s="91"/>
      <c r="T1986" s="91"/>
      <c r="U1986" s="91"/>
      <c r="V1986" s="92"/>
      <c r="W1986" s="92"/>
      <c r="X1986" s="93"/>
      <c r="Y1986" s="93"/>
      <c r="Z1986" s="93"/>
      <c r="AA1986" s="4"/>
      <c r="AB1986" s="5"/>
    </row>
    <row r="1987" spans="1:28" x14ac:dyDescent="0.2">
      <c r="A1987" s="4"/>
      <c r="B1987" s="94"/>
      <c r="C1987" s="94"/>
      <c r="D1987" s="94"/>
      <c r="E1987" s="94"/>
      <c r="F1987" s="94"/>
      <c r="G1987" s="94"/>
      <c r="H1987" s="94"/>
      <c r="I1987" s="94"/>
      <c r="J1987" s="94"/>
      <c r="K1987" s="94"/>
      <c r="L1987" s="94"/>
      <c r="M1987" s="94"/>
      <c r="N1987" s="95"/>
      <c r="O1987" s="95"/>
      <c r="P1987" s="95"/>
      <c r="Q1987" s="95"/>
      <c r="R1987" s="95"/>
      <c r="S1987" s="95"/>
      <c r="T1987" s="95"/>
      <c r="U1987" s="95"/>
      <c r="V1987" s="96"/>
      <c r="W1987" s="96"/>
      <c r="X1987" s="97"/>
      <c r="Y1987" s="97"/>
      <c r="Z1987" s="97"/>
      <c r="AA1987" s="4"/>
      <c r="AB1987" s="5"/>
    </row>
    <row r="1988" spans="1:28" x14ac:dyDescent="0.2">
      <c r="A1988" s="4"/>
      <c r="B1988" s="90"/>
      <c r="C1988" s="90"/>
      <c r="D1988" s="90"/>
      <c r="E1988" s="90"/>
      <c r="F1988" s="90"/>
      <c r="G1988" s="90"/>
      <c r="H1988" s="90"/>
      <c r="I1988" s="90"/>
      <c r="J1988" s="90"/>
      <c r="K1988" s="90"/>
      <c r="L1988" s="90"/>
      <c r="M1988" s="90"/>
      <c r="N1988" s="91"/>
      <c r="O1988" s="91"/>
      <c r="P1988" s="91"/>
      <c r="Q1988" s="91"/>
      <c r="R1988" s="91"/>
      <c r="S1988" s="91"/>
      <c r="T1988" s="91"/>
      <c r="U1988" s="91"/>
      <c r="V1988" s="92"/>
      <c r="W1988" s="92"/>
      <c r="X1988" s="93"/>
      <c r="Y1988" s="93"/>
      <c r="Z1988" s="93"/>
      <c r="AA1988" s="4"/>
      <c r="AB1988" s="5"/>
    </row>
    <row r="1989" spans="1:28" x14ac:dyDescent="0.2">
      <c r="A1989" s="4"/>
      <c r="B1989" s="94"/>
      <c r="C1989" s="94"/>
      <c r="D1989" s="94"/>
      <c r="E1989" s="94"/>
      <c r="F1989" s="94"/>
      <c r="G1989" s="94"/>
      <c r="H1989" s="94"/>
      <c r="I1989" s="94"/>
      <c r="J1989" s="94"/>
      <c r="K1989" s="94"/>
      <c r="L1989" s="94"/>
      <c r="M1989" s="94"/>
      <c r="N1989" s="95"/>
      <c r="O1989" s="95"/>
      <c r="P1989" s="95"/>
      <c r="Q1989" s="95"/>
      <c r="R1989" s="95"/>
      <c r="S1989" s="95"/>
      <c r="T1989" s="95"/>
      <c r="U1989" s="95"/>
      <c r="V1989" s="96"/>
      <c r="W1989" s="96"/>
      <c r="X1989" s="97"/>
      <c r="Y1989" s="97"/>
      <c r="Z1989" s="97"/>
      <c r="AA1989" s="4"/>
      <c r="AB1989" s="5"/>
    </row>
    <row r="1990" spans="1:28" x14ac:dyDescent="0.2">
      <c r="A1990" s="4"/>
      <c r="B1990" s="90"/>
      <c r="C1990" s="90"/>
      <c r="D1990" s="90"/>
      <c r="E1990" s="90"/>
      <c r="F1990" s="90"/>
      <c r="G1990" s="90"/>
      <c r="H1990" s="90"/>
      <c r="I1990" s="90"/>
      <c r="J1990" s="90"/>
      <c r="K1990" s="90"/>
      <c r="L1990" s="90"/>
      <c r="M1990" s="90"/>
      <c r="N1990" s="91"/>
      <c r="O1990" s="91"/>
      <c r="P1990" s="91"/>
      <c r="Q1990" s="91"/>
      <c r="R1990" s="91"/>
      <c r="S1990" s="91"/>
      <c r="T1990" s="91"/>
      <c r="U1990" s="91"/>
      <c r="V1990" s="92"/>
      <c r="W1990" s="92"/>
      <c r="X1990" s="93"/>
      <c r="Y1990" s="93"/>
      <c r="Z1990" s="93"/>
      <c r="AA1990" s="4"/>
      <c r="AB1990" s="5"/>
    </row>
    <row r="1991" spans="1:28" x14ac:dyDescent="0.2">
      <c r="A1991" s="4"/>
      <c r="B1991" s="94"/>
      <c r="C1991" s="94"/>
      <c r="D1991" s="94"/>
      <c r="E1991" s="94"/>
      <c r="F1991" s="94"/>
      <c r="G1991" s="94"/>
      <c r="H1991" s="94"/>
      <c r="I1991" s="94"/>
      <c r="J1991" s="94"/>
      <c r="K1991" s="94"/>
      <c r="L1991" s="94"/>
      <c r="M1991" s="94"/>
      <c r="N1991" s="95"/>
      <c r="O1991" s="95"/>
      <c r="P1991" s="95"/>
      <c r="Q1991" s="95"/>
      <c r="R1991" s="95"/>
      <c r="S1991" s="95"/>
      <c r="T1991" s="95"/>
      <c r="U1991" s="95"/>
      <c r="V1991" s="96"/>
      <c r="W1991" s="96"/>
      <c r="X1991" s="97"/>
      <c r="Y1991" s="97"/>
      <c r="Z1991" s="97"/>
      <c r="AA1991" s="4"/>
      <c r="AB1991" s="5"/>
    </row>
    <row r="1992" spans="1:28" x14ac:dyDescent="0.2">
      <c r="A1992" s="4"/>
      <c r="B1992" s="90"/>
      <c r="C1992" s="90"/>
      <c r="D1992" s="90"/>
      <c r="E1992" s="90"/>
      <c r="F1992" s="90"/>
      <c r="G1992" s="90"/>
      <c r="H1992" s="90"/>
      <c r="I1992" s="90"/>
      <c r="J1992" s="90"/>
      <c r="K1992" s="90"/>
      <c r="L1992" s="90"/>
      <c r="M1992" s="90"/>
      <c r="N1992" s="91"/>
      <c r="O1992" s="91"/>
      <c r="P1992" s="91"/>
      <c r="Q1992" s="91"/>
      <c r="R1992" s="91"/>
      <c r="S1992" s="91"/>
      <c r="T1992" s="91"/>
      <c r="U1992" s="91"/>
      <c r="V1992" s="92"/>
      <c r="W1992" s="92"/>
      <c r="X1992" s="93"/>
      <c r="Y1992" s="93"/>
      <c r="Z1992" s="93"/>
      <c r="AA1992" s="4"/>
      <c r="AB1992" s="5"/>
    </row>
    <row r="1993" spans="1:28" x14ac:dyDescent="0.2">
      <c r="A1993" s="4"/>
      <c r="B1993" s="94"/>
      <c r="C1993" s="94"/>
      <c r="D1993" s="94"/>
      <c r="E1993" s="94"/>
      <c r="F1993" s="94"/>
      <c r="G1993" s="94"/>
      <c r="H1993" s="94"/>
      <c r="I1993" s="94"/>
      <c r="J1993" s="94"/>
      <c r="K1993" s="94"/>
      <c r="L1993" s="94"/>
      <c r="M1993" s="94"/>
      <c r="N1993" s="95"/>
      <c r="O1993" s="95"/>
      <c r="P1993" s="95"/>
      <c r="Q1993" s="95"/>
      <c r="R1993" s="95"/>
      <c r="S1993" s="95"/>
      <c r="T1993" s="95"/>
      <c r="U1993" s="95"/>
      <c r="V1993" s="96"/>
      <c r="W1993" s="96"/>
      <c r="X1993" s="97"/>
      <c r="Y1993" s="97"/>
      <c r="Z1993" s="97"/>
      <c r="AA1993" s="4"/>
      <c r="AB1993" s="5"/>
    </row>
    <row r="1994" spans="1:28" x14ac:dyDescent="0.2">
      <c r="A1994" s="4"/>
      <c r="B1994" s="90"/>
      <c r="C1994" s="90"/>
      <c r="D1994" s="90"/>
      <c r="E1994" s="90"/>
      <c r="F1994" s="90"/>
      <c r="G1994" s="90"/>
      <c r="H1994" s="90"/>
      <c r="I1994" s="90"/>
      <c r="J1994" s="90"/>
      <c r="K1994" s="90"/>
      <c r="L1994" s="90"/>
      <c r="M1994" s="90"/>
      <c r="N1994" s="91"/>
      <c r="O1994" s="91"/>
      <c r="P1994" s="91"/>
      <c r="Q1994" s="91"/>
      <c r="R1994" s="91"/>
      <c r="S1994" s="91"/>
      <c r="T1994" s="91"/>
      <c r="U1994" s="91"/>
      <c r="V1994" s="92"/>
      <c r="W1994" s="92"/>
      <c r="X1994" s="93"/>
      <c r="Y1994" s="93"/>
      <c r="Z1994" s="93"/>
      <c r="AA1994" s="4"/>
      <c r="AB1994" s="5"/>
    </row>
    <row r="1995" spans="1:28" x14ac:dyDescent="0.2">
      <c r="A1995" s="4"/>
      <c r="B1995" s="94"/>
      <c r="C1995" s="94"/>
      <c r="D1995" s="94"/>
      <c r="E1995" s="94"/>
      <c r="F1995" s="94"/>
      <c r="G1995" s="94"/>
      <c r="H1995" s="94"/>
      <c r="I1995" s="94"/>
      <c r="J1995" s="94"/>
      <c r="K1995" s="94"/>
      <c r="L1995" s="94"/>
      <c r="M1995" s="94"/>
      <c r="N1995" s="95"/>
      <c r="O1995" s="95"/>
      <c r="P1995" s="95"/>
      <c r="Q1995" s="95"/>
      <c r="R1995" s="95"/>
      <c r="S1995" s="95"/>
      <c r="T1995" s="95"/>
      <c r="U1995" s="95"/>
      <c r="V1995" s="96"/>
      <c r="W1995" s="96"/>
      <c r="X1995" s="97"/>
      <c r="Y1995" s="97"/>
      <c r="Z1995" s="97"/>
      <c r="AA1995" s="4"/>
      <c r="AB1995" s="5"/>
    </row>
    <row r="1996" spans="1:28" x14ac:dyDescent="0.2">
      <c r="A1996" s="4"/>
      <c r="B1996" s="90"/>
      <c r="C1996" s="90"/>
      <c r="D1996" s="90"/>
      <c r="E1996" s="90"/>
      <c r="F1996" s="90"/>
      <c r="G1996" s="90"/>
      <c r="H1996" s="90"/>
      <c r="I1996" s="90"/>
      <c r="J1996" s="90"/>
      <c r="K1996" s="90"/>
      <c r="L1996" s="90"/>
      <c r="M1996" s="90"/>
      <c r="N1996" s="91"/>
      <c r="O1996" s="91"/>
      <c r="P1996" s="91"/>
      <c r="Q1996" s="91"/>
      <c r="R1996" s="91"/>
      <c r="S1996" s="91"/>
      <c r="T1996" s="91"/>
      <c r="U1996" s="91"/>
      <c r="V1996" s="92"/>
      <c r="W1996" s="92"/>
      <c r="X1996" s="93"/>
      <c r="Y1996" s="93"/>
      <c r="Z1996" s="93"/>
      <c r="AA1996" s="4"/>
      <c r="AB1996" s="5"/>
    </row>
    <row r="1997" spans="1:28" x14ac:dyDescent="0.2">
      <c r="A1997" s="4"/>
      <c r="B1997" s="94"/>
      <c r="C1997" s="94"/>
      <c r="D1997" s="94"/>
      <c r="E1997" s="94"/>
      <c r="F1997" s="94"/>
      <c r="G1997" s="94"/>
      <c r="H1997" s="94"/>
      <c r="I1997" s="94"/>
      <c r="J1997" s="94"/>
      <c r="K1997" s="94"/>
      <c r="L1997" s="94"/>
      <c r="M1997" s="94"/>
      <c r="N1997" s="95"/>
      <c r="O1997" s="95"/>
      <c r="P1997" s="95"/>
      <c r="Q1997" s="95"/>
      <c r="R1997" s="95"/>
      <c r="S1997" s="95"/>
      <c r="T1997" s="95"/>
      <c r="U1997" s="95"/>
      <c r="V1997" s="96"/>
      <c r="W1997" s="96"/>
      <c r="X1997" s="97"/>
      <c r="Y1997" s="97"/>
      <c r="Z1997" s="97"/>
      <c r="AA1997" s="4"/>
      <c r="AB1997" s="5"/>
    </row>
    <row r="1998" spans="1:28" x14ac:dyDescent="0.2">
      <c r="A1998" s="4"/>
      <c r="B1998" s="90"/>
      <c r="C1998" s="90"/>
      <c r="D1998" s="90"/>
      <c r="E1998" s="90"/>
      <c r="F1998" s="90"/>
      <c r="G1998" s="90"/>
      <c r="H1998" s="90"/>
      <c r="I1998" s="90"/>
      <c r="J1998" s="90"/>
      <c r="K1998" s="90"/>
      <c r="L1998" s="90"/>
      <c r="M1998" s="90"/>
      <c r="N1998" s="91"/>
      <c r="O1998" s="91"/>
      <c r="P1998" s="91"/>
      <c r="Q1998" s="91"/>
      <c r="R1998" s="91"/>
      <c r="S1998" s="91"/>
      <c r="T1998" s="91"/>
      <c r="U1998" s="91"/>
      <c r="V1998" s="92"/>
      <c r="W1998" s="92"/>
      <c r="X1998" s="93"/>
      <c r="Y1998" s="93"/>
      <c r="Z1998" s="93"/>
      <c r="AA1998" s="4"/>
      <c r="AB1998" s="5"/>
    </row>
    <row r="1999" spans="1:28" x14ac:dyDescent="0.2">
      <c r="A1999" s="4"/>
      <c r="B1999" s="94"/>
      <c r="C1999" s="94"/>
      <c r="D1999" s="94"/>
      <c r="E1999" s="94"/>
      <c r="F1999" s="94"/>
      <c r="G1999" s="94"/>
      <c r="H1999" s="94"/>
      <c r="I1999" s="94"/>
      <c r="J1999" s="94"/>
      <c r="K1999" s="94"/>
      <c r="L1999" s="94"/>
      <c r="M1999" s="94"/>
      <c r="N1999" s="95"/>
      <c r="O1999" s="95"/>
      <c r="P1999" s="95"/>
      <c r="Q1999" s="95"/>
      <c r="R1999" s="95"/>
      <c r="S1999" s="95"/>
      <c r="T1999" s="95"/>
      <c r="U1999" s="95"/>
      <c r="V1999" s="96"/>
      <c r="W1999" s="96"/>
      <c r="X1999" s="97"/>
      <c r="Y1999" s="97"/>
      <c r="Z1999" s="97"/>
      <c r="AA1999" s="4"/>
      <c r="AB1999" s="5"/>
    </row>
    <row r="2000" spans="1:28" x14ac:dyDescent="0.2">
      <c r="A2000" s="4"/>
      <c r="B2000" s="90"/>
      <c r="C2000" s="90"/>
      <c r="D2000" s="90"/>
      <c r="E2000" s="90"/>
      <c r="F2000" s="90"/>
      <c r="G2000" s="90"/>
      <c r="H2000" s="90"/>
      <c r="I2000" s="90"/>
      <c r="J2000" s="90"/>
      <c r="K2000" s="90"/>
      <c r="L2000" s="90"/>
      <c r="M2000" s="90"/>
      <c r="N2000" s="91"/>
      <c r="O2000" s="91"/>
      <c r="P2000" s="91"/>
      <c r="Q2000" s="91"/>
      <c r="R2000" s="91"/>
      <c r="S2000" s="91"/>
      <c r="T2000" s="91"/>
      <c r="U2000" s="91"/>
      <c r="V2000" s="92"/>
      <c r="W2000" s="92"/>
      <c r="X2000" s="93"/>
      <c r="Y2000" s="93"/>
      <c r="Z2000" s="93"/>
      <c r="AA2000" s="4"/>
      <c r="AB2000" s="5"/>
    </row>
  </sheetData>
  <mergeCells count="11994">
    <mergeCell ref="X4:Z4"/>
    <mergeCell ref="B3:D3"/>
    <mergeCell ref="E3:G3"/>
    <mergeCell ref="H3:M3"/>
    <mergeCell ref="N3:U3"/>
    <mergeCell ref="V3:W3"/>
    <mergeCell ref="X3:Z3"/>
    <mergeCell ref="B4:D4"/>
    <mergeCell ref="E4:G4"/>
    <mergeCell ref="H4:M4"/>
    <mergeCell ref="N4:U4"/>
    <mergeCell ref="V4:W4"/>
    <mergeCell ref="N6:U6"/>
    <mergeCell ref="V6:W6"/>
    <mergeCell ref="X6:Z6"/>
    <mergeCell ref="B5:D5"/>
    <mergeCell ref="E5:G5"/>
    <mergeCell ref="H5:M5"/>
    <mergeCell ref="N5:U5"/>
    <mergeCell ref="V5:W5"/>
    <mergeCell ref="X5:Z5"/>
    <mergeCell ref="X2:Z2"/>
    <mergeCell ref="B8:D8"/>
    <mergeCell ref="E8:G8"/>
    <mergeCell ref="H8:M8"/>
    <mergeCell ref="N8:U8"/>
    <mergeCell ref="V8:W8"/>
    <mergeCell ref="X8:Z8"/>
    <mergeCell ref="B7:D7"/>
    <mergeCell ref="E7:G7"/>
    <mergeCell ref="H7:M7"/>
    <mergeCell ref="N7:U7"/>
    <mergeCell ref="V7:W7"/>
    <mergeCell ref="X7:Z7"/>
    <mergeCell ref="B6:D6"/>
    <mergeCell ref="E6:G6"/>
    <mergeCell ref="H6:M6"/>
    <mergeCell ref="B2:D2"/>
    <mergeCell ref="E2:G2"/>
    <mergeCell ref="H2:M2"/>
    <mergeCell ref="N2:U2"/>
    <mergeCell ref="V2:W2"/>
    <mergeCell ref="X10:Z10"/>
    <mergeCell ref="B9:D9"/>
    <mergeCell ref="E9:G9"/>
    <mergeCell ref="H9:M9"/>
    <mergeCell ref="N9:U9"/>
    <mergeCell ref="V9:W9"/>
    <mergeCell ref="X9:Z9"/>
    <mergeCell ref="B10:D10"/>
    <mergeCell ref="E10:G10"/>
    <mergeCell ref="H10:M10"/>
    <mergeCell ref="N10:U10"/>
    <mergeCell ref="V10:W10"/>
    <mergeCell ref="X12:Z12"/>
    <mergeCell ref="B11:D11"/>
    <mergeCell ref="E11:G11"/>
    <mergeCell ref="H11:M11"/>
    <mergeCell ref="N11:U11"/>
    <mergeCell ref="V11:W11"/>
    <mergeCell ref="X11:Z11"/>
    <mergeCell ref="B12:D12"/>
    <mergeCell ref="E12:G12"/>
    <mergeCell ref="H12:M12"/>
    <mergeCell ref="N12:U12"/>
    <mergeCell ref="V12:W12"/>
    <mergeCell ref="X14:Z14"/>
    <mergeCell ref="B13:D13"/>
    <mergeCell ref="E13:G13"/>
    <mergeCell ref="H13:M13"/>
    <mergeCell ref="N13:U13"/>
    <mergeCell ref="V13:W13"/>
    <mergeCell ref="X13:Z13"/>
    <mergeCell ref="B14:D14"/>
    <mergeCell ref="E14:G14"/>
    <mergeCell ref="H14:M14"/>
    <mergeCell ref="N14:U14"/>
    <mergeCell ref="V14:W14"/>
    <mergeCell ref="X16:Z16"/>
    <mergeCell ref="B15:D15"/>
    <mergeCell ref="E15:G15"/>
    <mergeCell ref="H15:M15"/>
    <mergeCell ref="N15:U15"/>
    <mergeCell ref="V15:W15"/>
    <mergeCell ref="X15:Z15"/>
    <mergeCell ref="B16:D16"/>
    <mergeCell ref="E16:G16"/>
    <mergeCell ref="H16:M16"/>
    <mergeCell ref="N16:U16"/>
    <mergeCell ref="V16:W16"/>
    <mergeCell ref="X18:Z18"/>
    <mergeCell ref="B17:D17"/>
    <mergeCell ref="E17:G17"/>
    <mergeCell ref="H17:M17"/>
    <mergeCell ref="N17:U17"/>
    <mergeCell ref="V17:W17"/>
    <mergeCell ref="X17:Z17"/>
    <mergeCell ref="B18:D18"/>
    <mergeCell ref="E18:G18"/>
    <mergeCell ref="H18:M18"/>
    <mergeCell ref="N18:U18"/>
    <mergeCell ref="V18:W18"/>
    <mergeCell ref="X20:Z20"/>
    <mergeCell ref="B19:D19"/>
    <mergeCell ref="E19:G19"/>
    <mergeCell ref="H19:M19"/>
    <mergeCell ref="N19:U19"/>
    <mergeCell ref="V19:W19"/>
    <mergeCell ref="X19:Z19"/>
    <mergeCell ref="B20:D20"/>
    <mergeCell ref="E20:G20"/>
    <mergeCell ref="H20:M20"/>
    <mergeCell ref="N20:U20"/>
    <mergeCell ref="V20:W20"/>
    <mergeCell ref="X22:Z22"/>
    <mergeCell ref="B21:D21"/>
    <mergeCell ref="E21:G21"/>
    <mergeCell ref="H21:M21"/>
    <mergeCell ref="N21:U21"/>
    <mergeCell ref="V21:W21"/>
    <mergeCell ref="X21:Z21"/>
    <mergeCell ref="B22:D22"/>
    <mergeCell ref="E22:G22"/>
    <mergeCell ref="H22:M22"/>
    <mergeCell ref="N22:U22"/>
    <mergeCell ref="V22:W22"/>
    <mergeCell ref="X24:Z24"/>
    <mergeCell ref="B23:D23"/>
    <mergeCell ref="E23:G23"/>
    <mergeCell ref="H23:M23"/>
    <mergeCell ref="N23:U23"/>
    <mergeCell ref="V23:W23"/>
    <mergeCell ref="X23:Z23"/>
    <mergeCell ref="B24:D24"/>
    <mergeCell ref="E24:G24"/>
    <mergeCell ref="H24:M24"/>
    <mergeCell ref="N24:U24"/>
    <mergeCell ref="V24:W24"/>
    <mergeCell ref="X26:Z26"/>
    <mergeCell ref="B25:D25"/>
    <mergeCell ref="E25:G25"/>
    <mergeCell ref="H25:M25"/>
    <mergeCell ref="N25:U25"/>
    <mergeCell ref="V25:W25"/>
    <mergeCell ref="X25:Z25"/>
    <mergeCell ref="B26:D26"/>
    <mergeCell ref="E26:G26"/>
    <mergeCell ref="H26:M26"/>
    <mergeCell ref="N26:U26"/>
    <mergeCell ref="V26:W26"/>
    <mergeCell ref="X28:Z28"/>
    <mergeCell ref="B27:D27"/>
    <mergeCell ref="E27:G27"/>
    <mergeCell ref="H27:M27"/>
    <mergeCell ref="N27:U27"/>
    <mergeCell ref="V27:W27"/>
    <mergeCell ref="X27:Z27"/>
    <mergeCell ref="B28:D28"/>
    <mergeCell ref="E28:G28"/>
    <mergeCell ref="H28:M28"/>
    <mergeCell ref="N28:U28"/>
    <mergeCell ref="V28:W28"/>
    <mergeCell ref="X30:Z30"/>
    <mergeCell ref="B29:D29"/>
    <mergeCell ref="E29:G29"/>
    <mergeCell ref="H29:M29"/>
    <mergeCell ref="N29:U29"/>
    <mergeCell ref="V29:W29"/>
    <mergeCell ref="X29:Z29"/>
    <mergeCell ref="B30:D30"/>
    <mergeCell ref="E30:G30"/>
    <mergeCell ref="H30:M30"/>
    <mergeCell ref="N30:U30"/>
    <mergeCell ref="V30:W30"/>
    <mergeCell ref="X32:Z32"/>
    <mergeCell ref="B31:D31"/>
    <mergeCell ref="E31:G31"/>
    <mergeCell ref="H31:M31"/>
    <mergeCell ref="N31:U31"/>
    <mergeCell ref="V31:W31"/>
    <mergeCell ref="X31:Z31"/>
    <mergeCell ref="B32:D32"/>
    <mergeCell ref="E32:G32"/>
    <mergeCell ref="H32:M32"/>
    <mergeCell ref="N32:U32"/>
    <mergeCell ref="V32:W32"/>
    <mergeCell ref="X34:Z34"/>
    <mergeCell ref="B33:D33"/>
    <mergeCell ref="E33:G33"/>
    <mergeCell ref="H33:M33"/>
    <mergeCell ref="N33:U33"/>
    <mergeCell ref="V33:W33"/>
    <mergeCell ref="X33:Z33"/>
    <mergeCell ref="B34:D34"/>
    <mergeCell ref="E34:G34"/>
    <mergeCell ref="H34:M34"/>
    <mergeCell ref="N34:U34"/>
    <mergeCell ref="V34:W34"/>
    <mergeCell ref="X36:Z36"/>
    <mergeCell ref="B35:D35"/>
    <mergeCell ref="E35:G35"/>
    <mergeCell ref="H35:M35"/>
    <mergeCell ref="N35:U35"/>
    <mergeCell ref="V35:W35"/>
    <mergeCell ref="X35:Z35"/>
    <mergeCell ref="B36:D36"/>
    <mergeCell ref="E36:G36"/>
    <mergeCell ref="H36:M36"/>
    <mergeCell ref="N36:U36"/>
    <mergeCell ref="V36:W36"/>
    <mergeCell ref="X38:Z38"/>
    <mergeCell ref="B37:D37"/>
    <mergeCell ref="E37:G37"/>
    <mergeCell ref="H37:M37"/>
    <mergeCell ref="N37:U37"/>
    <mergeCell ref="V37:W37"/>
    <mergeCell ref="X37:Z37"/>
    <mergeCell ref="B38:D38"/>
    <mergeCell ref="E38:G38"/>
    <mergeCell ref="H38:M38"/>
    <mergeCell ref="N38:U38"/>
    <mergeCell ref="V38:W38"/>
    <mergeCell ref="X40:Z40"/>
    <mergeCell ref="B39:D39"/>
    <mergeCell ref="E39:G39"/>
    <mergeCell ref="H39:M39"/>
    <mergeCell ref="N39:U39"/>
    <mergeCell ref="V39:W39"/>
    <mergeCell ref="X39:Z39"/>
    <mergeCell ref="B40:D40"/>
    <mergeCell ref="E40:G40"/>
    <mergeCell ref="H40:M40"/>
    <mergeCell ref="N40:U40"/>
    <mergeCell ref="V40:W40"/>
    <mergeCell ref="X42:Z42"/>
    <mergeCell ref="B41:D41"/>
    <mergeCell ref="E41:G41"/>
    <mergeCell ref="H41:M41"/>
    <mergeCell ref="N41:U41"/>
    <mergeCell ref="V41:W41"/>
    <mergeCell ref="X41:Z41"/>
    <mergeCell ref="B42:D42"/>
    <mergeCell ref="E42:G42"/>
    <mergeCell ref="H42:M42"/>
    <mergeCell ref="N42:U42"/>
    <mergeCell ref="V42:W42"/>
    <mergeCell ref="X44:Z44"/>
    <mergeCell ref="B43:D43"/>
    <mergeCell ref="E43:G43"/>
    <mergeCell ref="H43:M43"/>
    <mergeCell ref="N43:U43"/>
    <mergeCell ref="V43:W43"/>
    <mergeCell ref="X43:Z43"/>
    <mergeCell ref="B44:D44"/>
    <mergeCell ref="E44:G44"/>
    <mergeCell ref="H44:M44"/>
    <mergeCell ref="N44:U44"/>
    <mergeCell ref="V44:W44"/>
    <mergeCell ref="X46:Z46"/>
    <mergeCell ref="B45:D45"/>
    <mergeCell ref="E45:G45"/>
    <mergeCell ref="H45:M45"/>
    <mergeCell ref="N45:U45"/>
    <mergeCell ref="V45:W45"/>
    <mergeCell ref="X45:Z45"/>
    <mergeCell ref="B46:D46"/>
    <mergeCell ref="E46:G46"/>
    <mergeCell ref="H46:M46"/>
    <mergeCell ref="N46:U46"/>
    <mergeCell ref="V46:W46"/>
    <mergeCell ref="X48:Z48"/>
    <mergeCell ref="B47:D47"/>
    <mergeCell ref="E47:G47"/>
    <mergeCell ref="H47:M47"/>
    <mergeCell ref="N47:U47"/>
    <mergeCell ref="V47:W47"/>
    <mergeCell ref="X47:Z47"/>
    <mergeCell ref="B48:D48"/>
    <mergeCell ref="E48:G48"/>
    <mergeCell ref="H48:M48"/>
    <mergeCell ref="N48:U48"/>
    <mergeCell ref="V48:W48"/>
    <mergeCell ref="X50:Z50"/>
    <mergeCell ref="B49:D49"/>
    <mergeCell ref="E49:G49"/>
    <mergeCell ref="H49:M49"/>
    <mergeCell ref="N49:U49"/>
    <mergeCell ref="V49:W49"/>
    <mergeCell ref="X49:Z49"/>
    <mergeCell ref="B50:D50"/>
    <mergeCell ref="E50:G50"/>
    <mergeCell ref="H50:M50"/>
    <mergeCell ref="N50:U50"/>
    <mergeCell ref="V50:W50"/>
    <mergeCell ref="X52:Z52"/>
    <mergeCell ref="B51:D51"/>
    <mergeCell ref="E51:G51"/>
    <mergeCell ref="H51:M51"/>
    <mergeCell ref="N51:U51"/>
    <mergeCell ref="V51:W51"/>
    <mergeCell ref="X51:Z51"/>
    <mergeCell ref="B52:D52"/>
    <mergeCell ref="E52:G52"/>
    <mergeCell ref="H52:M52"/>
    <mergeCell ref="N52:U52"/>
    <mergeCell ref="V52:W52"/>
    <mergeCell ref="X54:Z54"/>
    <mergeCell ref="B53:D53"/>
    <mergeCell ref="E53:G53"/>
    <mergeCell ref="H53:M53"/>
    <mergeCell ref="N53:U53"/>
    <mergeCell ref="V53:W53"/>
    <mergeCell ref="X53:Z53"/>
    <mergeCell ref="B54:D54"/>
    <mergeCell ref="E54:G54"/>
    <mergeCell ref="H54:M54"/>
    <mergeCell ref="N54:U54"/>
    <mergeCell ref="V54:W54"/>
    <mergeCell ref="X56:Z56"/>
    <mergeCell ref="B55:D55"/>
    <mergeCell ref="E55:G55"/>
    <mergeCell ref="H55:M55"/>
    <mergeCell ref="N55:U55"/>
    <mergeCell ref="V55:W55"/>
    <mergeCell ref="X55:Z55"/>
    <mergeCell ref="B56:D56"/>
    <mergeCell ref="E56:G56"/>
    <mergeCell ref="H56:M56"/>
    <mergeCell ref="N56:U56"/>
    <mergeCell ref="V56:W56"/>
    <mergeCell ref="X58:Z58"/>
    <mergeCell ref="B57:D57"/>
    <mergeCell ref="E57:G57"/>
    <mergeCell ref="H57:M57"/>
    <mergeCell ref="N57:U57"/>
    <mergeCell ref="V57:W57"/>
    <mergeCell ref="X57:Z57"/>
    <mergeCell ref="B58:D58"/>
    <mergeCell ref="E58:G58"/>
    <mergeCell ref="H58:M58"/>
    <mergeCell ref="N58:U58"/>
    <mergeCell ref="V58:W58"/>
    <mergeCell ref="X60:Z60"/>
    <mergeCell ref="B59:D59"/>
    <mergeCell ref="E59:G59"/>
    <mergeCell ref="H59:M59"/>
    <mergeCell ref="N59:U59"/>
    <mergeCell ref="V59:W59"/>
    <mergeCell ref="X59:Z59"/>
    <mergeCell ref="B60:D60"/>
    <mergeCell ref="E60:G60"/>
    <mergeCell ref="H60:M60"/>
    <mergeCell ref="N60:U60"/>
    <mergeCell ref="V60:W60"/>
    <mergeCell ref="X62:Z62"/>
    <mergeCell ref="B61:D61"/>
    <mergeCell ref="E61:G61"/>
    <mergeCell ref="H61:M61"/>
    <mergeCell ref="N61:U61"/>
    <mergeCell ref="V61:W61"/>
    <mergeCell ref="X61:Z61"/>
    <mergeCell ref="B62:D62"/>
    <mergeCell ref="E62:G62"/>
    <mergeCell ref="H62:M62"/>
    <mergeCell ref="N62:U62"/>
    <mergeCell ref="V62:W62"/>
    <mergeCell ref="X64:Z64"/>
    <mergeCell ref="B63:D63"/>
    <mergeCell ref="E63:G63"/>
    <mergeCell ref="H63:M63"/>
    <mergeCell ref="N63:U63"/>
    <mergeCell ref="V63:W63"/>
    <mergeCell ref="X63:Z63"/>
    <mergeCell ref="B64:D64"/>
    <mergeCell ref="E64:G64"/>
    <mergeCell ref="H64:M64"/>
    <mergeCell ref="N64:U64"/>
    <mergeCell ref="V64:W64"/>
    <mergeCell ref="X66:Z66"/>
    <mergeCell ref="B65:D65"/>
    <mergeCell ref="E65:G65"/>
    <mergeCell ref="H65:M65"/>
    <mergeCell ref="N65:U65"/>
    <mergeCell ref="V65:W65"/>
    <mergeCell ref="X65:Z65"/>
    <mergeCell ref="B66:D66"/>
    <mergeCell ref="E66:G66"/>
    <mergeCell ref="H66:M66"/>
    <mergeCell ref="N66:U66"/>
    <mergeCell ref="V66:W66"/>
    <mergeCell ref="X68:Z68"/>
    <mergeCell ref="B67:D67"/>
    <mergeCell ref="E67:G67"/>
    <mergeCell ref="H67:M67"/>
    <mergeCell ref="N67:U67"/>
    <mergeCell ref="V67:W67"/>
    <mergeCell ref="X67:Z67"/>
    <mergeCell ref="B68:D68"/>
    <mergeCell ref="E68:G68"/>
    <mergeCell ref="H68:M68"/>
    <mergeCell ref="N68:U68"/>
    <mergeCell ref="V68:W68"/>
    <mergeCell ref="X70:Z70"/>
    <mergeCell ref="B69:D69"/>
    <mergeCell ref="E69:G69"/>
    <mergeCell ref="H69:M69"/>
    <mergeCell ref="N69:U69"/>
    <mergeCell ref="V69:W69"/>
    <mergeCell ref="X69:Z69"/>
    <mergeCell ref="B70:D70"/>
    <mergeCell ref="E70:G70"/>
    <mergeCell ref="H70:M70"/>
    <mergeCell ref="N70:U70"/>
    <mergeCell ref="V70:W70"/>
    <mergeCell ref="X72:Z72"/>
    <mergeCell ref="B71:D71"/>
    <mergeCell ref="E71:G71"/>
    <mergeCell ref="H71:M71"/>
    <mergeCell ref="N71:U71"/>
    <mergeCell ref="V71:W71"/>
    <mergeCell ref="X71:Z71"/>
    <mergeCell ref="B72:D72"/>
    <mergeCell ref="E72:G72"/>
    <mergeCell ref="H72:M72"/>
    <mergeCell ref="N72:U72"/>
    <mergeCell ref="V72:W72"/>
    <mergeCell ref="X74:Z74"/>
    <mergeCell ref="B73:D73"/>
    <mergeCell ref="E73:G73"/>
    <mergeCell ref="H73:M73"/>
    <mergeCell ref="N73:U73"/>
    <mergeCell ref="V73:W73"/>
    <mergeCell ref="X73:Z73"/>
    <mergeCell ref="B74:D74"/>
    <mergeCell ref="E74:G74"/>
    <mergeCell ref="H74:M74"/>
    <mergeCell ref="N74:U74"/>
    <mergeCell ref="V74:W74"/>
    <mergeCell ref="X76:Z76"/>
    <mergeCell ref="B75:D75"/>
    <mergeCell ref="E75:G75"/>
    <mergeCell ref="H75:M75"/>
    <mergeCell ref="N75:U75"/>
    <mergeCell ref="V75:W75"/>
    <mergeCell ref="X75:Z75"/>
    <mergeCell ref="B76:D76"/>
    <mergeCell ref="E76:G76"/>
    <mergeCell ref="H76:M76"/>
    <mergeCell ref="N76:U76"/>
    <mergeCell ref="V76:W76"/>
    <mergeCell ref="X78:Z78"/>
    <mergeCell ref="B77:D77"/>
    <mergeCell ref="E77:G77"/>
    <mergeCell ref="H77:M77"/>
    <mergeCell ref="N77:U77"/>
    <mergeCell ref="V77:W77"/>
    <mergeCell ref="X77:Z77"/>
    <mergeCell ref="B78:D78"/>
    <mergeCell ref="E78:G78"/>
    <mergeCell ref="H78:M78"/>
    <mergeCell ref="N78:U78"/>
    <mergeCell ref="V78:W78"/>
    <mergeCell ref="X80:Z80"/>
    <mergeCell ref="B79:D79"/>
    <mergeCell ref="E79:G79"/>
    <mergeCell ref="H79:M79"/>
    <mergeCell ref="N79:U79"/>
    <mergeCell ref="V79:W79"/>
    <mergeCell ref="X79:Z79"/>
    <mergeCell ref="B80:D80"/>
    <mergeCell ref="E80:G80"/>
    <mergeCell ref="H80:M80"/>
    <mergeCell ref="N80:U80"/>
    <mergeCell ref="V80:W80"/>
    <mergeCell ref="X82:Z82"/>
    <mergeCell ref="B81:D81"/>
    <mergeCell ref="E81:G81"/>
    <mergeCell ref="H81:M81"/>
    <mergeCell ref="N81:U81"/>
    <mergeCell ref="V81:W81"/>
    <mergeCell ref="X81:Z81"/>
    <mergeCell ref="B82:D82"/>
    <mergeCell ref="E82:G82"/>
    <mergeCell ref="H82:M82"/>
    <mergeCell ref="N82:U82"/>
    <mergeCell ref="V82:W82"/>
    <mergeCell ref="X84:Z84"/>
    <mergeCell ref="B83:D83"/>
    <mergeCell ref="E83:G83"/>
    <mergeCell ref="H83:M83"/>
    <mergeCell ref="N83:U83"/>
    <mergeCell ref="V83:W83"/>
    <mergeCell ref="X83:Z83"/>
    <mergeCell ref="B84:D84"/>
    <mergeCell ref="E84:G84"/>
    <mergeCell ref="H84:M84"/>
    <mergeCell ref="N84:U84"/>
    <mergeCell ref="V84:W84"/>
    <mergeCell ref="X86:Z86"/>
    <mergeCell ref="B85:D85"/>
    <mergeCell ref="E85:G85"/>
    <mergeCell ref="H85:M85"/>
    <mergeCell ref="N85:U85"/>
    <mergeCell ref="V85:W85"/>
    <mergeCell ref="X85:Z85"/>
    <mergeCell ref="B86:D86"/>
    <mergeCell ref="E86:G86"/>
    <mergeCell ref="H86:M86"/>
    <mergeCell ref="N86:U86"/>
    <mergeCell ref="V86:W86"/>
    <mergeCell ref="X88:Z88"/>
    <mergeCell ref="B87:D87"/>
    <mergeCell ref="E87:G87"/>
    <mergeCell ref="H87:M87"/>
    <mergeCell ref="N87:U87"/>
    <mergeCell ref="V87:W87"/>
    <mergeCell ref="X87:Z87"/>
    <mergeCell ref="B88:D88"/>
    <mergeCell ref="E88:G88"/>
    <mergeCell ref="H88:M88"/>
    <mergeCell ref="N88:U88"/>
    <mergeCell ref="V88:W88"/>
    <mergeCell ref="X90:Z90"/>
    <mergeCell ref="B89:D89"/>
    <mergeCell ref="E89:G89"/>
    <mergeCell ref="H89:M89"/>
    <mergeCell ref="N89:U89"/>
    <mergeCell ref="V89:W89"/>
    <mergeCell ref="X89:Z89"/>
    <mergeCell ref="B90:D90"/>
    <mergeCell ref="E90:G90"/>
    <mergeCell ref="H90:M90"/>
    <mergeCell ref="N90:U90"/>
    <mergeCell ref="V90:W90"/>
    <mergeCell ref="X92:Z92"/>
    <mergeCell ref="B91:D91"/>
    <mergeCell ref="E91:G91"/>
    <mergeCell ref="H91:M91"/>
    <mergeCell ref="N91:U91"/>
    <mergeCell ref="V91:W91"/>
    <mergeCell ref="X91:Z91"/>
    <mergeCell ref="B92:D92"/>
    <mergeCell ref="E92:G92"/>
    <mergeCell ref="H92:M92"/>
    <mergeCell ref="N92:U92"/>
    <mergeCell ref="V92:W92"/>
    <mergeCell ref="X94:Z94"/>
    <mergeCell ref="B93:D93"/>
    <mergeCell ref="E93:G93"/>
    <mergeCell ref="H93:M93"/>
    <mergeCell ref="N93:U93"/>
    <mergeCell ref="V93:W93"/>
    <mergeCell ref="X93:Z93"/>
    <mergeCell ref="B94:D94"/>
    <mergeCell ref="E94:G94"/>
    <mergeCell ref="H94:M94"/>
    <mergeCell ref="N94:U94"/>
    <mergeCell ref="V94:W94"/>
    <mergeCell ref="X96:Z96"/>
    <mergeCell ref="B95:D95"/>
    <mergeCell ref="E95:G95"/>
    <mergeCell ref="H95:M95"/>
    <mergeCell ref="N95:U95"/>
    <mergeCell ref="V95:W95"/>
    <mergeCell ref="X95:Z95"/>
    <mergeCell ref="B96:D96"/>
    <mergeCell ref="E96:G96"/>
    <mergeCell ref="H96:M96"/>
    <mergeCell ref="N96:U96"/>
    <mergeCell ref="V96:W96"/>
    <mergeCell ref="X98:Z98"/>
    <mergeCell ref="B97:D97"/>
    <mergeCell ref="E97:G97"/>
    <mergeCell ref="H97:M97"/>
    <mergeCell ref="N97:U97"/>
    <mergeCell ref="V97:W97"/>
    <mergeCell ref="X97:Z97"/>
    <mergeCell ref="B98:D98"/>
    <mergeCell ref="E98:G98"/>
    <mergeCell ref="H98:M98"/>
    <mergeCell ref="N98:U98"/>
    <mergeCell ref="V98:W98"/>
    <mergeCell ref="X100:Z100"/>
    <mergeCell ref="B99:D99"/>
    <mergeCell ref="E99:G99"/>
    <mergeCell ref="H99:M99"/>
    <mergeCell ref="N99:U99"/>
    <mergeCell ref="V99:W99"/>
    <mergeCell ref="X99:Z99"/>
    <mergeCell ref="B100:D100"/>
    <mergeCell ref="E100:G100"/>
    <mergeCell ref="H100:M100"/>
    <mergeCell ref="N100:U100"/>
    <mergeCell ref="V100:W100"/>
    <mergeCell ref="X102:Z102"/>
    <mergeCell ref="B101:D101"/>
    <mergeCell ref="E101:G101"/>
    <mergeCell ref="H101:M101"/>
    <mergeCell ref="N101:U101"/>
    <mergeCell ref="V101:W101"/>
    <mergeCell ref="X101:Z101"/>
    <mergeCell ref="B102:D102"/>
    <mergeCell ref="E102:G102"/>
    <mergeCell ref="H102:M102"/>
    <mergeCell ref="N102:U102"/>
    <mergeCell ref="V102:W102"/>
    <mergeCell ref="X104:Z104"/>
    <mergeCell ref="B103:D103"/>
    <mergeCell ref="E103:G103"/>
    <mergeCell ref="H103:M103"/>
    <mergeCell ref="N103:U103"/>
    <mergeCell ref="V103:W103"/>
    <mergeCell ref="X103:Z103"/>
    <mergeCell ref="B104:D104"/>
    <mergeCell ref="E104:G104"/>
    <mergeCell ref="H104:M104"/>
    <mergeCell ref="N104:U104"/>
    <mergeCell ref="V104:W104"/>
    <mergeCell ref="X106:Z106"/>
    <mergeCell ref="B105:D105"/>
    <mergeCell ref="E105:G105"/>
    <mergeCell ref="H105:M105"/>
    <mergeCell ref="N105:U105"/>
    <mergeCell ref="V105:W105"/>
    <mergeCell ref="X105:Z105"/>
    <mergeCell ref="B106:D106"/>
    <mergeCell ref="E106:G106"/>
    <mergeCell ref="H106:M106"/>
    <mergeCell ref="N106:U106"/>
    <mergeCell ref="V106:W106"/>
    <mergeCell ref="X108:Z108"/>
    <mergeCell ref="B107:D107"/>
    <mergeCell ref="E107:G107"/>
    <mergeCell ref="H107:M107"/>
    <mergeCell ref="N107:U107"/>
    <mergeCell ref="V107:W107"/>
    <mergeCell ref="X107:Z107"/>
    <mergeCell ref="B108:D108"/>
    <mergeCell ref="E108:G108"/>
    <mergeCell ref="H108:M108"/>
    <mergeCell ref="N108:U108"/>
    <mergeCell ref="V108:W108"/>
    <mergeCell ref="X110:Z110"/>
    <mergeCell ref="B109:D109"/>
    <mergeCell ref="E109:G109"/>
    <mergeCell ref="H109:M109"/>
    <mergeCell ref="N109:U109"/>
    <mergeCell ref="V109:W109"/>
    <mergeCell ref="X109:Z109"/>
    <mergeCell ref="B110:D110"/>
    <mergeCell ref="E110:G110"/>
    <mergeCell ref="H110:M110"/>
    <mergeCell ref="N110:U110"/>
    <mergeCell ref="V110:W110"/>
    <mergeCell ref="X112:Z112"/>
    <mergeCell ref="B111:D111"/>
    <mergeCell ref="E111:G111"/>
    <mergeCell ref="H111:M111"/>
    <mergeCell ref="N111:U111"/>
    <mergeCell ref="V111:W111"/>
    <mergeCell ref="X111:Z111"/>
    <mergeCell ref="B112:D112"/>
    <mergeCell ref="E112:G112"/>
    <mergeCell ref="H112:M112"/>
    <mergeCell ref="N112:U112"/>
    <mergeCell ref="V112:W112"/>
    <mergeCell ref="X114:Z114"/>
    <mergeCell ref="B113:D113"/>
    <mergeCell ref="E113:G113"/>
    <mergeCell ref="H113:M113"/>
    <mergeCell ref="N113:U113"/>
    <mergeCell ref="V113:W113"/>
    <mergeCell ref="X113:Z113"/>
    <mergeCell ref="B114:D114"/>
    <mergeCell ref="E114:G114"/>
    <mergeCell ref="H114:M114"/>
    <mergeCell ref="N114:U114"/>
    <mergeCell ref="V114:W114"/>
    <mergeCell ref="X116:Z116"/>
    <mergeCell ref="B115:D115"/>
    <mergeCell ref="E115:G115"/>
    <mergeCell ref="H115:M115"/>
    <mergeCell ref="N115:U115"/>
    <mergeCell ref="V115:W115"/>
    <mergeCell ref="X115:Z115"/>
    <mergeCell ref="B116:D116"/>
    <mergeCell ref="E116:G116"/>
    <mergeCell ref="H116:M116"/>
    <mergeCell ref="N116:U116"/>
    <mergeCell ref="V116:W116"/>
    <mergeCell ref="X118:Z118"/>
    <mergeCell ref="B117:D117"/>
    <mergeCell ref="E117:G117"/>
    <mergeCell ref="H117:M117"/>
    <mergeCell ref="N117:U117"/>
    <mergeCell ref="V117:W117"/>
    <mergeCell ref="X117:Z117"/>
    <mergeCell ref="B118:D118"/>
    <mergeCell ref="E118:G118"/>
    <mergeCell ref="H118:M118"/>
    <mergeCell ref="N118:U118"/>
    <mergeCell ref="V118:W118"/>
    <mergeCell ref="X120:Z120"/>
    <mergeCell ref="B119:D119"/>
    <mergeCell ref="E119:G119"/>
    <mergeCell ref="H119:M119"/>
    <mergeCell ref="N119:U119"/>
    <mergeCell ref="V119:W119"/>
    <mergeCell ref="X119:Z119"/>
    <mergeCell ref="B120:D120"/>
    <mergeCell ref="E120:G120"/>
    <mergeCell ref="H120:M120"/>
    <mergeCell ref="N120:U120"/>
    <mergeCell ref="V120:W120"/>
    <mergeCell ref="X122:Z122"/>
    <mergeCell ref="B121:D121"/>
    <mergeCell ref="E121:G121"/>
    <mergeCell ref="H121:M121"/>
    <mergeCell ref="N121:U121"/>
    <mergeCell ref="V121:W121"/>
    <mergeCell ref="X121:Z121"/>
    <mergeCell ref="B122:D122"/>
    <mergeCell ref="E122:G122"/>
    <mergeCell ref="H122:M122"/>
    <mergeCell ref="N122:U122"/>
    <mergeCell ref="V122:W122"/>
    <mergeCell ref="X124:Z124"/>
    <mergeCell ref="B123:D123"/>
    <mergeCell ref="E123:G123"/>
    <mergeCell ref="H123:M123"/>
    <mergeCell ref="N123:U123"/>
    <mergeCell ref="V123:W123"/>
    <mergeCell ref="X123:Z123"/>
    <mergeCell ref="B124:D124"/>
    <mergeCell ref="E124:G124"/>
    <mergeCell ref="H124:M124"/>
    <mergeCell ref="N124:U124"/>
    <mergeCell ref="V124:W124"/>
    <mergeCell ref="X126:Z126"/>
    <mergeCell ref="B125:D125"/>
    <mergeCell ref="E125:G125"/>
    <mergeCell ref="H125:M125"/>
    <mergeCell ref="N125:U125"/>
    <mergeCell ref="V125:W125"/>
    <mergeCell ref="X125:Z125"/>
    <mergeCell ref="B126:D126"/>
    <mergeCell ref="E126:G126"/>
    <mergeCell ref="H126:M126"/>
    <mergeCell ref="N126:U126"/>
    <mergeCell ref="V126:W126"/>
    <mergeCell ref="X128:Z128"/>
    <mergeCell ref="B127:D127"/>
    <mergeCell ref="E127:G127"/>
    <mergeCell ref="H127:M127"/>
    <mergeCell ref="N127:U127"/>
    <mergeCell ref="V127:W127"/>
    <mergeCell ref="X127:Z127"/>
    <mergeCell ref="B128:D128"/>
    <mergeCell ref="E128:G128"/>
    <mergeCell ref="H128:M128"/>
    <mergeCell ref="N128:U128"/>
    <mergeCell ref="V128:W128"/>
    <mergeCell ref="X130:Z130"/>
    <mergeCell ref="B129:D129"/>
    <mergeCell ref="E129:G129"/>
    <mergeCell ref="H129:M129"/>
    <mergeCell ref="N129:U129"/>
    <mergeCell ref="V129:W129"/>
    <mergeCell ref="X129:Z129"/>
    <mergeCell ref="B130:D130"/>
    <mergeCell ref="E130:G130"/>
    <mergeCell ref="H130:M130"/>
    <mergeCell ref="N130:U130"/>
    <mergeCell ref="V130:W130"/>
    <mergeCell ref="X132:Z132"/>
    <mergeCell ref="B131:D131"/>
    <mergeCell ref="E131:G131"/>
    <mergeCell ref="H131:M131"/>
    <mergeCell ref="N131:U131"/>
    <mergeCell ref="V131:W131"/>
    <mergeCell ref="X131:Z131"/>
    <mergeCell ref="B132:D132"/>
    <mergeCell ref="E132:G132"/>
    <mergeCell ref="H132:M132"/>
    <mergeCell ref="N132:U132"/>
    <mergeCell ref="V132:W132"/>
    <mergeCell ref="X134:Z134"/>
    <mergeCell ref="B133:D133"/>
    <mergeCell ref="E133:G133"/>
    <mergeCell ref="H133:M133"/>
    <mergeCell ref="N133:U133"/>
    <mergeCell ref="V133:W133"/>
    <mergeCell ref="X133:Z133"/>
    <mergeCell ref="B134:D134"/>
    <mergeCell ref="E134:G134"/>
    <mergeCell ref="H134:M134"/>
    <mergeCell ref="N134:U134"/>
    <mergeCell ref="V134:W134"/>
    <mergeCell ref="X136:Z136"/>
    <mergeCell ref="B135:D135"/>
    <mergeCell ref="E135:G135"/>
    <mergeCell ref="H135:M135"/>
    <mergeCell ref="N135:U135"/>
    <mergeCell ref="V135:W135"/>
    <mergeCell ref="X135:Z135"/>
    <mergeCell ref="B136:D136"/>
    <mergeCell ref="E136:G136"/>
    <mergeCell ref="H136:M136"/>
    <mergeCell ref="N136:U136"/>
    <mergeCell ref="V136:W136"/>
    <mergeCell ref="X138:Z138"/>
    <mergeCell ref="B137:D137"/>
    <mergeCell ref="E137:G137"/>
    <mergeCell ref="H137:M137"/>
    <mergeCell ref="N137:U137"/>
    <mergeCell ref="V137:W137"/>
    <mergeCell ref="X137:Z137"/>
    <mergeCell ref="B138:D138"/>
    <mergeCell ref="E138:G138"/>
    <mergeCell ref="H138:M138"/>
    <mergeCell ref="N138:U138"/>
    <mergeCell ref="V138:W138"/>
    <mergeCell ref="X140:Z140"/>
    <mergeCell ref="B139:D139"/>
    <mergeCell ref="E139:G139"/>
    <mergeCell ref="H139:M139"/>
    <mergeCell ref="N139:U139"/>
    <mergeCell ref="V139:W139"/>
    <mergeCell ref="X139:Z139"/>
    <mergeCell ref="B140:D140"/>
    <mergeCell ref="E140:G140"/>
    <mergeCell ref="H140:M140"/>
    <mergeCell ref="N140:U140"/>
    <mergeCell ref="V140:W140"/>
    <mergeCell ref="X142:Z142"/>
    <mergeCell ref="B141:D141"/>
    <mergeCell ref="E141:G141"/>
    <mergeCell ref="H141:M141"/>
    <mergeCell ref="N141:U141"/>
    <mergeCell ref="V141:W141"/>
    <mergeCell ref="X141:Z141"/>
    <mergeCell ref="B142:D142"/>
    <mergeCell ref="E142:G142"/>
    <mergeCell ref="H142:M142"/>
    <mergeCell ref="N142:U142"/>
    <mergeCell ref="V142:W142"/>
    <mergeCell ref="X144:Z144"/>
    <mergeCell ref="B143:D143"/>
    <mergeCell ref="E143:G143"/>
    <mergeCell ref="H143:M143"/>
    <mergeCell ref="N143:U143"/>
    <mergeCell ref="V143:W143"/>
    <mergeCell ref="X143:Z143"/>
    <mergeCell ref="B144:D144"/>
    <mergeCell ref="E144:G144"/>
    <mergeCell ref="H144:M144"/>
    <mergeCell ref="N144:U144"/>
    <mergeCell ref="V144:W144"/>
    <mergeCell ref="X146:Z146"/>
    <mergeCell ref="B145:D145"/>
    <mergeCell ref="E145:G145"/>
    <mergeCell ref="H145:M145"/>
    <mergeCell ref="N145:U145"/>
    <mergeCell ref="V145:W145"/>
    <mergeCell ref="X145:Z145"/>
    <mergeCell ref="B146:D146"/>
    <mergeCell ref="E146:G146"/>
    <mergeCell ref="H146:M146"/>
    <mergeCell ref="N146:U146"/>
    <mergeCell ref="V146:W146"/>
    <mergeCell ref="X148:Z148"/>
    <mergeCell ref="B147:D147"/>
    <mergeCell ref="E147:G147"/>
    <mergeCell ref="H147:M147"/>
    <mergeCell ref="N147:U147"/>
    <mergeCell ref="V147:W147"/>
    <mergeCell ref="X147:Z147"/>
    <mergeCell ref="B148:D148"/>
    <mergeCell ref="E148:G148"/>
    <mergeCell ref="H148:M148"/>
    <mergeCell ref="N148:U148"/>
    <mergeCell ref="V148:W148"/>
    <mergeCell ref="X150:Z150"/>
    <mergeCell ref="B149:D149"/>
    <mergeCell ref="E149:G149"/>
    <mergeCell ref="H149:M149"/>
    <mergeCell ref="N149:U149"/>
    <mergeCell ref="V149:W149"/>
    <mergeCell ref="X149:Z149"/>
    <mergeCell ref="B150:D150"/>
    <mergeCell ref="E150:G150"/>
    <mergeCell ref="H150:M150"/>
    <mergeCell ref="N150:U150"/>
    <mergeCell ref="V150:W150"/>
    <mergeCell ref="X152:Z152"/>
    <mergeCell ref="B151:D151"/>
    <mergeCell ref="E151:G151"/>
    <mergeCell ref="H151:M151"/>
    <mergeCell ref="N151:U151"/>
    <mergeCell ref="V151:W151"/>
    <mergeCell ref="X151:Z151"/>
    <mergeCell ref="B152:D152"/>
    <mergeCell ref="E152:G152"/>
    <mergeCell ref="H152:M152"/>
    <mergeCell ref="N152:U152"/>
    <mergeCell ref="V152:W152"/>
    <mergeCell ref="X154:Z154"/>
    <mergeCell ref="B153:D153"/>
    <mergeCell ref="E153:G153"/>
    <mergeCell ref="H153:M153"/>
    <mergeCell ref="N153:U153"/>
    <mergeCell ref="V153:W153"/>
    <mergeCell ref="X153:Z153"/>
    <mergeCell ref="B154:D154"/>
    <mergeCell ref="E154:G154"/>
    <mergeCell ref="H154:M154"/>
    <mergeCell ref="N154:U154"/>
    <mergeCell ref="V154:W154"/>
    <mergeCell ref="X156:Z156"/>
    <mergeCell ref="B155:D155"/>
    <mergeCell ref="E155:G155"/>
    <mergeCell ref="H155:M155"/>
    <mergeCell ref="N155:U155"/>
    <mergeCell ref="V155:W155"/>
    <mergeCell ref="X155:Z155"/>
    <mergeCell ref="B156:D156"/>
    <mergeCell ref="E156:G156"/>
    <mergeCell ref="H156:M156"/>
    <mergeCell ref="N156:U156"/>
    <mergeCell ref="V156:W156"/>
    <mergeCell ref="X158:Z158"/>
    <mergeCell ref="B157:D157"/>
    <mergeCell ref="E157:G157"/>
    <mergeCell ref="H157:M157"/>
    <mergeCell ref="N157:U157"/>
    <mergeCell ref="V157:W157"/>
    <mergeCell ref="X157:Z157"/>
    <mergeCell ref="B158:D158"/>
    <mergeCell ref="E158:G158"/>
    <mergeCell ref="H158:M158"/>
    <mergeCell ref="N158:U158"/>
    <mergeCell ref="V158:W158"/>
    <mergeCell ref="X160:Z160"/>
    <mergeCell ref="B159:D159"/>
    <mergeCell ref="E159:G159"/>
    <mergeCell ref="H159:M159"/>
    <mergeCell ref="N159:U159"/>
    <mergeCell ref="V159:W159"/>
    <mergeCell ref="X159:Z159"/>
    <mergeCell ref="B160:D160"/>
    <mergeCell ref="E160:G160"/>
    <mergeCell ref="H160:M160"/>
    <mergeCell ref="N160:U160"/>
    <mergeCell ref="V160:W160"/>
    <mergeCell ref="X162:Z162"/>
    <mergeCell ref="B161:D161"/>
    <mergeCell ref="E161:G161"/>
    <mergeCell ref="H161:M161"/>
    <mergeCell ref="N161:U161"/>
    <mergeCell ref="V161:W161"/>
    <mergeCell ref="X161:Z161"/>
    <mergeCell ref="B162:D162"/>
    <mergeCell ref="E162:G162"/>
    <mergeCell ref="H162:M162"/>
    <mergeCell ref="N162:U162"/>
    <mergeCell ref="V162:W162"/>
    <mergeCell ref="X164:Z164"/>
    <mergeCell ref="B163:D163"/>
    <mergeCell ref="E163:G163"/>
    <mergeCell ref="H163:M163"/>
    <mergeCell ref="N163:U163"/>
    <mergeCell ref="V163:W163"/>
    <mergeCell ref="X163:Z163"/>
    <mergeCell ref="B164:D164"/>
    <mergeCell ref="E164:G164"/>
    <mergeCell ref="H164:M164"/>
    <mergeCell ref="N164:U164"/>
    <mergeCell ref="V164:W164"/>
    <mergeCell ref="X166:Z166"/>
    <mergeCell ref="B165:D165"/>
    <mergeCell ref="E165:G165"/>
    <mergeCell ref="H165:M165"/>
    <mergeCell ref="N165:U165"/>
    <mergeCell ref="V165:W165"/>
    <mergeCell ref="X165:Z165"/>
    <mergeCell ref="B166:D166"/>
    <mergeCell ref="E166:G166"/>
    <mergeCell ref="H166:M166"/>
    <mergeCell ref="N166:U166"/>
    <mergeCell ref="V166:W166"/>
    <mergeCell ref="X168:Z168"/>
    <mergeCell ref="B167:D167"/>
    <mergeCell ref="E167:G167"/>
    <mergeCell ref="H167:M167"/>
    <mergeCell ref="N167:U167"/>
    <mergeCell ref="V167:W167"/>
    <mergeCell ref="X167:Z167"/>
    <mergeCell ref="B168:D168"/>
    <mergeCell ref="E168:G168"/>
    <mergeCell ref="H168:M168"/>
    <mergeCell ref="N168:U168"/>
    <mergeCell ref="V168:W168"/>
    <mergeCell ref="X170:Z170"/>
    <mergeCell ref="B169:D169"/>
    <mergeCell ref="E169:G169"/>
    <mergeCell ref="H169:M169"/>
    <mergeCell ref="N169:U169"/>
    <mergeCell ref="V169:W169"/>
    <mergeCell ref="X169:Z169"/>
    <mergeCell ref="B170:D170"/>
    <mergeCell ref="E170:G170"/>
    <mergeCell ref="H170:M170"/>
    <mergeCell ref="N170:U170"/>
    <mergeCell ref="V170:W170"/>
    <mergeCell ref="X172:Z172"/>
    <mergeCell ref="B171:D171"/>
    <mergeCell ref="E171:G171"/>
    <mergeCell ref="H171:M171"/>
    <mergeCell ref="N171:U171"/>
    <mergeCell ref="V171:W171"/>
    <mergeCell ref="X171:Z171"/>
    <mergeCell ref="B172:D172"/>
    <mergeCell ref="E172:G172"/>
    <mergeCell ref="H172:M172"/>
    <mergeCell ref="N172:U172"/>
    <mergeCell ref="V172:W172"/>
    <mergeCell ref="X174:Z174"/>
    <mergeCell ref="B173:D173"/>
    <mergeCell ref="E173:G173"/>
    <mergeCell ref="H173:M173"/>
    <mergeCell ref="N173:U173"/>
    <mergeCell ref="V173:W173"/>
    <mergeCell ref="X173:Z173"/>
    <mergeCell ref="B174:D174"/>
    <mergeCell ref="E174:G174"/>
    <mergeCell ref="H174:M174"/>
    <mergeCell ref="N174:U174"/>
    <mergeCell ref="V174:W174"/>
    <mergeCell ref="X176:Z176"/>
    <mergeCell ref="B175:D175"/>
    <mergeCell ref="E175:G175"/>
    <mergeCell ref="H175:M175"/>
    <mergeCell ref="N175:U175"/>
    <mergeCell ref="V175:W175"/>
    <mergeCell ref="X175:Z175"/>
    <mergeCell ref="B176:D176"/>
    <mergeCell ref="E176:G176"/>
    <mergeCell ref="H176:M176"/>
    <mergeCell ref="N176:U176"/>
    <mergeCell ref="V176:W176"/>
    <mergeCell ref="X178:Z178"/>
    <mergeCell ref="B177:D177"/>
    <mergeCell ref="E177:G177"/>
    <mergeCell ref="H177:M177"/>
    <mergeCell ref="N177:U177"/>
    <mergeCell ref="V177:W177"/>
    <mergeCell ref="X177:Z177"/>
    <mergeCell ref="B178:D178"/>
    <mergeCell ref="E178:G178"/>
    <mergeCell ref="H178:M178"/>
    <mergeCell ref="N178:U178"/>
    <mergeCell ref="V178:W178"/>
    <mergeCell ref="X180:Z180"/>
    <mergeCell ref="B179:D179"/>
    <mergeCell ref="E179:G179"/>
    <mergeCell ref="H179:M179"/>
    <mergeCell ref="N179:U179"/>
    <mergeCell ref="V179:W179"/>
    <mergeCell ref="X179:Z179"/>
    <mergeCell ref="B180:D180"/>
    <mergeCell ref="E180:G180"/>
    <mergeCell ref="H180:M180"/>
    <mergeCell ref="N180:U180"/>
    <mergeCell ref="V180:W180"/>
    <mergeCell ref="X182:Z182"/>
    <mergeCell ref="B181:D181"/>
    <mergeCell ref="E181:G181"/>
    <mergeCell ref="H181:M181"/>
    <mergeCell ref="N181:U181"/>
    <mergeCell ref="V181:W181"/>
    <mergeCell ref="X181:Z181"/>
    <mergeCell ref="B182:D182"/>
    <mergeCell ref="E182:G182"/>
    <mergeCell ref="H182:M182"/>
    <mergeCell ref="N182:U182"/>
    <mergeCell ref="V182:W182"/>
    <mergeCell ref="X184:Z184"/>
    <mergeCell ref="B183:D183"/>
    <mergeCell ref="E183:G183"/>
    <mergeCell ref="H183:M183"/>
    <mergeCell ref="N183:U183"/>
    <mergeCell ref="V183:W183"/>
    <mergeCell ref="X183:Z183"/>
    <mergeCell ref="B184:D184"/>
    <mergeCell ref="E184:G184"/>
    <mergeCell ref="H184:M184"/>
    <mergeCell ref="N184:U184"/>
    <mergeCell ref="V184:W184"/>
    <mergeCell ref="X186:Z186"/>
    <mergeCell ref="B185:D185"/>
    <mergeCell ref="E185:G185"/>
    <mergeCell ref="H185:M185"/>
    <mergeCell ref="N185:U185"/>
    <mergeCell ref="V185:W185"/>
    <mergeCell ref="X185:Z185"/>
    <mergeCell ref="B186:D186"/>
    <mergeCell ref="E186:G186"/>
    <mergeCell ref="H186:M186"/>
    <mergeCell ref="N186:U186"/>
    <mergeCell ref="V186:W186"/>
    <mergeCell ref="X188:Z188"/>
    <mergeCell ref="B187:D187"/>
    <mergeCell ref="E187:G187"/>
    <mergeCell ref="H187:M187"/>
    <mergeCell ref="N187:U187"/>
    <mergeCell ref="V187:W187"/>
    <mergeCell ref="X187:Z187"/>
    <mergeCell ref="B188:D188"/>
    <mergeCell ref="E188:G188"/>
    <mergeCell ref="H188:M188"/>
    <mergeCell ref="N188:U188"/>
    <mergeCell ref="V188:W188"/>
    <mergeCell ref="X190:Z190"/>
    <mergeCell ref="B189:D189"/>
    <mergeCell ref="E189:G189"/>
    <mergeCell ref="H189:M189"/>
    <mergeCell ref="N189:U189"/>
    <mergeCell ref="V189:W189"/>
    <mergeCell ref="X189:Z189"/>
    <mergeCell ref="B190:D190"/>
    <mergeCell ref="E190:G190"/>
    <mergeCell ref="H190:M190"/>
    <mergeCell ref="N190:U190"/>
    <mergeCell ref="V190:W190"/>
    <mergeCell ref="X192:Z192"/>
    <mergeCell ref="B191:D191"/>
    <mergeCell ref="E191:G191"/>
    <mergeCell ref="H191:M191"/>
    <mergeCell ref="N191:U191"/>
    <mergeCell ref="V191:W191"/>
    <mergeCell ref="X191:Z191"/>
    <mergeCell ref="B192:D192"/>
    <mergeCell ref="E192:G192"/>
    <mergeCell ref="H192:M192"/>
    <mergeCell ref="N192:U192"/>
    <mergeCell ref="V192:W192"/>
    <mergeCell ref="X194:Z194"/>
    <mergeCell ref="B193:D193"/>
    <mergeCell ref="E193:G193"/>
    <mergeCell ref="H193:M193"/>
    <mergeCell ref="N193:U193"/>
    <mergeCell ref="V193:W193"/>
    <mergeCell ref="X193:Z193"/>
    <mergeCell ref="B194:D194"/>
    <mergeCell ref="E194:G194"/>
    <mergeCell ref="H194:M194"/>
    <mergeCell ref="N194:U194"/>
    <mergeCell ref="V194:W194"/>
    <mergeCell ref="X196:Z196"/>
    <mergeCell ref="B195:D195"/>
    <mergeCell ref="E195:G195"/>
    <mergeCell ref="H195:M195"/>
    <mergeCell ref="N195:U195"/>
    <mergeCell ref="V195:W195"/>
    <mergeCell ref="X195:Z195"/>
    <mergeCell ref="B196:D196"/>
    <mergeCell ref="E196:G196"/>
    <mergeCell ref="H196:M196"/>
    <mergeCell ref="N196:U196"/>
    <mergeCell ref="V196:W196"/>
    <mergeCell ref="X198:Z198"/>
    <mergeCell ref="B197:D197"/>
    <mergeCell ref="E197:G197"/>
    <mergeCell ref="H197:M197"/>
    <mergeCell ref="N197:U197"/>
    <mergeCell ref="V197:W197"/>
    <mergeCell ref="X197:Z197"/>
    <mergeCell ref="B198:D198"/>
    <mergeCell ref="E198:G198"/>
    <mergeCell ref="H198:M198"/>
    <mergeCell ref="N198:U198"/>
    <mergeCell ref="V198:W198"/>
    <mergeCell ref="X200:Z200"/>
    <mergeCell ref="B199:D199"/>
    <mergeCell ref="E199:G199"/>
    <mergeCell ref="H199:M199"/>
    <mergeCell ref="N199:U199"/>
    <mergeCell ref="V199:W199"/>
    <mergeCell ref="X199:Z199"/>
    <mergeCell ref="B200:D200"/>
    <mergeCell ref="E200:G200"/>
    <mergeCell ref="H200:M200"/>
    <mergeCell ref="N200:U200"/>
    <mergeCell ref="V200:W200"/>
    <mergeCell ref="X202:Z202"/>
    <mergeCell ref="B201:D201"/>
    <mergeCell ref="E201:G201"/>
    <mergeCell ref="H201:M201"/>
    <mergeCell ref="N201:U201"/>
    <mergeCell ref="V201:W201"/>
    <mergeCell ref="X201:Z201"/>
    <mergeCell ref="B202:D202"/>
    <mergeCell ref="E202:G202"/>
    <mergeCell ref="H202:M202"/>
    <mergeCell ref="N202:U202"/>
    <mergeCell ref="V202:W202"/>
    <mergeCell ref="X204:Z204"/>
    <mergeCell ref="B203:D203"/>
    <mergeCell ref="E203:G203"/>
    <mergeCell ref="H203:M203"/>
    <mergeCell ref="N203:U203"/>
    <mergeCell ref="V203:W203"/>
    <mergeCell ref="X203:Z203"/>
    <mergeCell ref="B204:D204"/>
    <mergeCell ref="E204:G204"/>
    <mergeCell ref="H204:M204"/>
    <mergeCell ref="N204:U204"/>
    <mergeCell ref="V204:W204"/>
    <mergeCell ref="X206:Z206"/>
    <mergeCell ref="B205:D205"/>
    <mergeCell ref="E205:G205"/>
    <mergeCell ref="H205:M205"/>
    <mergeCell ref="N205:U205"/>
    <mergeCell ref="V205:W205"/>
    <mergeCell ref="X205:Z205"/>
    <mergeCell ref="B206:D206"/>
    <mergeCell ref="E206:G206"/>
    <mergeCell ref="H206:M206"/>
    <mergeCell ref="N206:U206"/>
    <mergeCell ref="V206:W206"/>
    <mergeCell ref="X208:Z208"/>
    <mergeCell ref="B207:D207"/>
    <mergeCell ref="E207:G207"/>
    <mergeCell ref="H207:M207"/>
    <mergeCell ref="N207:U207"/>
    <mergeCell ref="V207:W207"/>
    <mergeCell ref="X207:Z207"/>
    <mergeCell ref="B208:D208"/>
    <mergeCell ref="E208:G208"/>
    <mergeCell ref="H208:M208"/>
    <mergeCell ref="N208:U208"/>
    <mergeCell ref="V208:W208"/>
    <mergeCell ref="X210:Z210"/>
    <mergeCell ref="B209:D209"/>
    <mergeCell ref="E209:G209"/>
    <mergeCell ref="H209:M209"/>
    <mergeCell ref="N209:U209"/>
    <mergeCell ref="V209:W209"/>
    <mergeCell ref="X209:Z209"/>
    <mergeCell ref="B210:D210"/>
    <mergeCell ref="E210:G210"/>
    <mergeCell ref="H210:M210"/>
    <mergeCell ref="N210:U210"/>
    <mergeCell ref="V210:W210"/>
    <mergeCell ref="X212:Z212"/>
    <mergeCell ref="B211:D211"/>
    <mergeCell ref="E211:G211"/>
    <mergeCell ref="H211:M211"/>
    <mergeCell ref="N211:U211"/>
    <mergeCell ref="V211:W211"/>
    <mergeCell ref="X211:Z211"/>
    <mergeCell ref="B212:D212"/>
    <mergeCell ref="E212:G212"/>
    <mergeCell ref="H212:M212"/>
    <mergeCell ref="N212:U212"/>
    <mergeCell ref="V212:W212"/>
    <mergeCell ref="X214:Z214"/>
    <mergeCell ref="B213:D213"/>
    <mergeCell ref="E213:G213"/>
    <mergeCell ref="H213:M213"/>
    <mergeCell ref="N213:U213"/>
    <mergeCell ref="V213:W213"/>
    <mergeCell ref="X213:Z213"/>
    <mergeCell ref="B214:D214"/>
    <mergeCell ref="E214:G214"/>
    <mergeCell ref="H214:M214"/>
    <mergeCell ref="N214:U214"/>
    <mergeCell ref="V214:W214"/>
    <mergeCell ref="X216:Z216"/>
    <mergeCell ref="B215:D215"/>
    <mergeCell ref="E215:G215"/>
    <mergeCell ref="H215:M215"/>
    <mergeCell ref="N215:U215"/>
    <mergeCell ref="V215:W215"/>
    <mergeCell ref="X215:Z215"/>
    <mergeCell ref="B216:D216"/>
    <mergeCell ref="E216:G216"/>
    <mergeCell ref="H216:M216"/>
    <mergeCell ref="N216:U216"/>
    <mergeCell ref="V216:W216"/>
    <mergeCell ref="X218:Z218"/>
    <mergeCell ref="B217:D217"/>
    <mergeCell ref="E217:G217"/>
    <mergeCell ref="H217:M217"/>
    <mergeCell ref="N217:U217"/>
    <mergeCell ref="V217:W217"/>
    <mergeCell ref="X217:Z217"/>
    <mergeCell ref="B218:D218"/>
    <mergeCell ref="E218:G218"/>
    <mergeCell ref="H218:M218"/>
    <mergeCell ref="N218:U218"/>
    <mergeCell ref="V218:W218"/>
    <mergeCell ref="X220:Z220"/>
    <mergeCell ref="B219:D219"/>
    <mergeCell ref="E219:G219"/>
    <mergeCell ref="H219:M219"/>
    <mergeCell ref="N219:U219"/>
    <mergeCell ref="V219:W219"/>
    <mergeCell ref="X219:Z219"/>
    <mergeCell ref="B220:D220"/>
    <mergeCell ref="E220:G220"/>
    <mergeCell ref="H220:M220"/>
    <mergeCell ref="N220:U220"/>
    <mergeCell ref="V220:W220"/>
    <mergeCell ref="X222:Z222"/>
    <mergeCell ref="B221:D221"/>
    <mergeCell ref="E221:G221"/>
    <mergeCell ref="H221:M221"/>
    <mergeCell ref="N221:U221"/>
    <mergeCell ref="V221:W221"/>
    <mergeCell ref="X221:Z221"/>
    <mergeCell ref="B222:D222"/>
    <mergeCell ref="E222:G222"/>
    <mergeCell ref="H222:M222"/>
    <mergeCell ref="N222:U222"/>
    <mergeCell ref="V222:W222"/>
    <mergeCell ref="X224:Z224"/>
    <mergeCell ref="B223:D223"/>
    <mergeCell ref="E223:G223"/>
    <mergeCell ref="H223:M223"/>
    <mergeCell ref="N223:U223"/>
    <mergeCell ref="V223:W223"/>
    <mergeCell ref="X223:Z223"/>
    <mergeCell ref="B224:D224"/>
    <mergeCell ref="E224:G224"/>
    <mergeCell ref="H224:M224"/>
    <mergeCell ref="N224:U224"/>
    <mergeCell ref="V224:W224"/>
    <mergeCell ref="X226:Z226"/>
    <mergeCell ref="B225:D225"/>
    <mergeCell ref="E225:G225"/>
    <mergeCell ref="H225:M225"/>
    <mergeCell ref="N225:U225"/>
    <mergeCell ref="V225:W225"/>
    <mergeCell ref="X225:Z225"/>
    <mergeCell ref="B226:D226"/>
    <mergeCell ref="E226:G226"/>
    <mergeCell ref="H226:M226"/>
    <mergeCell ref="N226:U226"/>
    <mergeCell ref="V226:W226"/>
    <mergeCell ref="X228:Z228"/>
    <mergeCell ref="B227:D227"/>
    <mergeCell ref="E227:G227"/>
    <mergeCell ref="H227:M227"/>
    <mergeCell ref="N227:U227"/>
    <mergeCell ref="V227:W227"/>
    <mergeCell ref="X227:Z227"/>
    <mergeCell ref="B228:D228"/>
    <mergeCell ref="E228:G228"/>
    <mergeCell ref="H228:M228"/>
    <mergeCell ref="N228:U228"/>
    <mergeCell ref="V228:W228"/>
    <mergeCell ref="X230:Z230"/>
    <mergeCell ref="B229:D229"/>
    <mergeCell ref="E229:G229"/>
    <mergeCell ref="H229:M229"/>
    <mergeCell ref="N229:U229"/>
    <mergeCell ref="V229:W229"/>
    <mergeCell ref="X229:Z229"/>
    <mergeCell ref="B230:D230"/>
    <mergeCell ref="E230:G230"/>
    <mergeCell ref="H230:M230"/>
    <mergeCell ref="N230:U230"/>
    <mergeCell ref="V230:W230"/>
    <mergeCell ref="X232:Z232"/>
    <mergeCell ref="B231:D231"/>
    <mergeCell ref="E231:G231"/>
    <mergeCell ref="H231:M231"/>
    <mergeCell ref="N231:U231"/>
    <mergeCell ref="V231:W231"/>
    <mergeCell ref="X231:Z231"/>
    <mergeCell ref="B232:D232"/>
    <mergeCell ref="E232:G232"/>
    <mergeCell ref="H232:M232"/>
    <mergeCell ref="N232:U232"/>
    <mergeCell ref="V232:W232"/>
    <mergeCell ref="X234:Z234"/>
    <mergeCell ref="B233:D233"/>
    <mergeCell ref="E233:G233"/>
    <mergeCell ref="H233:M233"/>
    <mergeCell ref="N233:U233"/>
    <mergeCell ref="V233:W233"/>
    <mergeCell ref="X233:Z233"/>
    <mergeCell ref="B234:D234"/>
    <mergeCell ref="E234:G234"/>
    <mergeCell ref="H234:M234"/>
    <mergeCell ref="N234:U234"/>
    <mergeCell ref="V234:W234"/>
    <mergeCell ref="X236:Z236"/>
    <mergeCell ref="B235:D235"/>
    <mergeCell ref="E235:G235"/>
    <mergeCell ref="H235:M235"/>
    <mergeCell ref="N235:U235"/>
    <mergeCell ref="V235:W235"/>
    <mergeCell ref="X235:Z235"/>
    <mergeCell ref="B236:D236"/>
    <mergeCell ref="E236:G236"/>
    <mergeCell ref="H236:M236"/>
    <mergeCell ref="N236:U236"/>
    <mergeCell ref="V236:W236"/>
    <mergeCell ref="X238:Z238"/>
    <mergeCell ref="B237:D237"/>
    <mergeCell ref="E237:G237"/>
    <mergeCell ref="H237:M237"/>
    <mergeCell ref="N237:U237"/>
    <mergeCell ref="V237:W237"/>
    <mergeCell ref="X237:Z237"/>
    <mergeCell ref="B238:D238"/>
    <mergeCell ref="E238:G238"/>
    <mergeCell ref="H238:M238"/>
    <mergeCell ref="N238:U238"/>
    <mergeCell ref="V238:W238"/>
    <mergeCell ref="X240:Z240"/>
    <mergeCell ref="B239:D239"/>
    <mergeCell ref="E239:G239"/>
    <mergeCell ref="H239:M239"/>
    <mergeCell ref="N239:U239"/>
    <mergeCell ref="V239:W239"/>
    <mergeCell ref="X239:Z239"/>
    <mergeCell ref="B240:D240"/>
    <mergeCell ref="E240:G240"/>
    <mergeCell ref="H240:M240"/>
    <mergeCell ref="N240:U240"/>
    <mergeCell ref="V240:W240"/>
    <mergeCell ref="X242:Z242"/>
    <mergeCell ref="B241:D241"/>
    <mergeCell ref="E241:G241"/>
    <mergeCell ref="H241:M241"/>
    <mergeCell ref="N241:U241"/>
    <mergeCell ref="V241:W241"/>
    <mergeCell ref="X241:Z241"/>
    <mergeCell ref="B242:D242"/>
    <mergeCell ref="E242:G242"/>
    <mergeCell ref="H242:M242"/>
    <mergeCell ref="N242:U242"/>
    <mergeCell ref="V242:W242"/>
    <mergeCell ref="X244:Z244"/>
    <mergeCell ref="B243:D243"/>
    <mergeCell ref="E243:G243"/>
    <mergeCell ref="H243:M243"/>
    <mergeCell ref="N243:U243"/>
    <mergeCell ref="V243:W243"/>
    <mergeCell ref="X243:Z243"/>
    <mergeCell ref="B244:D244"/>
    <mergeCell ref="E244:G244"/>
    <mergeCell ref="H244:M244"/>
    <mergeCell ref="N244:U244"/>
    <mergeCell ref="V244:W244"/>
    <mergeCell ref="X246:Z246"/>
    <mergeCell ref="B245:D245"/>
    <mergeCell ref="E245:G245"/>
    <mergeCell ref="H245:M245"/>
    <mergeCell ref="N245:U245"/>
    <mergeCell ref="V245:W245"/>
    <mergeCell ref="X245:Z245"/>
    <mergeCell ref="B246:D246"/>
    <mergeCell ref="E246:G246"/>
    <mergeCell ref="H246:M246"/>
    <mergeCell ref="N246:U246"/>
    <mergeCell ref="V246:W246"/>
    <mergeCell ref="X248:Z248"/>
    <mergeCell ref="B247:D247"/>
    <mergeCell ref="E247:G247"/>
    <mergeCell ref="H247:M247"/>
    <mergeCell ref="N247:U247"/>
    <mergeCell ref="V247:W247"/>
    <mergeCell ref="X247:Z247"/>
    <mergeCell ref="B248:D248"/>
    <mergeCell ref="E248:G248"/>
    <mergeCell ref="H248:M248"/>
    <mergeCell ref="N248:U248"/>
    <mergeCell ref="V248:W248"/>
    <mergeCell ref="X250:Z250"/>
    <mergeCell ref="B249:D249"/>
    <mergeCell ref="E249:G249"/>
    <mergeCell ref="H249:M249"/>
    <mergeCell ref="N249:U249"/>
    <mergeCell ref="V249:W249"/>
    <mergeCell ref="X249:Z249"/>
    <mergeCell ref="B250:D250"/>
    <mergeCell ref="E250:G250"/>
    <mergeCell ref="H250:M250"/>
    <mergeCell ref="N250:U250"/>
    <mergeCell ref="V250:W250"/>
    <mergeCell ref="X252:Z252"/>
    <mergeCell ref="B251:D251"/>
    <mergeCell ref="E251:G251"/>
    <mergeCell ref="H251:M251"/>
    <mergeCell ref="N251:U251"/>
    <mergeCell ref="V251:W251"/>
    <mergeCell ref="X251:Z251"/>
    <mergeCell ref="B252:D252"/>
    <mergeCell ref="E252:G252"/>
    <mergeCell ref="H252:M252"/>
    <mergeCell ref="N252:U252"/>
    <mergeCell ref="V252:W252"/>
    <mergeCell ref="X254:Z254"/>
    <mergeCell ref="B253:D253"/>
    <mergeCell ref="E253:G253"/>
    <mergeCell ref="H253:M253"/>
    <mergeCell ref="N253:U253"/>
    <mergeCell ref="V253:W253"/>
    <mergeCell ref="X253:Z253"/>
    <mergeCell ref="B254:D254"/>
    <mergeCell ref="E254:G254"/>
    <mergeCell ref="H254:M254"/>
    <mergeCell ref="N254:U254"/>
    <mergeCell ref="V254:W254"/>
    <mergeCell ref="X256:Z256"/>
    <mergeCell ref="B255:D255"/>
    <mergeCell ref="E255:G255"/>
    <mergeCell ref="H255:M255"/>
    <mergeCell ref="N255:U255"/>
    <mergeCell ref="V255:W255"/>
    <mergeCell ref="X255:Z255"/>
    <mergeCell ref="B256:D256"/>
    <mergeCell ref="E256:G256"/>
    <mergeCell ref="H256:M256"/>
    <mergeCell ref="N256:U256"/>
    <mergeCell ref="V256:W256"/>
    <mergeCell ref="X258:Z258"/>
    <mergeCell ref="B257:D257"/>
    <mergeCell ref="E257:G257"/>
    <mergeCell ref="H257:M257"/>
    <mergeCell ref="N257:U257"/>
    <mergeCell ref="V257:W257"/>
    <mergeCell ref="X257:Z257"/>
    <mergeCell ref="B258:D258"/>
    <mergeCell ref="E258:G258"/>
    <mergeCell ref="H258:M258"/>
    <mergeCell ref="N258:U258"/>
    <mergeCell ref="V258:W258"/>
    <mergeCell ref="X260:Z260"/>
    <mergeCell ref="B259:D259"/>
    <mergeCell ref="E259:G259"/>
    <mergeCell ref="H259:M259"/>
    <mergeCell ref="N259:U259"/>
    <mergeCell ref="V259:W259"/>
    <mergeCell ref="X259:Z259"/>
    <mergeCell ref="B260:D260"/>
    <mergeCell ref="E260:G260"/>
    <mergeCell ref="H260:M260"/>
    <mergeCell ref="N260:U260"/>
    <mergeCell ref="V260:W260"/>
    <mergeCell ref="X262:Z262"/>
    <mergeCell ref="B261:D261"/>
    <mergeCell ref="E261:G261"/>
    <mergeCell ref="H261:M261"/>
    <mergeCell ref="N261:U261"/>
    <mergeCell ref="V261:W261"/>
    <mergeCell ref="X261:Z261"/>
    <mergeCell ref="B262:D262"/>
    <mergeCell ref="E262:G262"/>
    <mergeCell ref="H262:M262"/>
    <mergeCell ref="N262:U262"/>
    <mergeCell ref="V262:W262"/>
    <mergeCell ref="X264:Z264"/>
    <mergeCell ref="B263:D263"/>
    <mergeCell ref="E263:G263"/>
    <mergeCell ref="H263:M263"/>
    <mergeCell ref="N263:U263"/>
    <mergeCell ref="V263:W263"/>
    <mergeCell ref="X263:Z263"/>
    <mergeCell ref="B264:D264"/>
    <mergeCell ref="E264:G264"/>
    <mergeCell ref="H264:M264"/>
    <mergeCell ref="N264:U264"/>
    <mergeCell ref="V264:W264"/>
    <mergeCell ref="X266:Z266"/>
    <mergeCell ref="B265:D265"/>
    <mergeCell ref="E265:G265"/>
    <mergeCell ref="H265:M265"/>
    <mergeCell ref="N265:U265"/>
    <mergeCell ref="V265:W265"/>
    <mergeCell ref="X265:Z265"/>
    <mergeCell ref="B266:D266"/>
    <mergeCell ref="E266:G266"/>
    <mergeCell ref="H266:M266"/>
    <mergeCell ref="N266:U266"/>
    <mergeCell ref="V266:W266"/>
    <mergeCell ref="X268:Z268"/>
    <mergeCell ref="B267:D267"/>
    <mergeCell ref="E267:G267"/>
    <mergeCell ref="H267:M267"/>
    <mergeCell ref="N267:U267"/>
    <mergeCell ref="V267:W267"/>
    <mergeCell ref="X267:Z267"/>
    <mergeCell ref="B268:D268"/>
    <mergeCell ref="E268:G268"/>
    <mergeCell ref="H268:M268"/>
    <mergeCell ref="N268:U268"/>
    <mergeCell ref="V268:W268"/>
    <mergeCell ref="X270:Z270"/>
    <mergeCell ref="B269:D269"/>
    <mergeCell ref="E269:G269"/>
    <mergeCell ref="H269:M269"/>
    <mergeCell ref="N269:U269"/>
    <mergeCell ref="V269:W269"/>
    <mergeCell ref="X269:Z269"/>
    <mergeCell ref="B270:D270"/>
    <mergeCell ref="E270:G270"/>
    <mergeCell ref="H270:M270"/>
    <mergeCell ref="N270:U270"/>
    <mergeCell ref="V270:W270"/>
    <mergeCell ref="X272:Z272"/>
    <mergeCell ref="B271:D271"/>
    <mergeCell ref="E271:G271"/>
    <mergeCell ref="H271:M271"/>
    <mergeCell ref="N271:U271"/>
    <mergeCell ref="V271:W271"/>
    <mergeCell ref="X271:Z271"/>
    <mergeCell ref="B272:D272"/>
    <mergeCell ref="E272:G272"/>
    <mergeCell ref="H272:M272"/>
    <mergeCell ref="N272:U272"/>
    <mergeCell ref="V272:W272"/>
    <mergeCell ref="X274:Z274"/>
    <mergeCell ref="B273:D273"/>
    <mergeCell ref="E273:G273"/>
    <mergeCell ref="H273:M273"/>
    <mergeCell ref="N273:U273"/>
    <mergeCell ref="V273:W273"/>
    <mergeCell ref="X273:Z273"/>
    <mergeCell ref="B274:D274"/>
    <mergeCell ref="E274:G274"/>
    <mergeCell ref="H274:M274"/>
    <mergeCell ref="N274:U274"/>
    <mergeCell ref="V274:W274"/>
    <mergeCell ref="X276:Z276"/>
    <mergeCell ref="B275:D275"/>
    <mergeCell ref="E275:G275"/>
    <mergeCell ref="H275:M275"/>
    <mergeCell ref="N275:U275"/>
    <mergeCell ref="V275:W275"/>
    <mergeCell ref="X275:Z275"/>
    <mergeCell ref="B276:D276"/>
    <mergeCell ref="E276:G276"/>
    <mergeCell ref="H276:M276"/>
    <mergeCell ref="N276:U276"/>
    <mergeCell ref="V276:W276"/>
    <mergeCell ref="X278:Z278"/>
    <mergeCell ref="B277:D277"/>
    <mergeCell ref="E277:G277"/>
    <mergeCell ref="H277:M277"/>
    <mergeCell ref="N277:U277"/>
    <mergeCell ref="V277:W277"/>
    <mergeCell ref="X277:Z277"/>
    <mergeCell ref="B278:D278"/>
    <mergeCell ref="E278:G278"/>
    <mergeCell ref="H278:M278"/>
    <mergeCell ref="N278:U278"/>
    <mergeCell ref="V278:W278"/>
    <mergeCell ref="X280:Z280"/>
    <mergeCell ref="B279:D279"/>
    <mergeCell ref="E279:G279"/>
    <mergeCell ref="H279:M279"/>
    <mergeCell ref="N279:U279"/>
    <mergeCell ref="V279:W279"/>
    <mergeCell ref="X279:Z279"/>
    <mergeCell ref="B280:D280"/>
    <mergeCell ref="E280:G280"/>
    <mergeCell ref="H280:M280"/>
    <mergeCell ref="N280:U280"/>
    <mergeCell ref="V280:W280"/>
    <mergeCell ref="X282:Z282"/>
    <mergeCell ref="B281:D281"/>
    <mergeCell ref="E281:G281"/>
    <mergeCell ref="H281:M281"/>
    <mergeCell ref="N281:U281"/>
    <mergeCell ref="V281:W281"/>
    <mergeCell ref="X281:Z281"/>
    <mergeCell ref="B282:D282"/>
    <mergeCell ref="E282:G282"/>
    <mergeCell ref="H282:M282"/>
    <mergeCell ref="N282:U282"/>
    <mergeCell ref="V282:W282"/>
    <mergeCell ref="X284:Z284"/>
    <mergeCell ref="B283:D283"/>
    <mergeCell ref="E283:G283"/>
    <mergeCell ref="H283:M283"/>
    <mergeCell ref="N283:U283"/>
    <mergeCell ref="V283:W283"/>
    <mergeCell ref="X283:Z283"/>
    <mergeCell ref="B284:D284"/>
    <mergeCell ref="E284:G284"/>
    <mergeCell ref="H284:M284"/>
    <mergeCell ref="N284:U284"/>
    <mergeCell ref="V284:W284"/>
    <mergeCell ref="X286:Z286"/>
    <mergeCell ref="B285:D285"/>
    <mergeCell ref="E285:G285"/>
    <mergeCell ref="H285:M285"/>
    <mergeCell ref="N285:U285"/>
    <mergeCell ref="V285:W285"/>
    <mergeCell ref="X285:Z285"/>
    <mergeCell ref="B286:D286"/>
    <mergeCell ref="E286:G286"/>
    <mergeCell ref="H286:M286"/>
    <mergeCell ref="N286:U286"/>
    <mergeCell ref="V286:W286"/>
    <mergeCell ref="X288:Z288"/>
    <mergeCell ref="B287:D287"/>
    <mergeCell ref="E287:G287"/>
    <mergeCell ref="H287:M287"/>
    <mergeCell ref="N287:U287"/>
    <mergeCell ref="V287:W287"/>
    <mergeCell ref="X287:Z287"/>
    <mergeCell ref="B288:D288"/>
    <mergeCell ref="E288:G288"/>
    <mergeCell ref="H288:M288"/>
    <mergeCell ref="N288:U288"/>
    <mergeCell ref="V288:W288"/>
    <mergeCell ref="X290:Z290"/>
    <mergeCell ref="B289:D289"/>
    <mergeCell ref="E289:G289"/>
    <mergeCell ref="H289:M289"/>
    <mergeCell ref="N289:U289"/>
    <mergeCell ref="V289:W289"/>
    <mergeCell ref="X289:Z289"/>
    <mergeCell ref="B290:D290"/>
    <mergeCell ref="E290:G290"/>
    <mergeCell ref="H290:M290"/>
    <mergeCell ref="N290:U290"/>
    <mergeCell ref="V290:W290"/>
    <mergeCell ref="X292:Z292"/>
    <mergeCell ref="B291:D291"/>
    <mergeCell ref="E291:G291"/>
    <mergeCell ref="H291:M291"/>
    <mergeCell ref="N291:U291"/>
    <mergeCell ref="V291:W291"/>
    <mergeCell ref="X291:Z291"/>
    <mergeCell ref="B292:D292"/>
    <mergeCell ref="E292:G292"/>
    <mergeCell ref="H292:M292"/>
    <mergeCell ref="N292:U292"/>
    <mergeCell ref="V292:W292"/>
    <mergeCell ref="X294:Z294"/>
    <mergeCell ref="B293:D293"/>
    <mergeCell ref="E293:G293"/>
    <mergeCell ref="H293:M293"/>
    <mergeCell ref="N293:U293"/>
    <mergeCell ref="V293:W293"/>
    <mergeCell ref="X293:Z293"/>
    <mergeCell ref="B294:D294"/>
    <mergeCell ref="E294:G294"/>
    <mergeCell ref="H294:M294"/>
    <mergeCell ref="N294:U294"/>
    <mergeCell ref="V294:W294"/>
    <mergeCell ref="X296:Z296"/>
    <mergeCell ref="B295:D295"/>
    <mergeCell ref="E295:G295"/>
    <mergeCell ref="H295:M295"/>
    <mergeCell ref="N295:U295"/>
    <mergeCell ref="V295:W295"/>
    <mergeCell ref="X295:Z295"/>
    <mergeCell ref="B296:D296"/>
    <mergeCell ref="E296:G296"/>
    <mergeCell ref="H296:M296"/>
    <mergeCell ref="N296:U296"/>
    <mergeCell ref="V296:W296"/>
    <mergeCell ref="X298:Z298"/>
    <mergeCell ref="B297:D297"/>
    <mergeCell ref="E297:G297"/>
    <mergeCell ref="H297:M297"/>
    <mergeCell ref="N297:U297"/>
    <mergeCell ref="V297:W297"/>
    <mergeCell ref="X297:Z297"/>
    <mergeCell ref="B298:D298"/>
    <mergeCell ref="E298:G298"/>
    <mergeCell ref="H298:M298"/>
    <mergeCell ref="N298:U298"/>
    <mergeCell ref="V298:W298"/>
    <mergeCell ref="X300:Z300"/>
    <mergeCell ref="B299:D299"/>
    <mergeCell ref="E299:G299"/>
    <mergeCell ref="H299:M299"/>
    <mergeCell ref="N299:U299"/>
    <mergeCell ref="V299:W299"/>
    <mergeCell ref="X299:Z299"/>
    <mergeCell ref="B300:D300"/>
    <mergeCell ref="E300:G300"/>
    <mergeCell ref="H300:M300"/>
    <mergeCell ref="N300:U300"/>
    <mergeCell ref="V300:W300"/>
    <mergeCell ref="X302:Z302"/>
    <mergeCell ref="B301:D301"/>
    <mergeCell ref="E301:G301"/>
    <mergeCell ref="H301:M301"/>
    <mergeCell ref="N301:U301"/>
    <mergeCell ref="V301:W301"/>
    <mergeCell ref="X301:Z301"/>
    <mergeCell ref="B302:D302"/>
    <mergeCell ref="E302:G302"/>
    <mergeCell ref="H302:M302"/>
    <mergeCell ref="N302:U302"/>
    <mergeCell ref="V302:W302"/>
    <mergeCell ref="X304:Z304"/>
    <mergeCell ref="B303:D303"/>
    <mergeCell ref="E303:G303"/>
    <mergeCell ref="H303:M303"/>
    <mergeCell ref="N303:U303"/>
    <mergeCell ref="V303:W303"/>
    <mergeCell ref="X303:Z303"/>
    <mergeCell ref="B304:D304"/>
    <mergeCell ref="E304:G304"/>
    <mergeCell ref="H304:M304"/>
    <mergeCell ref="N304:U304"/>
    <mergeCell ref="V304:W304"/>
    <mergeCell ref="X306:Z306"/>
    <mergeCell ref="B305:D305"/>
    <mergeCell ref="E305:G305"/>
    <mergeCell ref="H305:M305"/>
    <mergeCell ref="N305:U305"/>
    <mergeCell ref="V305:W305"/>
    <mergeCell ref="X305:Z305"/>
    <mergeCell ref="B306:D306"/>
    <mergeCell ref="E306:G306"/>
    <mergeCell ref="H306:M306"/>
    <mergeCell ref="N306:U306"/>
    <mergeCell ref="V306:W306"/>
    <mergeCell ref="X308:Z308"/>
    <mergeCell ref="B307:D307"/>
    <mergeCell ref="E307:G307"/>
    <mergeCell ref="H307:M307"/>
    <mergeCell ref="N307:U307"/>
    <mergeCell ref="V307:W307"/>
    <mergeCell ref="X307:Z307"/>
    <mergeCell ref="B308:D308"/>
    <mergeCell ref="E308:G308"/>
    <mergeCell ref="H308:M308"/>
    <mergeCell ref="N308:U308"/>
    <mergeCell ref="V308:W308"/>
    <mergeCell ref="X310:Z310"/>
    <mergeCell ref="B309:D309"/>
    <mergeCell ref="E309:G309"/>
    <mergeCell ref="H309:M309"/>
    <mergeCell ref="N309:U309"/>
    <mergeCell ref="V309:W309"/>
    <mergeCell ref="X309:Z309"/>
    <mergeCell ref="B310:D310"/>
    <mergeCell ref="E310:G310"/>
    <mergeCell ref="H310:M310"/>
    <mergeCell ref="N310:U310"/>
    <mergeCell ref="V310:W310"/>
    <mergeCell ref="X312:Z312"/>
    <mergeCell ref="B311:D311"/>
    <mergeCell ref="E311:G311"/>
    <mergeCell ref="H311:M311"/>
    <mergeCell ref="N311:U311"/>
    <mergeCell ref="V311:W311"/>
    <mergeCell ref="X311:Z311"/>
    <mergeCell ref="B312:D312"/>
    <mergeCell ref="E312:G312"/>
    <mergeCell ref="H312:M312"/>
    <mergeCell ref="N312:U312"/>
    <mergeCell ref="V312:W312"/>
    <mergeCell ref="X314:Z314"/>
    <mergeCell ref="B313:D313"/>
    <mergeCell ref="E313:G313"/>
    <mergeCell ref="H313:M313"/>
    <mergeCell ref="N313:U313"/>
    <mergeCell ref="V313:W313"/>
    <mergeCell ref="X313:Z313"/>
    <mergeCell ref="B314:D314"/>
    <mergeCell ref="E314:G314"/>
    <mergeCell ref="H314:M314"/>
    <mergeCell ref="N314:U314"/>
    <mergeCell ref="V314:W314"/>
    <mergeCell ref="X316:Z316"/>
    <mergeCell ref="B315:D315"/>
    <mergeCell ref="E315:G315"/>
    <mergeCell ref="H315:M315"/>
    <mergeCell ref="N315:U315"/>
    <mergeCell ref="V315:W315"/>
    <mergeCell ref="X315:Z315"/>
    <mergeCell ref="B316:D316"/>
    <mergeCell ref="E316:G316"/>
    <mergeCell ref="H316:M316"/>
    <mergeCell ref="N316:U316"/>
    <mergeCell ref="V316:W316"/>
    <mergeCell ref="X318:Z318"/>
    <mergeCell ref="B317:D317"/>
    <mergeCell ref="E317:G317"/>
    <mergeCell ref="H317:M317"/>
    <mergeCell ref="N317:U317"/>
    <mergeCell ref="V317:W317"/>
    <mergeCell ref="X317:Z317"/>
    <mergeCell ref="B318:D318"/>
    <mergeCell ref="E318:G318"/>
    <mergeCell ref="H318:M318"/>
    <mergeCell ref="N318:U318"/>
    <mergeCell ref="V318:W318"/>
    <mergeCell ref="X320:Z320"/>
    <mergeCell ref="B319:D319"/>
    <mergeCell ref="E319:G319"/>
    <mergeCell ref="H319:M319"/>
    <mergeCell ref="N319:U319"/>
    <mergeCell ref="V319:W319"/>
    <mergeCell ref="X319:Z319"/>
    <mergeCell ref="B320:D320"/>
    <mergeCell ref="E320:G320"/>
    <mergeCell ref="H320:M320"/>
    <mergeCell ref="N320:U320"/>
    <mergeCell ref="V320:W320"/>
    <mergeCell ref="X322:Z322"/>
    <mergeCell ref="B321:D321"/>
    <mergeCell ref="E321:G321"/>
    <mergeCell ref="H321:M321"/>
    <mergeCell ref="N321:U321"/>
    <mergeCell ref="V321:W321"/>
    <mergeCell ref="X321:Z321"/>
    <mergeCell ref="B322:D322"/>
    <mergeCell ref="E322:G322"/>
    <mergeCell ref="H322:M322"/>
    <mergeCell ref="N322:U322"/>
    <mergeCell ref="V322:W322"/>
    <mergeCell ref="X324:Z324"/>
    <mergeCell ref="B323:D323"/>
    <mergeCell ref="E323:G323"/>
    <mergeCell ref="H323:M323"/>
    <mergeCell ref="N323:U323"/>
    <mergeCell ref="V323:W323"/>
    <mergeCell ref="X323:Z323"/>
    <mergeCell ref="B324:D324"/>
    <mergeCell ref="E324:G324"/>
    <mergeCell ref="H324:M324"/>
    <mergeCell ref="N324:U324"/>
    <mergeCell ref="V324:W324"/>
    <mergeCell ref="X326:Z326"/>
    <mergeCell ref="B325:D325"/>
    <mergeCell ref="E325:G325"/>
    <mergeCell ref="H325:M325"/>
    <mergeCell ref="N325:U325"/>
    <mergeCell ref="V325:W325"/>
    <mergeCell ref="X325:Z325"/>
    <mergeCell ref="B326:D326"/>
    <mergeCell ref="E326:G326"/>
    <mergeCell ref="H326:M326"/>
    <mergeCell ref="N326:U326"/>
    <mergeCell ref="V326:W326"/>
    <mergeCell ref="X328:Z328"/>
    <mergeCell ref="B327:D327"/>
    <mergeCell ref="E327:G327"/>
    <mergeCell ref="H327:M327"/>
    <mergeCell ref="N327:U327"/>
    <mergeCell ref="V327:W327"/>
    <mergeCell ref="X327:Z327"/>
    <mergeCell ref="B328:D328"/>
    <mergeCell ref="E328:G328"/>
    <mergeCell ref="H328:M328"/>
    <mergeCell ref="N328:U328"/>
    <mergeCell ref="V328:W328"/>
    <mergeCell ref="X330:Z330"/>
    <mergeCell ref="B329:D329"/>
    <mergeCell ref="E329:G329"/>
    <mergeCell ref="H329:M329"/>
    <mergeCell ref="N329:U329"/>
    <mergeCell ref="V329:W329"/>
    <mergeCell ref="X329:Z329"/>
    <mergeCell ref="B330:D330"/>
    <mergeCell ref="E330:G330"/>
    <mergeCell ref="H330:M330"/>
    <mergeCell ref="N330:U330"/>
    <mergeCell ref="V330:W330"/>
    <mergeCell ref="X332:Z332"/>
    <mergeCell ref="B331:D331"/>
    <mergeCell ref="E331:G331"/>
    <mergeCell ref="H331:M331"/>
    <mergeCell ref="N331:U331"/>
    <mergeCell ref="V331:W331"/>
    <mergeCell ref="X331:Z331"/>
    <mergeCell ref="B332:D332"/>
    <mergeCell ref="E332:G332"/>
    <mergeCell ref="H332:M332"/>
    <mergeCell ref="N332:U332"/>
    <mergeCell ref="V332:W332"/>
    <mergeCell ref="X334:Z334"/>
    <mergeCell ref="B333:D333"/>
    <mergeCell ref="E333:G333"/>
    <mergeCell ref="H333:M333"/>
    <mergeCell ref="N333:U333"/>
    <mergeCell ref="V333:W333"/>
    <mergeCell ref="X333:Z333"/>
    <mergeCell ref="B334:D334"/>
    <mergeCell ref="E334:G334"/>
    <mergeCell ref="H334:M334"/>
    <mergeCell ref="N334:U334"/>
    <mergeCell ref="V334:W334"/>
    <mergeCell ref="X336:Z336"/>
    <mergeCell ref="B335:D335"/>
    <mergeCell ref="E335:G335"/>
    <mergeCell ref="H335:M335"/>
    <mergeCell ref="N335:U335"/>
    <mergeCell ref="V335:W335"/>
    <mergeCell ref="X335:Z335"/>
    <mergeCell ref="B336:D336"/>
    <mergeCell ref="E336:G336"/>
    <mergeCell ref="H336:M336"/>
    <mergeCell ref="N336:U336"/>
    <mergeCell ref="V336:W336"/>
    <mergeCell ref="X338:Z338"/>
    <mergeCell ref="B337:D337"/>
    <mergeCell ref="E337:G337"/>
    <mergeCell ref="H337:M337"/>
    <mergeCell ref="N337:U337"/>
    <mergeCell ref="V337:W337"/>
    <mergeCell ref="X337:Z337"/>
    <mergeCell ref="B338:D338"/>
    <mergeCell ref="E338:G338"/>
    <mergeCell ref="H338:M338"/>
    <mergeCell ref="N338:U338"/>
    <mergeCell ref="V338:W338"/>
    <mergeCell ref="X340:Z340"/>
    <mergeCell ref="B339:D339"/>
    <mergeCell ref="E339:G339"/>
    <mergeCell ref="H339:M339"/>
    <mergeCell ref="N339:U339"/>
    <mergeCell ref="V339:W339"/>
    <mergeCell ref="X339:Z339"/>
    <mergeCell ref="B340:D340"/>
    <mergeCell ref="E340:G340"/>
    <mergeCell ref="H340:M340"/>
    <mergeCell ref="N340:U340"/>
    <mergeCell ref="V340:W340"/>
    <mergeCell ref="X342:Z342"/>
    <mergeCell ref="B341:D341"/>
    <mergeCell ref="E341:G341"/>
    <mergeCell ref="H341:M341"/>
    <mergeCell ref="N341:U341"/>
    <mergeCell ref="V341:W341"/>
    <mergeCell ref="X341:Z341"/>
    <mergeCell ref="B342:D342"/>
    <mergeCell ref="E342:G342"/>
    <mergeCell ref="H342:M342"/>
    <mergeCell ref="N342:U342"/>
    <mergeCell ref="V342:W342"/>
    <mergeCell ref="X344:Z344"/>
    <mergeCell ref="B343:D343"/>
    <mergeCell ref="E343:G343"/>
    <mergeCell ref="H343:M343"/>
    <mergeCell ref="N343:U343"/>
    <mergeCell ref="V343:W343"/>
    <mergeCell ref="X343:Z343"/>
    <mergeCell ref="B344:D344"/>
    <mergeCell ref="E344:G344"/>
    <mergeCell ref="H344:M344"/>
    <mergeCell ref="N344:U344"/>
    <mergeCell ref="V344:W344"/>
    <mergeCell ref="X346:Z346"/>
    <mergeCell ref="B345:D345"/>
    <mergeCell ref="E345:G345"/>
    <mergeCell ref="H345:M345"/>
    <mergeCell ref="N345:U345"/>
    <mergeCell ref="V345:W345"/>
    <mergeCell ref="X345:Z345"/>
    <mergeCell ref="B346:D346"/>
    <mergeCell ref="E346:G346"/>
    <mergeCell ref="H346:M346"/>
    <mergeCell ref="N346:U346"/>
    <mergeCell ref="V346:W346"/>
    <mergeCell ref="X348:Z348"/>
    <mergeCell ref="B347:D347"/>
    <mergeCell ref="E347:G347"/>
    <mergeCell ref="H347:M347"/>
    <mergeCell ref="N347:U347"/>
    <mergeCell ref="V347:W347"/>
    <mergeCell ref="X347:Z347"/>
    <mergeCell ref="B348:D348"/>
    <mergeCell ref="E348:G348"/>
    <mergeCell ref="H348:M348"/>
    <mergeCell ref="N348:U348"/>
    <mergeCell ref="V348:W348"/>
    <mergeCell ref="X350:Z350"/>
    <mergeCell ref="B349:D349"/>
    <mergeCell ref="E349:G349"/>
    <mergeCell ref="H349:M349"/>
    <mergeCell ref="N349:U349"/>
    <mergeCell ref="V349:W349"/>
    <mergeCell ref="X349:Z349"/>
    <mergeCell ref="B350:D350"/>
    <mergeCell ref="E350:G350"/>
    <mergeCell ref="H350:M350"/>
    <mergeCell ref="N350:U350"/>
    <mergeCell ref="V350:W350"/>
    <mergeCell ref="X352:Z352"/>
    <mergeCell ref="B351:D351"/>
    <mergeCell ref="E351:G351"/>
    <mergeCell ref="H351:M351"/>
    <mergeCell ref="N351:U351"/>
    <mergeCell ref="V351:W351"/>
    <mergeCell ref="X351:Z351"/>
    <mergeCell ref="B352:D352"/>
    <mergeCell ref="E352:G352"/>
    <mergeCell ref="H352:M352"/>
    <mergeCell ref="N352:U352"/>
    <mergeCell ref="V352:W352"/>
    <mergeCell ref="X354:Z354"/>
    <mergeCell ref="B353:D353"/>
    <mergeCell ref="E353:G353"/>
    <mergeCell ref="H353:M353"/>
    <mergeCell ref="N353:U353"/>
    <mergeCell ref="V353:W353"/>
    <mergeCell ref="X353:Z353"/>
    <mergeCell ref="B354:D354"/>
    <mergeCell ref="E354:G354"/>
    <mergeCell ref="H354:M354"/>
    <mergeCell ref="N354:U354"/>
    <mergeCell ref="V354:W354"/>
    <mergeCell ref="X356:Z356"/>
    <mergeCell ref="B355:D355"/>
    <mergeCell ref="E355:G355"/>
    <mergeCell ref="H355:M355"/>
    <mergeCell ref="N355:U355"/>
    <mergeCell ref="V355:W355"/>
    <mergeCell ref="X355:Z355"/>
    <mergeCell ref="B356:D356"/>
    <mergeCell ref="E356:G356"/>
    <mergeCell ref="H356:M356"/>
    <mergeCell ref="N356:U356"/>
    <mergeCell ref="V356:W356"/>
    <mergeCell ref="X358:Z358"/>
    <mergeCell ref="B357:D357"/>
    <mergeCell ref="E357:G357"/>
    <mergeCell ref="H357:M357"/>
    <mergeCell ref="N357:U357"/>
    <mergeCell ref="V357:W357"/>
    <mergeCell ref="X357:Z357"/>
    <mergeCell ref="B358:D358"/>
    <mergeCell ref="E358:G358"/>
    <mergeCell ref="H358:M358"/>
    <mergeCell ref="N358:U358"/>
    <mergeCell ref="V358:W358"/>
    <mergeCell ref="X360:Z360"/>
    <mergeCell ref="B359:D359"/>
    <mergeCell ref="E359:G359"/>
    <mergeCell ref="H359:M359"/>
    <mergeCell ref="N359:U359"/>
    <mergeCell ref="V359:W359"/>
    <mergeCell ref="X359:Z359"/>
    <mergeCell ref="B360:D360"/>
    <mergeCell ref="E360:G360"/>
    <mergeCell ref="H360:M360"/>
    <mergeCell ref="N360:U360"/>
    <mergeCell ref="V360:W360"/>
    <mergeCell ref="X362:Z362"/>
    <mergeCell ref="B361:D361"/>
    <mergeCell ref="E361:G361"/>
    <mergeCell ref="H361:M361"/>
    <mergeCell ref="N361:U361"/>
    <mergeCell ref="V361:W361"/>
    <mergeCell ref="X361:Z361"/>
    <mergeCell ref="B362:D362"/>
    <mergeCell ref="E362:G362"/>
    <mergeCell ref="H362:M362"/>
    <mergeCell ref="N362:U362"/>
    <mergeCell ref="V362:W362"/>
    <mergeCell ref="X364:Z364"/>
    <mergeCell ref="B363:D363"/>
    <mergeCell ref="E363:G363"/>
    <mergeCell ref="H363:M363"/>
    <mergeCell ref="N363:U363"/>
    <mergeCell ref="V363:W363"/>
    <mergeCell ref="X363:Z363"/>
    <mergeCell ref="B364:D364"/>
    <mergeCell ref="E364:G364"/>
    <mergeCell ref="H364:M364"/>
    <mergeCell ref="N364:U364"/>
    <mergeCell ref="V364:W364"/>
    <mergeCell ref="X366:Z366"/>
    <mergeCell ref="B365:D365"/>
    <mergeCell ref="E365:G365"/>
    <mergeCell ref="H365:M365"/>
    <mergeCell ref="N365:U365"/>
    <mergeCell ref="V365:W365"/>
    <mergeCell ref="X365:Z365"/>
    <mergeCell ref="B366:D366"/>
    <mergeCell ref="E366:G366"/>
    <mergeCell ref="H366:M366"/>
    <mergeCell ref="N366:U366"/>
    <mergeCell ref="V366:W366"/>
    <mergeCell ref="X368:Z368"/>
    <mergeCell ref="B367:D367"/>
    <mergeCell ref="E367:G367"/>
    <mergeCell ref="H367:M367"/>
    <mergeCell ref="N367:U367"/>
    <mergeCell ref="V367:W367"/>
    <mergeCell ref="X367:Z367"/>
    <mergeCell ref="B368:D368"/>
    <mergeCell ref="E368:G368"/>
    <mergeCell ref="H368:M368"/>
    <mergeCell ref="N368:U368"/>
    <mergeCell ref="V368:W368"/>
    <mergeCell ref="X370:Z370"/>
    <mergeCell ref="B369:D369"/>
    <mergeCell ref="E369:G369"/>
    <mergeCell ref="H369:M369"/>
    <mergeCell ref="N369:U369"/>
    <mergeCell ref="V369:W369"/>
    <mergeCell ref="X369:Z369"/>
    <mergeCell ref="B370:D370"/>
    <mergeCell ref="E370:G370"/>
    <mergeCell ref="H370:M370"/>
    <mergeCell ref="N370:U370"/>
    <mergeCell ref="V370:W370"/>
    <mergeCell ref="X372:Z372"/>
    <mergeCell ref="B371:D371"/>
    <mergeCell ref="E371:G371"/>
    <mergeCell ref="H371:M371"/>
    <mergeCell ref="N371:U371"/>
    <mergeCell ref="V371:W371"/>
    <mergeCell ref="X371:Z371"/>
    <mergeCell ref="B372:D372"/>
    <mergeCell ref="E372:G372"/>
    <mergeCell ref="H372:M372"/>
    <mergeCell ref="N372:U372"/>
    <mergeCell ref="V372:W372"/>
    <mergeCell ref="X374:Z374"/>
    <mergeCell ref="B373:D373"/>
    <mergeCell ref="E373:G373"/>
    <mergeCell ref="H373:M373"/>
    <mergeCell ref="N373:U373"/>
    <mergeCell ref="V373:W373"/>
    <mergeCell ref="X373:Z373"/>
    <mergeCell ref="B374:D374"/>
    <mergeCell ref="E374:G374"/>
    <mergeCell ref="H374:M374"/>
    <mergeCell ref="N374:U374"/>
    <mergeCell ref="V374:W374"/>
    <mergeCell ref="X376:Z376"/>
    <mergeCell ref="B375:D375"/>
    <mergeCell ref="E375:G375"/>
    <mergeCell ref="H375:M375"/>
    <mergeCell ref="N375:U375"/>
    <mergeCell ref="V375:W375"/>
    <mergeCell ref="X375:Z375"/>
    <mergeCell ref="B376:D376"/>
    <mergeCell ref="E376:G376"/>
    <mergeCell ref="H376:M376"/>
    <mergeCell ref="N376:U376"/>
    <mergeCell ref="V376:W376"/>
    <mergeCell ref="X378:Z378"/>
    <mergeCell ref="B377:D377"/>
    <mergeCell ref="E377:G377"/>
    <mergeCell ref="H377:M377"/>
    <mergeCell ref="N377:U377"/>
    <mergeCell ref="V377:W377"/>
    <mergeCell ref="X377:Z377"/>
    <mergeCell ref="B378:D378"/>
    <mergeCell ref="E378:G378"/>
    <mergeCell ref="H378:M378"/>
    <mergeCell ref="N378:U378"/>
    <mergeCell ref="V378:W378"/>
    <mergeCell ref="X380:Z380"/>
    <mergeCell ref="B379:D379"/>
    <mergeCell ref="E379:G379"/>
    <mergeCell ref="H379:M379"/>
    <mergeCell ref="N379:U379"/>
    <mergeCell ref="V379:W379"/>
    <mergeCell ref="X379:Z379"/>
    <mergeCell ref="B380:D380"/>
    <mergeCell ref="E380:G380"/>
    <mergeCell ref="H380:M380"/>
    <mergeCell ref="N380:U380"/>
    <mergeCell ref="V380:W380"/>
    <mergeCell ref="X382:Z382"/>
    <mergeCell ref="B381:D381"/>
    <mergeCell ref="E381:G381"/>
    <mergeCell ref="H381:M381"/>
    <mergeCell ref="N381:U381"/>
    <mergeCell ref="V381:W381"/>
    <mergeCell ref="X381:Z381"/>
    <mergeCell ref="B382:D382"/>
    <mergeCell ref="E382:G382"/>
    <mergeCell ref="H382:M382"/>
    <mergeCell ref="N382:U382"/>
    <mergeCell ref="V382:W382"/>
    <mergeCell ref="X384:Z384"/>
    <mergeCell ref="B383:D383"/>
    <mergeCell ref="E383:G383"/>
    <mergeCell ref="H383:M383"/>
    <mergeCell ref="N383:U383"/>
    <mergeCell ref="V383:W383"/>
    <mergeCell ref="X383:Z383"/>
    <mergeCell ref="B384:D384"/>
    <mergeCell ref="E384:G384"/>
    <mergeCell ref="H384:M384"/>
    <mergeCell ref="N384:U384"/>
    <mergeCell ref="V384:W384"/>
    <mergeCell ref="X386:Z386"/>
    <mergeCell ref="B385:D385"/>
    <mergeCell ref="E385:G385"/>
    <mergeCell ref="H385:M385"/>
    <mergeCell ref="N385:U385"/>
    <mergeCell ref="V385:W385"/>
    <mergeCell ref="X385:Z385"/>
    <mergeCell ref="B386:D386"/>
    <mergeCell ref="E386:G386"/>
    <mergeCell ref="H386:M386"/>
    <mergeCell ref="N386:U386"/>
    <mergeCell ref="V386:W386"/>
    <mergeCell ref="X388:Z388"/>
    <mergeCell ref="B387:D387"/>
    <mergeCell ref="E387:G387"/>
    <mergeCell ref="H387:M387"/>
    <mergeCell ref="N387:U387"/>
    <mergeCell ref="V387:W387"/>
    <mergeCell ref="X387:Z387"/>
    <mergeCell ref="B388:D388"/>
    <mergeCell ref="E388:G388"/>
    <mergeCell ref="H388:M388"/>
    <mergeCell ref="N388:U388"/>
    <mergeCell ref="V388:W388"/>
    <mergeCell ref="X390:Z390"/>
    <mergeCell ref="B389:D389"/>
    <mergeCell ref="E389:G389"/>
    <mergeCell ref="H389:M389"/>
    <mergeCell ref="N389:U389"/>
    <mergeCell ref="V389:W389"/>
    <mergeCell ref="X389:Z389"/>
    <mergeCell ref="B390:D390"/>
    <mergeCell ref="E390:G390"/>
    <mergeCell ref="H390:M390"/>
    <mergeCell ref="N390:U390"/>
    <mergeCell ref="V390:W390"/>
    <mergeCell ref="X392:Z392"/>
    <mergeCell ref="B391:D391"/>
    <mergeCell ref="E391:G391"/>
    <mergeCell ref="H391:M391"/>
    <mergeCell ref="N391:U391"/>
    <mergeCell ref="V391:W391"/>
    <mergeCell ref="X391:Z391"/>
    <mergeCell ref="B392:D392"/>
    <mergeCell ref="E392:G392"/>
    <mergeCell ref="H392:M392"/>
    <mergeCell ref="N392:U392"/>
    <mergeCell ref="V392:W392"/>
    <mergeCell ref="X394:Z394"/>
    <mergeCell ref="B393:D393"/>
    <mergeCell ref="E393:G393"/>
    <mergeCell ref="H393:M393"/>
    <mergeCell ref="N393:U393"/>
    <mergeCell ref="V393:W393"/>
    <mergeCell ref="X393:Z393"/>
    <mergeCell ref="B394:D394"/>
    <mergeCell ref="E394:G394"/>
    <mergeCell ref="H394:M394"/>
    <mergeCell ref="N394:U394"/>
    <mergeCell ref="V394:W394"/>
    <mergeCell ref="X396:Z396"/>
    <mergeCell ref="B395:D395"/>
    <mergeCell ref="E395:G395"/>
    <mergeCell ref="H395:M395"/>
    <mergeCell ref="N395:U395"/>
    <mergeCell ref="V395:W395"/>
    <mergeCell ref="X395:Z395"/>
    <mergeCell ref="B396:D396"/>
    <mergeCell ref="E396:G396"/>
    <mergeCell ref="H396:M396"/>
    <mergeCell ref="N396:U396"/>
    <mergeCell ref="V396:W396"/>
    <mergeCell ref="X398:Z398"/>
    <mergeCell ref="B397:D397"/>
    <mergeCell ref="E397:G397"/>
    <mergeCell ref="H397:M397"/>
    <mergeCell ref="N397:U397"/>
    <mergeCell ref="V397:W397"/>
    <mergeCell ref="X397:Z397"/>
    <mergeCell ref="B398:D398"/>
    <mergeCell ref="E398:G398"/>
    <mergeCell ref="H398:M398"/>
    <mergeCell ref="N398:U398"/>
    <mergeCell ref="V398:W398"/>
    <mergeCell ref="X400:Z400"/>
    <mergeCell ref="B399:D399"/>
    <mergeCell ref="E399:G399"/>
    <mergeCell ref="H399:M399"/>
    <mergeCell ref="N399:U399"/>
    <mergeCell ref="V399:W399"/>
    <mergeCell ref="X399:Z399"/>
    <mergeCell ref="B400:D400"/>
    <mergeCell ref="E400:G400"/>
    <mergeCell ref="H400:M400"/>
    <mergeCell ref="N400:U400"/>
    <mergeCell ref="V400:W400"/>
    <mergeCell ref="X402:Z402"/>
    <mergeCell ref="B401:D401"/>
    <mergeCell ref="E401:G401"/>
    <mergeCell ref="H401:M401"/>
    <mergeCell ref="N401:U401"/>
    <mergeCell ref="V401:W401"/>
    <mergeCell ref="X401:Z401"/>
    <mergeCell ref="B402:D402"/>
    <mergeCell ref="E402:G402"/>
    <mergeCell ref="H402:M402"/>
    <mergeCell ref="N402:U402"/>
    <mergeCell ref="V402:W402"/>
    <mergeCell ref="X404:Z404"/>
    <mergeCell ref="B403:D403"/>
    <mergeCell ref="E403:G403"/>
    <mergeCell ref="H403:M403"/>
    <mergeCell ref="N403:U403"/>
    <mergeCell ref="V403:W403"/>
    <mergeCell ref="X403:Z403"/>
    <mergeCell ref="B404:D404"/>
    <mergeCell ref="E404:G404"/>
    <mergeCell ref="H404:M404"/>
    <mergeCell ref="N404:U404"/>
    <mergeCell ref="V404:W404"/>
    <mergeCell ref="X406:Z406"/>
    <mergeCell ref="B405:D405"/>
    <mergeCell ref="E405:G405"/>
    <mergeCell ref="H405:M405"/>
    <mergeCell ref="N405:U405"/>
    <mergeCell ref="V405:W405"/>
    <mergeCell ref="X405:Z405"/>
    <mergeCell ref="B406:D406"/>
    <mergeCell ref="E406:G406"/>
    <mergeCell ref="H406:M406"/>
    <mergeCell ref="N406:U406"/>
    <mergeCell ref="V406:W406"/>
    <mergeCell ref="X408:Z408"/>
    <mergeCell ref="B407:D407"/>
    <mergeCell ref="E407:G407"/>
    <mergeCell ref="H407:M407"/>
    <mergeCell ref="N407:U407"/>
    <mergeCell ref="V407:W407"/>
    <mergeCell ref="X407:Z407"/>
    <mergeCell ref="B408:D408"/>
    <mergeCell ref="E408:G408"/>
    <mergeCell ref="H408:M408"/>
    <mergeCell ref="N408:U408"/>
    <mergeCell ref="V408:W408"/>
    <mergeCell ref="X410:Z410"/>
    <mergeCell ref="B409:D409"/>
    <mergeCell ref="E409:G409"/>
    <mergeCell ref="H409:M409"/>
    <mergeCell ref="N409:U409"/>
    <mergeCell ref="V409:W409"/>
    <mergeCell ref="X409:Z409"/>
    <mergeCell ref="B410:D410"/>
    <mergeCell ref="E410:G410"/>
    <mergeCell ref="H410:M410"/>
    <mergeCell ref="N410:U410"/>
    <mergeCell ref="V410:W410"/>
    <mergeCell ref="X412:Z412"/>
    <mergeCell ref="B411:D411"/>
    <mergeCell ref="E411:G411"/>
    <mergeCell ref="H411:M411"/>
    <mergeCell ref="N411:U411"/>
    <mergeCell ref="V411:W411"/>
    <mergeCell ref="X411:Z411"/>
    <mergeCell ref="B412:D412"/>
    <mergeCell ref="E412:G412"/>
    <mergeCell ref="H412:M412"/>
    <mergeCell ref="N412:U412"/>
    <mergeCell ref="V412:W412"/>
    <mergeCell ref="X414:Z414"/>
    <mergeCell ref="B413:D413"/>
    <mergeCell ref="E413:G413"/>
    <mergeCell ref="H413:M413"/>
    <mergeCell ref="N413:U413"/>
    <mergeCell ref="V413:W413"/>
    <mergeCell ref="X413:Z413"/>
    <mergeCell ref="B414:D414"/>
    <mergeCell ref="E414:G414"/>
    <mergeCell ref="H414:M414"/>
    <mergeCell ref="N414:U414"/>
    <mergeCell ref="V414:W414"/>
    <mergeCell ref="X416:Z416"/>
    <mergeCell ref="B415:D415"/>
    <mergeCell ref="E415:G415"/>
    <mergeCell ref="H415:M415"/>
    <mergeCell ref="N415:U415"/>
    <mergeCell ref="V415:W415"/>
    <mergeCell ref="X415:Z415"/>
    <mergeCell ref="B416:D416"/>
    <mergeCell ref="E416:G416"/>
    <mergeCell ref="H416:M416"/>
    <mergeCell ref="N416:U416"/>
    <mergeCell ref="V416:W416"/>
    <mergeCell ref="X418:Z418"/>
    <mergeCell ref="B417:D417"/>
    <mergeCell ref="E417:G417"/>
    <mergeCell ref="H417:M417"/>
    <mergeCell ref="N417:U417"/>
    <mergeCell ref="V417:W417"/>
    <mergeCell ref="X417:Z417"/>
    <mergeCell ref="B418:D418"/>
    <mergeCell ref="E418:G418"/>
    <mergeCell ref="H418:M418"/>
    <mergeCell ref="N418:U418"/>
    <mergeCell ref="V418:W418"/>
    <mergeCell ref="X420:Z420"/>
    <mergeCell ref="B419:D419"/>
    <mergeCell ref="E419:G419"/>
    <mergeCell ref="H419:M419"/>
    <mergeCell ref="N419:U419"/>
    <mergeCell ref="V419:W419"/>
    <mergeCell ref="X419:Z419"/>
    <mergeCell ref="B420:D420"/>
    <mergeCell ref="E420:G420"/>
    <mergeCell ref="H420:M420"/>
    <mergeCell ref="N420:U420"/>
    <mergeCell ref="V420:W420"/>
    <mergeCell ref="X422:Z422"/>
    <mergeCell ref="B421:D421"/>
    <mergeCell ref="E421:G421"/>
    <mergeCell ref="H421:M421"/>
    <mergeCell ref="N421:U421"/>
    <mergeCell ref="V421:W421"/>
    <mergeCell ref="X421:Z421"/>
    <mergeCell ref="B422:D422"/>
    <mergeCell ref="E422:G422"/>
    <mergeCell ref="H422:M422"/>
    <mergeCell ref="N422:U422"/>
    <mergeCell ref="V422:W422"/>
    <mergeCell ref="X424:Z424"/>
    <mergeCell ref="B423:D423"/>
    <mergeCell ref="E423:G423"/>
    <mergeCell ref="H423:M423"/>
    <mergeCell ref="N423:U423"/>
    <mergeCell ref="V423:W423"/>
    <mergeCell ref="X423:Z423"/>
    <mergeCell ref="B424:D424"/>
    <mergeCell ref="E424:G424"/>
    <mergeCell ref="H424:M424"/>
    <mergeCell ref="N424:U424"/>
    <mergeCell ref="V424:W424"/>
    <mergeCell ref="X426:Z426"/>
    <mergeCell ref="B425:D425"/>
    <mergeCell ref="E425:G425"/>
    <mergeCell ref="H425:M425"/>
    <mergeCell ref="N425:U425"/>
    <mergeCell ref="V425:W425"/>
    <mergeCell ref="X425:Z425"/>
    <mergeCell ref="B426:D426"/>
    <mergeCell ref="E426:G426"/>
    <mergeCell ref="H426:M426"/>
    <mergeCell ref="N426:U426"/>
    <mergeCell ref="V426:W426"/>
    <mergeCell ref="X428:Z428"/>
    <mergeCell ref="B427:D427"/>
    <mergeCell ref="E427:G427"/>
    <mergeCell ref="H427:M427"/>
    <mergeCell ref="N427:U427"/>
    <mergeCell ref="V427:W427"/>
    <mergeCell ref="X427:Z427"/>
    <mergeCell ref="B428:D428"/>
    <mergeCell ref="E428:G428"/>
    <mergeCell ref="H428:M428"/>
    <mergeCell ref="N428:U428"/>
    <mergeCell ref="V428:W428"/>
    <mergeCell ref="X430:Z430"/>
    <mergeCell ref="B429:D429"/>
    <mergeCell ref="E429:G429"/>
    <mergeCell ref="H429:M429"/>
    <mergeCell ref="N429:U429"/>
    <mergeCell ref="V429:W429"/>
    <mergeCell ref="X429:Z429"/>
    <mergeCell ref="B430:D430"/>
    <mergeCell ref="E430:G430"/>
    <mergeCell ref="H430:M430"/>
    <mergeCell ref="N430:U430"/>
    <mergeCell ref="V430:W430"/>
    <mergeCell ref="X432:Z432"/>
    <mergeCell ref="B431:D431"/>
    <mergeCell ref="E431:G431"/>
    <mergeCell ref="H431:M431"/>
    <mergeCell ref="N431:U431"/>
    <mergeCell ref="V431:W431"/>
    <mergeCell ref="X431:Z431"/>
    <mergeCell ref="B432:D432"/>
    <mergeCell ref="E432:G432"/>
    <mergeCell ref="H432:M432"/>
    <mergeCell ref="N432:U432"/>
    <mergeCell ref="V432:W432"/>
    <mergeCell ref="X434:Z434"/>
    <mergeCell ref="B433:D433"/>
    <mergeCell ref="E433:G433"/>
    <mergeCell ref="H433:M433"/>
    <mergeCell ref="N433:U433"/>
    <mergeCell ref="V433:W433"/>
    <mergeCell ref="X433:Z433"/>
    <mergeCell ref="B434:D434"/>
    <mergeCell ref="E434:G434"/>
    <mergeCell ref="H434:M434"/>
    <mergeCell ref="N434:U434"/>
    <mergeCell ref="V434:W434"/>
    <mergeCell ref="X436:Z436"/>
    <mergeCell ref="B435:D435"/>
    <mergeCell ref="E435:G435"/>
    <mergeCell ref="H435:M435"/>
    <mergeCell ref="N435:U435"/>
    <mergeCell ref="V435:W435"/>
    <mergeCell ref="X435:Z435"/>
    <mergeCell ref="B436:D436"/>
    <mergeCell ref="E436:G436"/>
    <mergeCell ref="H436:M436"/>
    <mergeCell ref="N436:U436"/>
    <mergeCell ref="V436:W436"/>
    <mergeCell ref="X438:Z438"/>
    <mergeCell ref="B437:D437"/>
    <mergeCell ref="E437:G437"/>
    <mergeCell ref="H437:M437"/>
    <mergeCell ref="N437:U437"/>
    <mergeCell ref="V437:W437"/>
    <mergeCell ref="X437:Z437"/>
    <mergeCell ref="B438:D438"/>
    <mergeCell ref="E438:G438"/>
    <mergeCell ref="H438:M438"/>
    <mergeCell ref="N438:U438"/>
    <mergeCell ref="V438:W438"/>
    <mergeCell ref="X440:Z440"/>
    <mergeCell ref="B439:D439"/>
    <mergeCell ref="E439:G439"/>
    <mergeCell ref="H439:M439"/>
    <mergeCell ref="N439:U439"/>
    <mergeCell ref="V439:W439"/>
    <mergeCell ref="X439:Z439"/>
    <mergeCell ref="B440:D440"/>
    <mergeCell ref="E440:G440"/>
    <mergeCell ref="H440:M440"/>
    <mergeCell ref="N440:U440"/>
    <mergeCell ref="V440:W440"/>
    <mergeCell ref="X442:Z442"/>
    <mergeCell ref="B441:D441"/>
    <mergeCell ref="E441:G441"/>
    <mergeCell ref="H441:M441"/>
    <mergeCell ref="N441:U441"/>
    <mergeCell ref="V441:W441"/>
    <mergeCell ref="X441:Z441"/>
    <mergeCell ref="B442:D442"/>
    <mergeCell ref="E442:G442"/>
    <mergeCell ref="H442:M442"/>
    <mergeCell ref="N442:U442"/>
    <mergeCell ref="V442:W442"/>
    <mergeCell ref="X444:Z444"/>
    <mergeCell ref="B443:D443"/>
    <mergeCell ref="E443:G443"/>
    <mergeCell ref="H443:M443"/>
    <mergeCell ref="N443:U443"/>
    <mergeCell ref="V443:W443"/>
    <mergeCell ref="X443:Z443"/>
    <mergeCell ref="B444:D444"/>
    <mergeCell ref="E444:G444"/>
    <mergeCell ref="H444:M444"/>
    <mergeCell ref="N444:U444"/>
    <mergeCell ref="V444:W444"/>
    <mergeCell ref="X446:Z446"/>
    <mergeCell ref="B445:D445"/>
    <mergeCell ref="E445:G445"/>
    <mergeCell ref="H445:M445"/>
    <mergeCell ref="N445:U445"/>
    <mergeCell ref="V445:W445"/>
    <mergeCell ref="X445:Z445"/>
    <mergeCell ref="B446:D446"/>
    <mergeCell ref="E446:G446"/>
    <mergeCell ref="H446:M446"/>
    <mergeCell ref="N446:U446"/>
    <mergeCell ref="V446:W446"/>
    <mergeCell ref="X448:Z448"/>
    <mergeCell ref="B447:D447"/>
    <mergeCell ref="E447:G447"/>
    <mergeCell ref="H447:M447"/>
    <mergeCell ref="N447:U447"/>
    <mergeCell ref="V447:W447"/>
    <mergeCell ref="X447:Z447"/>
    <mergeCell ref="B448:D448"/>
    <mergeCell ref="E448:G448"/>
    <mergeCell ref="H448:M448"/>
    <mergeCell ref="N448:U448"/>
    <mergeCell ref="V448:W448"/>
    <mergeCell ref="X450:Z450"/>
    <mergeCell ref="B449:D449"/>
    <mergeCell ref="E449:G449"/>
    <mergeCell ref="H449:M449"/>
    <mergeCell ref="N449:U449"/>
    <mergeCell ref="V449:W449"/>
    <mergeCell ref="X449:Z449"/>
    <mergeCell ref="B450:D450"/>
    <mergeCell ref="E450:G450"/>
    <mergeCell ref="H450:M450"/>
    <mergeCell ref="N450:U450"/>
    <mergeCell ref="V450:W450"/>
    <mergeCell ref="X452:Z452"/>
    <mergeCell ref="B451:D451"/>
    <mergeCell ref="E451:G451"/>
    <mergeCell ref="H451:M451"/>
    <mergeCell ref="N451:U451"/>
    <mergeCell ref="V451:W451"/>
    <mergeCell ref="X451:Z451"/>
    <mergeCell ref="B452:D452"/>
    <mergeCell ref="E452:G452"/>
    <mergeCell ref="H452:M452"/>
    <mergeCell ref="N452:U452"/>
    <mergeCell ref="V452:W452"/>
    <mergeCell ref="X454:Z454"/>
    <mergeCell ref="B453:D453"/>
    <mergeCell ref="E453:G453"/>
    <mergeCell ref="H453:M453"/>
    <mergeCell ref="N453:U453"/>
    <mergeCell ref="V453:W453"/>
    <mergeCell ref="X453:Z453"/>
    <mergeCell ref="B454:D454"/>
    <mergeCell ref="E454:G454"/>
    <mergeCell ref="H454:M454"/>
    <mergeCell ref="N454:U454"/>
    <mergeCell ref="V454:W454"/>
    <mergeCell ref="X456:Z456"/>
    <mergeCell ref="B455:D455"/>
    <mergeCell ref="E455:G455"/>
    <mergeCell ref="H455:M455"/>
    <mergeCell ref="N455:U455"/>
    <mergeCell ref="V455:W455"/>
    <mergeCell ref="X455:Z455"/>
    <mergeCell ref="B456:D456"/>
    <mergeCell ref="E456:G456"/>
    <mergeCell ref="H456:M456"/>
    <mergeCell ref="N456:U456"/>
    <mergeCell ref="V456:W456"/>
    <mergeCell ref="X458:Z458"/>
    <mergeCell ref="B457:D457"/>
    <mergeCell ref="E457:G457"/>
    <mergeCell ref="H457:M457"/>
    <mergeCell ref="N457:U457"/>
    <mergeCell ref="V457:W457"/>
    <mergeCell ref="X457:Z457"/>
    <mergeCell ref="B458:D458"/>
    <mergeCell ref="E458:G458"/>
    <mergeCell ref="H458:M458"/>
    <mergeCell ref="N458:U458"/>
    <mergeCell ref="V458:W458"/>
    <mergeCell ref="X460:Z460"/>
    <mergeCell ref="B459:D459"/>
    <mergeCell ref="E459:G459"/>
    <mergeCell ref="H459:M459"/>
    <mergeCell ref="N459:U459"/>
    <mergeCell ref="V459:W459"/>
    <mergeCell ref="X459:Z459"/>
    <mergeCell ref="B460:D460"/>
    <mergeCell ref="E460:G460"/>
    <mergeCell ref="H460:M460"/>
    <mergeCell ref="N460:U460"/>
    <mergeCell ref="V460:W460"/>
    <mergeCell ref="X462:Z462"/>
    <mergeCell ref="B461:D461"/>
    <mergeCell ref="E461:G461"/>
    <mergeCell ref="H461:M461"/>
    <mergeCell ref="N461:U461"/>
    <mergeCell ref="V461:W461"/>
    <mergeCell ref="X461:Z461"/>
    <mergeCell ref="B462:D462"/>
    <mergeCell ref="E462:G462"/>
    <mergeCell ref="H462:M462"/>
    <mergeCell ref="N462:U462"/>
    <mergeCell ref="V462:W462"/>
    <mergeCell ref="X464:Z464"/>
    <mergeCell ref="B463:D463"/>
    <mergeCell ref="E463:G463"/>
    <mergeCell ref="H463:M463"/>
    <mergeCell ref="N463:U463"/>
    <mergeCell ref="V463:W463"/>
    <mergeCell ref="X463:Z463"/>
    <mergeCell ref="B464:D464"/>
    <mergeCell ref="E464:G464"/>
    <mergeCell ref="H464:M464"/>
    <mergeCell ref="N464:U464"/>
    <mergeCell ref="V464:W464"/>
    <mergeCell ref="X466:Z466"/>
    <mergeCell ref="B465:D465"/>
    <mergeCell ref="E465:G465"/>
    <mergeCell ref="H465:M465"/>
    <mergeCell ref="N465:U465"/>
    <mergeCell ref="V465:W465"/>
    <mergeCell ref="X465:Z465"/>
    <mergeCell ref="B466:D466"/>
    <mergeCell ref="E466:G466"/>
    <mergeCell ref="H466:M466"/>
    <mergeCell ref="N466:U466"/>
    <mergeCell ref="V466:W466"/>
    <mergeCell ref="X468:Z468"/>
    <mergeCell ref="B467:D467"/>
    <mergeCell ref="E467:G467"/>
    <mergeCell ref="H467:M467"/>
    <mergeCell ref="N467:U467"/>
    <mergeCell ref="V467:W467"/>
    <mergeCell ref="X467:Z467"/>
    <mergeCell ref="B468:D468"/>
    <mergeCell ref="E468:G468"/>
    <mergeCell ref="H468:M468"/>
    <mergeCell ref="N468:U468"/>
    <mergeCell ref="V468:W468"/>
    <mergeCell ref="X470:Z470"/>
    <mergeCell ref="B469:D469"/>
    <mergeCell ref="E469:G469"/>
    <mergeCell ref="H469:M469"/>
    <mergeCell ref="N469:U469"/>
    <mergeCell ref="V469:W469"/>
    <mergeCell ref="X469:Z469"/>
    <mergeCell ref="B470:D470"/>
    <mergeCell ref="E470:G470"/>
    <mergeCell ref="H470:M470"/>
    <mergeCell ref="N470:U470"/>
    <mergeCell ref="V470:W470"/>
    <mergeCell ref="X472:Z472"/>
    <mergeCell ref="B471:D471"/>
    <mergeCell ref="E471:G471"/>
    <mergeCell ref="H471:M471"/>
    <mergeCell ref="N471:U471"/>
    <mergeCell ref="V471:W471"/>
    <mergeCell ref="X471:Z471"/>
    <mergeCell ref="B472:D472"/>
    <mergeCell ref="E472:G472"/>
    <mergeCell ref="H472:M472"/>
    <mergeCell ref="N472:U472"/>
    <mergeCell ref="V472:W472"/>
    <mergeCell ref="X474:Z474"/>
    <mergeCell ref="B473:D473"/>
    <mergeCell ref="E473:G473"/>
    <mergeCell ref="H473:M473"/>
    <mergeCell ref="N473:U473"/>
    <mergeCell ref="V473:W473"/>
    <mergeCell ref="X473:Z473"/>
    <mergeCell ref="B474:D474"/>
    <mergeCell ref="E474:G474"/>
    <mergeCell ref="H474:M474"/>
    <mergeCell ref="N474:U474"/>
    <mergeCell ref="V474:W474"/>
    <mergeCell ref="X476:Z476"/>
    <mergeCell ref="B475:D475"/>
    <mergeCell ref="E475:G475"/>
    <mergeCell ref="H475:M475"/>
    <mergeCell ref="N475:U475"/>
    <mergeCell ref="V475:W475"/>
    <mergeCell ref="X475:Z475"/>
    <mergeCell ref="B476:D476"/>
    <mergeCell ref="E476:G476"/>
    <mergeCell ref="H476:M476"/>
    <mergeCell ref="N476:U476"/>
    <mergeCell ref="V476:W476"/>
    <mergeCell ref="X478:Z478"/>
    <mergeCell ref="B477:D477"/>
    <mergeCell ref="E477:G477"/>
    <mergeCell ref="H477:M477"/>
    <mergeCell ref="N477:U477"/>
    <mergeCell ref="V477:W477"/>
    <mergeCell ref="X477:Z477"/>
    <mergeCell ref="B478:D478"/>
    <mergeCell ref="E478:G478"/>
    <mergeCell ref="H478:M478"/>
    <mergeCell ref="N478:U478"/>
    <mergeCell ref="V478:W478"/>
    <mergeCell ref="X480:Z480"/>
    <mergeCell ref="B479:D479"/>
    <mergeCell ref="E479:G479"/>
    <mergeCell ref="H479:M479"/>
    <mergeCell ref="N479:U479"/>
    <mergeCell ref="V479:W479"/>
    <mergeCell ref="X479:Z479"/>
    <mergeCell ref="B480:D480"/>
    <mergeCell ref="E480:G480"/>
    <mergeCell ref="H480:M480"/>
    <mergeCell ref="N480:U480"/>
    <mergeCell ref="V480:W480"/>
    <mergeCell ref="X482:Z482"/>
    <mergeCell ref="B481:D481"/>
    <mergeCell ref="E481:G481"/>
    <mergeCell ref="H481:M481"/>
    <mergeCell ref="N481:U481"/>
    <mergeCell ref="V481:W481"/>
    <mergeCell ref="X481:Z481"/>
    <mergeCell ref="B482:D482"/>
    <mergeCell ref="E482:G482"/>
    <mergeCell ref="H482:M482"/>
    <mergeCell ref="N482:U482"/>
    <mergeCell ref="V482:W482"/>
    <mergeCell ref="X484:Z484"/>
    <mergeCell ref="B483:D483"/>
    <mergeCell ref="E483:G483"/>
    <mergeCell ref="H483:M483"/>
    <mergeCell ref="N483:U483"/>
    <mergeCell ref="V483:W483"/>
    <mergeCell ref="X483:Z483"/>
    <mergeCell ref="B484:D484"/>
    <mergeCell ref="E484:G484"/>
    <mergeCell ref="H484:M484"/>
    <mergeCell ref="N484:U484"/>
    <mergeCell ref="V484:W484"/>
    <mergeCell ref="X486:Z486"/>
    <mergeCell ref="B485:D485"/>
    <mergeCell ref="E485:G485"/>
    <mergeCell ref="H485:M485"/>
    <mergeCell ref="N485:U485"/>
    <mergeCell ref="V485:W485"/>
    <mergeCell ref="X485:Z485"/>
    <mergeCell ref="B486:D486"/>
    <mergeCell ref="E486:G486"/>
    <mergeCell ref="H486:M486"/>
    <mergeCell ref="N486:U486"/>
    <mergeCell ref="V486:W486"/>
    <mergeCell ref="X488:Z488"/>
    <mergeCell ref="B487:D487"/>
    <mergeCell ref="E487:G487"/>
    <mergeCell ref="H487:M487"/>
    <mergeCell ref="N487:U487"/>
    <mergeCell ref="V487:W487"/>
    <mergeCell ref="X487:Z487"/>
    <mergeCell ref="B488:D488"/>
    <mergeCell ref="E488:G488"/>
    <mergeCell ref="H488:M488"/>
    <mergeCell ref="N488:U488"/>
    <mergeCell ref="V488:W488"/>
    <mergeCell ref="X490:Z490"/>
    <mergeCell ref="B489:D489"/>
    <mergeCell ref="E489:G489"/>
    <mergeCell ref="H489:M489"/>
    <mergeCell ref="N489:U489"/>
    <mergeCell ref="V489:W489"/>
    <mergeCell ref="X489:Z489"/>
    <mergeCell ref="B490:D490"/>
    <mergeCell ref="E490:G490"/>
    <mergeCell ref="H490:M490"/>
    <mergeCell ref="N490:U490"/>
    <mergeCell ref="V490:W490"/>
    <mergeCell ref="X492:Z492"/>
    <mergeCell ref="B491:D491"/>
    <mergeCell ref="E491:G491"/>
    <mergeCell ref="H491:M491"/>
    <mergeCell ref="N491:U491"/>
    <mergeCell ref="V491:W491"/>
    <mergeCell ref="X491:Z491"/>
    <mergeCell ref="B492:D492"/>
    <mergeCell ref="E492:G492"/>
    <mergeCell ref="H492:M492"/>
    <mergeCell ref="N492:U492"/>
    <mergeCell ref="V492:W492"/>
    <mergeCell ref="X494:Z494"/>
    <mergeCell ref="B493:D493"/>
    <mergeCell ref="E493:G493"/>
    <mergeCell ref="H493:M493"/>
    <mergeCell ref="N493:U493"/>
    <mergeCell ref="V493:W493"/>
    <mergeCell ref="X493:Z493"/>
    <mergeCell ref="B494:D494"/>
    <mergeCell ref="E494:G494"/>
    <mergeCell ref="H494:M494"/>
    <mergeCell ref="N494:U494"/>
    <mergeCell ref="V494:W494"/>
    <mergeCell ref="X496:Z496"/>
    <mergeCell ref="B495:D495"/>
    <mergeCell ref="E495:G495"/>
    <mergeCell ref="H495:M495"/>
    <mergeCell ref="N495:U495"/>
    <mergeCell ref="V495:W495"/>
    <mergeCell ref="X495:Z495"/>
    <mergeCell ref="B496:D496"/>
    <mergeCell ref="E496:G496"/>
    <mergeCell ref="H496:M496"/>
    <mergeCell ref="N496:U496"/>
    <mergeCell ref="V496:W496"/>
    <mergeCell ref="X498:Z498"/>
    <mergeCell ref="B497:D497"/>
    <mergeCell ref="E497:G497"/>
    <mergeCell ref="H497:M497"/>
    <mergeCell ref="N497:U497"/>
    <mergeCell ref="V497:W497"/>
    <mergeCell ref="X497:Z497"/>
    <mergeCell ref="B498:D498"/>
    <mergeCell ref="E498:G498"/>
    <mergeCell ref="H498:M498"/>
    <mergeCell ref="N498:U498"/>
    <mergeCell ref="V498:W498"/>
    <mergeCell ref="X500:Z500"/>
    <mergeCell ref="B499:D499"/>
    <mergeCell ref="E499:G499"/>
    <mergeCell ref="H499:M499"/>
    <mergeCell ref="N499:U499"/>
    <mergeCell ref="V499:W499"/>
    <mergeCell ref="X499:Z499"/>
    <mergeCell ref="B500:D500"/>
    <mergeCell ref="E500:G500"/>
    <mergeCell ref="H500:M500"/>
    <mergeCell ref="N500:U500"/>
    <mergeCell ref="V500:W500"/>
    <mergeCell ref="X502:Z502"/>
    <mergeCell ref="B501:D501"/>
    <mergeCell ref="E501:G501"/>
    <mergeCell ref="H501:M501"/>
    <mergeCell ref="N501:U501"/>
    <mergeCell ref="V501:W501"/>
    <mergeCell ref="X501:Z501"/>
    <mergeCell ref="B502:D502"/>
    <mergeCell ref="E502:G502"/>
    <mergeCell ref="H502:M502"/>
    <mergeCell ref="N502:U502"/>
    <mergeCell ref="V502:W502"/>
    <mergeCell ref="X504:Z504"/>
    <mergeCell ref="B503:D503"/>
    <mergeCell ref="E503:G503"/>
    <mergeCell ref="H503:M503"/>
    <mergeCell ref="N503:U503"/>
    <mergeCell ref="V503:W503"/>
    <mergeCell ref="X503:Z503"/>
    <mergeCell ref="B504:D504"/>
    <mergeCell ref="E504:G504"/>
    <mergeCell ref="H504:M504"/>
    <mergeCell ref="N504:U504"/>
    <mergeCell ref="V504:W504"/>
    <mergeCell ref="X506:Z506"/>
    <mergeCell ref="B505:D505"/>
    <mergeCell ref="E505:G505"/>
    <mergeCell ref="H505:M505"/>
    <mergeCell ref="N505:U505"/>
    <mergeCell ref="V505:W505"/>
    <mergeCell ref="X505:Z505"/>
    <mergeCell ref="B506:D506"/>
    <mergeCell ref="E506:G506"/>
    <mergeCell ref="H506:M506"/>
    <mergeCell ref="N506:U506"/>
    <mergeCell ref="V506:W506"/>
    <mergeCell ref="X508:Z508"/>
    <mergeCell ref="B507:D507"/>
    <mergeCell ref="E507:G507"/>
    <mergeCell ref="H507:M507"/>
    <mergeCell ref="N507:U507"/>
    <mergeCell ref="V507:W507"/>
    <mergeCell ref="X507:Z507"/>
    <mergeCell ref="B508:D508"/>
    <mergeCell ref="E508:G508"/>
    <mergeCell ref="H508:M508"/>
    <mergeCell ref="N508:U508"/>
    <mergeCell ref="V508:W508"/>
    <mergeCell ref="X510:Z510"/>
    <mergeCell ref="B509:D509"/>
    <mergeCell ref="E509:G509"/>
    <mergeCell ref="H509:M509"/>
    <mergeCell ref="N509:U509"/>
    <mergeCell ref="V509:W509"/>
    <mergeCell ref="X509:Z509"/>
    <mergeCell ref="B510:D510"/>
    <mergeCell ref="E510:G510"/>
    <mergeCell ref="H510:M510"/>
    <mergeCell ref="N510:U510"/>
    <mergeCell ref="V510:W510"/>
    <mergeCell ref="X512:Z512"/>
    <mergeCell ref="B511:D511"/>
    <mergeCell ref="E511:G511"/>
    <mergeCell ref="H511:M511"/>
    <mergeCell ref="N511:U511"/>
    <mergeCell ref="V511:W511"/>
    <mergeCell ref="X511:Z511"/>
    <mergeCell ref="B512:D512"/>
    <mergeCell ref="E512:G512"/>
    <mergeCell ref="H512:M512"/>
    <mergeCell ref="N512:U512"/>
    <mergeCell ref="V512:W512"/>
    <mergeCell ref="X514:Z514"/>
    <mergeCell ref="B513:D513"/>
    <mergeCell ref="E513:G513"/>
    <mergeCell ref="H513:M513"/>
    <mergeCell ref="N513:U513"/>
    <mergeCell ref="V513:W513"/>
    <mergeCell ref="X513:Z513"/>
    <mergeCell ref="B514:D514"/>
    <mergeCell ref="E514:G514"/>
    <mergeCell ref="H514:M514"/>
    <mergeCell ref="N514:U514"/>
    <mergeCell ref="V514:W514"/>
    <mergeCell ref="X516:Z516"/>
    <mergeCell ref="B515:D515"/>
    <mergeCell ref="E515:G515"/>
    <mergeCell ref="H515:M515"/>
    <mergeCell ref="N515:U515"/>
    <mergeCell ref="V515:W515"/>
    <mergeCell ref="X515:Z515"/>
    <mergeCell ref="B516:D516"/>
    <mergeCell ref="E516:G516"/>
    <mergeCell ref="H516:M516"/>
    <mergeCell ref="N516:U516"/>
    <mergeCell ref="V516:W516"/>
    <mergeCell ref="X518:Z518"/>
    <mergeCell ref="B517:D517"/>
    <mergeCell ref="E517:G517"/>
    <mergeCell ref="H517:M517"/>
    <mergeCell ref="N517:U517"/>
    <mergeCell ref="V517:W517"/>
    <mergeCell ref="X517:Z517"/>
    <mergeCell ref="B518:D518"/>
    <mergeCell ref="E518:G518"/>
    <mergeCell ref="H518:M518"/>
    <mergeCell ref="N518:U518"/>
    <mergeCell ref="V518:W518"/>
    <mergeCell ref="X520:Z520"/>
    <mergeCell ref="B519:D519"/>
    <mergeCell ref="E519:G519"/>
    <mergeCell ref="H519:M519"/>
    <mergeCell ref="N519:U519"/>
    <mergeCell ref="V519:W519"/>
    <mergeCell ref="X519:Z519"/>
    <mergeCell ref="B520:D520"/>
    <mergeCell ref="E520:G520"/>
    <mergeCell ref="H520:M520"/>
    <mergeCell ref="N520:U520"/>
    <mergeCell ref="V520:W520"/>
    <mergeCell ref="X522:Z522"/>
    <mergeCell ref="B521:D521"/>
    <mergeCell ref="E521:G521"/>
    <mergeCell ref="H521:M521"/>
    <mergeCell ref="N521:U521"/>
    <mergeCell ref="V521:W521"/>
    <mergeCell ref="X521:Z521"/>
    <mergeCell ref="B522:D522"/>
    <mergeCell ref="E522:G522"/>
    <mergeCell ref="H522:M522"/>
    <mergeCell ref="N522:U522"/>
    <mergeCell ref="V522:W522"/>
    <mergeCell ref="X524:Z524"/>
    <mergeCell ref="B523:D523"/>
    <mergeCell ref="E523:G523"/>
    <mergeCell ref="H523:M523"/>
    <mergeCell ref="N523:U523"/>
    <mergeCell ref="V523:W523"/>
    <mergeCell ref="X523:Z523"/>
    <mergeCell ref="B524:D524"/>
    <mergeCell ref="E524:G524"/>
    <mergeCell ref="H524:M524"/>
    <mergeCell ref="N524:U524"/>
    <mergeCell ref="V524:W524"/>
    <mergeCell ref="X526:Z526"/>
    <mergeCell ref="B525:D525"/>
    <mergeCell ref="E525:G525"/>
    <mergeCell ref="H525:M525"/>
    <mergeCell ref="N525:U525"/>
    <mergeCell ref="V525:W525"/>
    <mergeCell ref="X525:Z525"/>
    <mergeCell ref="B526:D526"/>
    <mergeCell ref="E526:G526"/>
    <mergeCell ref="H526:M526"/>
    <mergeCell ref="N526:U526"/>
    <mergeCell ref="V526:W526"/>
    <mergeCell ref="X528:Z528"/>
    <mergeCell ref="B527:D527"/>
    <mergeCell ref="E527:G527"/>
    <mergeCell ref="H527:M527"/>
    <mergeCell ref="N527:U527"/>
    <mergeCell ref="V527:W527"/>
    <mergeCell ref="X527:Z527"/>
    <mergeCell ref="B528:D528"/>
    <mergeCell ref="E528:G528"/>
    <mergeCell ref="H528:M528"/>
    <mergeCell ref="N528:U528"/>
    <mergeCell ref="V528:W528"/>
    <mergeCell ref="X530:Z530"/>
    <mergeCell ref="B529:D529"/>
    <mergeCell ref="E529:G529"/>
    <mergeCell ref="H529:M529"/>
    <mergeCell ref="N529:U529"/>
    <mergeCell ref="V529:W529"/>
    <mergeCell ref="X529:Z529"/>
    <mergeCell ref="B530:D530"/>
    <mergeCell ref="E530:G530"/>
    <mergeCell ref="H530:M530"/>
    <mergeCell ref="N530:U530"/>
    <mergeCell ref="V530:W530"/>
    <mergeCell ref="X532:Z532"/>
    <mergeCell ref="B531:D531"/>
    <mergeCell ref="E531:G531"/>
    <mergeCell ref="H531:M531"/>
    <mergeCell ref="N531:U531"/>
    <mergeCell ref="V531:W531"/>
    <mergeCell ref="X531:Z531"/>
    <mergeCell ref="B532:D532"/>
    <mergeCell ref="E532:G532"/>
    <mergeCell ref="H532:M532"/>
    <mergeCell ref="N532:U532"/>
    <mergeCell ref="V532:W532"/>
    <mergeCell ref="X534:Z534"/>
    <mergeCell ref="B533:D533"/>
    <mergeCell ref="E533:G533"/>
    <mergeCell ref="H533:M533"/>
    <mergeCell ref="N533:U533"/>
    <mergeCell ref="V533:W533"/>
    <mergeCell ref="X533:Z533"/>
    <mergeCell ref="B534:D534"/>
    <mergeCell ref="E534:G534"/>
    <mergeCell ref="H534:M534"/>
    <mergeCell ref="N534:U534"/>
    <mergeCell ref="V534:W534"/>
    <mergeCell ref="X536:Z536"/>
    <mergeCell ref="B535:D535"/>
    <mergeCell ref="E535:G535"/>
    <mergeCell ref="H535:M535"/>
    <mergeCell ref="N535:U535"/>
    <mergeCell ref="V535:W535"/>
    <mergeCell ref="X535:Z535"/>
    <mergeCell ref="B536:D536"/>
    <mergeCell ref="E536:G536"/>
    <mergeCell ref="H536:M536"/>
    <mergeCell ref="N536:U536"/>
    <mergeCell ref="V536:W536"/>
    <mergeCell ref="X538:Z538"/>
    <mergeCell ref="B537:D537"/>
    <mergeCell ref="E537:G537"/>
    <mergeCell ref="H537:M537"/>
    <mergeCell ref="N537:U537"/>
    <mergeCell ref="V537:W537"/>
    <mergeCell ref="X537:Z537"/>
    <mergeCell ref="B538:D538"/>
    <mergeCell ref="E538:G538"/>
    <mergeCell ref="H538:M538"/>
    <mergeCell ref="N538:U538"/>
    <mergeCell ref="V538:W538"/>
    <mergeCell ref="X540:Z540"/>
    <mergeCell ref="B539:D539"/>
    <mergeCell ref="E539:G539"/>
    <mergeCell ref="H539:M539"/>
    <mergeCell ref="N539:U539"/>
    <mergeCell ref="V539:W539"/>
    <mergeCell ref="X539:Z539"/>
    <mergeCell ref="B540:D540"/>
    <mergeCell ref="E540:G540"/>
    <mergeCell ref="H540:M540"/>
    <mergeCell ref="N540:U540"/>
    <mergeCell ref="V540:W540"/>
    <mergeCell ref="X542:Z542"/>
    <mergeCell ref="B541:D541"/>
    <mergeCell ref="E541:G541"/>
    <mergeCell ref="H541:M541"/>
    <mergeCell ref="N541:U541"/>
    <mergeCell ref="V541:W541"/>
    <mergeCell ref="X541:Z541"/>
    <mergeCell ref="B542:D542"/>
    <mergeCell ref="E542:G542"/>
    <mergeCell ref="H542:M542"/>
    <mergeCell ref="N542:U542"/>
    <mergeCell ref="V542:W542"/>
    <mergeCell ref="X544:Z544"/>
    <mergeCell ref="B543:D543"/>
    <mergeCell ref="E543:G543"/>
    <mergeCell ref="H543:M543"/>
    <mergeCell ref="N543:U543"/>
    <mergeCell ref="V543:W543"/>
    <mergeCell ref="X543:Z543"/>
    <mergeCell ref="B544:D544"/>
    <mergeCell ref="E544:G544"/>
    <mergeCell ref="H544:M544"/>
    <mergeCell ref="N544:U544"/>
    <mergeCell ref="V544:W544"/>
    <mergeCell ref="X546:Z546"/>
    <mergeCell ref="B545:D545"/>
    <mergeCell ref="E545:G545"/>
    <mergeCell ref="H545:M545"/>
    <mergeCell ref="N545:U545"/>
    <mergeCell ref="V545:W545"/>
    <mergeCell ref="X545:Z545"/>
    <mergeCell ref="B546:D546"/>
    <mergeCell ref="E546:G546"/>
    <mergeCell ref="H546:M546"/>
    <mergeCell ref="N546:U546"/>
    <mergeCell ref="V546:W546"/>
    <mergeCell ref="X548:Z548"/>
    <mergeCell ref="B547:D547"/>
    <mergeCell ref="E547:G547"/>
    <mergeCell ref="H547:M547"/>
    <mergeCell ref="N547:U547"/>
    <mergeCell ref="V547:W547"/>
    <mergeCell ref="X547:Z547"/>
    <mergeCell ref="B548:D548"/>
    <mergeCell ref="E548:G548"/>
    <mergeCell ref="H548:M548"/>
    <mergeCell ref="N548:U548"/>
    <mergeCell ref="V548:W548"/>
    <mergeCell ref="X550:Z550"/>
    <mergeCell ref="B549:D549"/>
    <mergeCell ref="E549:G549"/>
    <mergeCell ref="H549:M549"/>
    <mergeCell ref="N549:U549"/>
    <mergeCell ref="V549:W549"/>
    <mergeCell ref="X549:Z549"/>
    <mergeCell ref="B550:D550"/>
    <mergeCell ref="E550:G550"/>
    <mergeCell ref="H550:M550"/>
    <mergeCell ref="N550:U550"/>
    <mergeCell ref="V550:W550"/>
    <mergeCell ref="X552:Z552"/>
    <mergeCell ref="B551:D551"/>
    <mergeCell ref="E551:G551"/>
    <mergeCell ref="H551:M551"/>
    <mergeCell ref="N551:U551"/>
    <mergeCell ref="V551:W551"/>
    <mergeCell ref="X551:Z551"/>
    <mergeCell ref="B552:D552"/>
    <mergeCell ref="E552:G552"/>
    <mergeCell ref="H552:M552"/>
    <mergeCell ref="N552:U552"/>
    <mergeCell ref="V552:W552"/>
    <mergeCell ref="X554:Z554"/>
    <mergeCell ref="B553:D553"/>
    <mergeCell ref="E553:G553"/>
    <mergeCell ref="H553:M553"/>
    <mergeCell ref="N553:U553"/>
    <mergeCell ref="V553:W553"/>
    <mergeCell ref="X553:Z553"/>
    <mergeCell ref="B554:D554"/>
    <mergeCell ref="E554:G554"/>
    <mergeCell ref="H554:M554"/>
    <mergeCell ref="N554:U554"/>
    <mergeCell ref="V554:W554"/>
    <mergeCell ref="X556:Z556"/>
    <mergeCell ref="B555:D555"/>
    <mergeCell ref="E555:G555"/>
    <mergeCell ref="H555:M555"/>
    <mergeCell ref="N555:U555"/>
    <mergeCell ref="V555:W555"/>
    <mergeCell ref="X555:Z555"/>
    <mergeCell ref="B556:D556"/>
    <mergeCell ref="E556:G556"/>
    <mergeCell ref="H556:M556"/>
    <mergeCell ref="N556:U556"/>
    <mergeCell ref="V556:W556"/>
    <mergeCell ref="X558:Z558"/>
    <mergeCell ref="B557:D557"/>
    <mergeCell ref="E557:G557"/>
    <mergeCell ref="H557:M557"/>
    <mergeCell ref="N557:U557"/>
    <mergeCell ref="V557:W557"/>
    <mergeCell ref="X557:Z557"/>
    <mergeCell ref="B558:D558"/>
    <mergeCell ref="E558:G558"/>
    <mergeCell ref="H558:M558"/>
    <mergeCell ref="N558:U558"/>
    <mergeCell ref="V558:W558"/>
    <mergeCell ref="X560:Z560"/>
    <mergeCell ref="B559:D559"/>
    <mergeCell ref="E559:G559"/>
    <mergeCell ref="H559:M559"/>
    <mergeCell ref="N559:U559"/>
    <mergeCell ref="V559:W559"/>
    <mergeCell ref="X559:Z559"/>
    <mergeCell ref="B560:D560"/>
    <mergeCell ref="E560:G560"/>
    <mergeCell ref="H560:M560"/>
    <mergeCell ref="N560:U560"/>
    <mergeCell ref="V560:W560"/>
    <mergeCell ref="X562:Z562"/>
    <mergeCell ref="B561:D561"/>
    <mergeCell ref="E561:G561"/>
    <mergeCell ref="H561:M561"/>
    <mergeCell ref="N561:U561"/>
    <mergeCell ref="V561:W561"/>
    <mergeCell ref="X561:Z561"/>
    <mergeCell ref="B562:D562"/>
    <mergeCell ref="E562:G562"/>
    <mergeCell ref="H562:M562"/>
    <mergeCell ref="N562:U562"/>
    <mergeCell ref="V562:W562"/>
    <mergeCell ref="X564:Z564"/>
    <mergeCell ref="B563:D563"/>
    <mergeCell ref="E563:G563"/>
    <mergeCell ref="H563:M563"/>
    <mergeCell ref="N563:U563"/>
    <mergeCell ref="V563:W563"/>
    <mergeCell ref="X563:Z563"/>
    <mergeCell ref="B564:D564"/>
    <mergeCell ref="E564:G564"/>
    <mergeCell ref="H564:M564"/>
    <mergeCell ref="N564:U564"/>
    <mergeCell ref="V564:W564"/>
    <mergeCell ref="X566:Z566"/>
    <mergeCell ref="B565:D565"/>
    <mergeCell ref="E565:G565"/>
    <mergeCell ref="H565:M565"/>
    <mergeCell ref="N565:U565"/>
    <mergeCell ref="V565:W565"/>
    <mergeCell ref="X565:Z565"/>
    <mergeCell ref="B566:D566"/>
    <mergeCell ref="E566:G566"/>
    <mergeCell ref="H566:M566"/>
    <mergeCell ref="N566:U566"/>
    <mergeCell ref="V566:W566"/>
    <mergeCell ref="X568:Z568"/>
    <mergeCell ref="B567:D567"/>
    <mergeCell ref="E567:G567"/>
    <mergeCell ref="H567:M567"/>
    <mergeCell ref="N567:U567"/>
    <mergeCell ref="V567:W567"/>
    <mergeCell ref="X567:Z567"/>
    <mergeCell ref="B568:D568"/>
    <mergeCell ref="E568:G568"/>
    <mergeCell ref="H568:M568"/>
    <mergeCell ref="N568:U568"/>
    <mergeCell ref="V568:W568"/>
    <mergeCell ref="X570:Z570"/>
    <mergeCell ref="B569:D569"/>
    <mergeCell ref="E569:G569"/>
    <mergeCell ref="H569:M569"/>
    <mergeCell ref="N569:U569"/>
    <mergeCell ref="V569:W569"/>
    <mergeCell ref="X569:Z569"/>
    <mergeCell ref="B570:D570"/>
    <mergeCell ref="E570:G570"/>
    <mergeCell ref="H570:M570"/>
    <mergeCell ref="N570:U570"/>
    <mergeCell ref="V570:W570"/>
    <mergeCell ref="X572:Z572"/>
    <mergeCell ref="B571:D571"/>
    <mergeCell ref="E571:G571"/>
    <mergeCell ref="H571:M571"/>
    <mergeCell ref="N571:U571"/>
    <mergeCell ref="V571:W571"/>
    <mergeCell ref="X571:Z571"/>
    <mergeCell ref="B572:D572"/>
    <mergeCell ref="E572:G572"/>
    <mergeCell ref="H572:M572"/>
    <mergeCell ref="N572:U572"/>
    <mergeCell ref="V572:W572"/>
    <mergeCell ref="X574:Z574"/>
    <mergeCell ref="B573:D573"/>
    <mergeCell ref="E573:G573"/>
    <mergeCell ref="H573:M573"/>
    <mergeCell ref="N573:U573"/>
    <mergeCell ref="V573:W573"/>
    <mergeCell ref="X573:Z573"/>
    <mergeCell ref="B574:D574"/>
    <mergeCell ref="E574:G574"/>
    <mergeCell ref="H574:M574"/>
    <mergeCell ref="N574:U574"/>
    <mergeCell ref="V574:W574"/>
    <mergeCell ref="X576:Z576"/>
    <mergeCell ref="B575:D575"/>
    <mergeCell ref="E575:G575"/>
    <mergeCell ref="H575:M575"/>
    <mergeCell ref="N575:U575"/>
    <mergeCell ref="V575:W575"/>
    <mergeCell ref="X575:Z575"/>
    <mergeCell ref="B576:D576"/>
    <mergeCell ref="E576:G576"/>
    <mergeCell ref="H576:M576"/>
    <mergeCell ref="N576:U576"/>
    <mergeCell ref="V576:W576"/>
    <mergeCell ref="X578:Z578"/>
    <mergeCell ref="B577:D577"/>
    <mergeCell ref="E577:G577"/>
    <mergeCell ref="H577:M577"/>
    <mergeCell ref="N577:U577"/>
    <mergeCell ref="V577:W577"/>
    <mergeCell ref="X577:Z577"/>
    <mergeCell ref="B578:D578"/>
    <mergeCell ref="E578:G578"/>
    <mergeCell ref="H578:M578"/>
    <mergeCell ref="N578:U578"/>
    <mergeCell ref="V578:W578"/>
    <mergeCell ref="X580:Z580"/>
    <mergeCell ref="B579:D579"/>
    <mergeCell ref="E579:G579"/>
    <mergeCell ref="H579:M579"/>
    <mergeCell ref="N579:U579"/>
    <mergeCell ref="V579:W579"/>
    <mergeCell ref="X579:Z579"/>
    <mergeCell ref="B580:D580"/>
    <mergeCell ref="E580:G580"/>
    <mergeCell ref="H580:M580"/>
    <mergeCell ref="N580:U580"/>
    <mergeCell ref="V580:W580"/>
    <mergeCell ref="X582:Z582"/>
    <mergeCell ref="B581:D581"/>
    <mergeCell ref="E581:G581"/>
    <mergeCell ref="H581:M581"/>
    <mergeCell ref="N581:U581"/>
    <mergeCell ref="V581:W581"/>
    <mergeCell ref="X581:Z581"/>
    <mergeCell ref="B582:D582"/>
    <mergeCell ref="E582:G582"/>
    <mergeCell ref="H582:M582"/>
    <mergeCell ref="N582:U582"/>
    <mergeCell ref="V582:W582"/>
    <mergeCell ref="X584:Z584"/>
    <mergeCell ref="B583:D583"/>
    <mergeCell ref="E583:G583"/>
    <mergeCell ref="H583:M583"/>
    <mergeCell ref="N583:U583"/>
    <mergeCell ref="V583:W583"/>
    <mergeCell ref="X583:Z583"/>
    <mergeCell ref="B584:D584"/>
    <mergeCell ref="E584:G584"/>
    <mergeCell ref="H584:M584"/>
    <mergeCell ref="N584:U584"/>
    <mergeCell ref="V584:W584"/>
    <mergeCell ref="X586:Z586"/>
    <mergeCell ref="B585:D585"/>
    <mergeCell ref="E585:G585"/>
    <mergeCell ref="H585:M585"/>
    <mergeCell ref="N585:U585"/>
    <mergeCell ref="V585:W585"/>
    <mergeCell ref="X585:Z585"/>
    <mergeCell ref="B586:D586"/>
    <mergeCell ref="E586:G586"/>
    <mergeCell ref="H586:M586"/>
    <mergeCell ref="N586:U586"/>
    <mergeCell ref="V586:W586"/>
    <mergeCell ref="X588:Z588"/>
    <mergeCell ref="B587:D587"/>
    <mergeCell ref="E587:G587"/>
    <mergeCell ref="H587:M587"/>
    <mergeCell ref="N587:U587"/>
    <mergeCell ref="V587:W587"/>
    <mergeCell ref="X587:Z587"/>
    <mergeCell ref="B588:D588"/>
    <mergeCell ref="E588:G588"/>
    <mergeCell ref="H588:M588"/>
    <mergeCell ref="N588:U588"/>
    <mergeCell ref="V588:W588"/>
    <mergeCell ref="X590:Z590"/>
    <mergeCell ref="B589:D589"/>
    <mergeCell ref="E589:G589"/>
    <mergeCell ref="H589:M589"/>
    <mergeCell ref="N589:U589"/>
    <mergeCell ref="V589:W589"/>
    <mergeCell ref="X589:Z589"/>
    <mergeCell ref="B590:D590"/>
    <mergeCell ref="E590:G590"/>
    <mergeCell ref="H590:M590"/>
    <mergeCell ref="N590:U590"/>
    <mergeCell ref="V590:W590"/>
    <mergeCell ref="X592:Z592"/>
    <mergeCell ref="B591:D591"/>
    <mergeCell ref="E591:G591"/>
    <mergeCell ref="H591:M591"/>
    <mergeCell ref="N591:U591"/>
    <mergeCell ref="V591:W591"/>
    <mergeCell ref="X591:Z591"/>
    <mergeCell ref="B592:D592"/>
    <mergeCell ref="E592:G592"/>
    <mergeCell ref="H592:M592"/>
    <mergeCell ref="N592:U592"/>
    <mergeCell ref="V592:W592"/>
    <mergeCell ref="X594:Z594"/>
    <mergeCell ref="B593:D593"/>
    <mergeCell ref="E593:G593"/>
    <mergeCell ref="H593:M593"/>
    <mergeCell ref="N593:U593"/>
    <mergeCell ref="V593:W593"/>
    <mergeCell ref="X593:Z593"/>
    <mergeCell ref="B594:D594"/>
    <mergeCell ref="E594:G594"/>
    <mergeCell ref="H594:M594"/>
    <mergeCell ref="N594:U594"/>
    <mergeCell ref="V594:W594"/>
    <mergeCell ref="X596:Z596"/>
    <mergeCell ref="B595:D595"/>
    <mergeCell ref="E595:G595"/>
    <mergeCell ref="H595:M595"/>
    <mergeCell ref="N595:U595"/>
    <mergeCell ref="V595:W595"/>
    <mergeCell ref="X595:Z595"/>
    <mergeCell ref="B596:D596"/>
    <mergeCell ref="E596:G596"/>
    <mergeCell ref="H596:M596"/>
    <mergeCell ref="N596:U596"/>
    <mergeCell ref="V596:W596"/>
    <mergeCell ref="X598:Z598"/>
    <mergeCell ref="B597:D597"/>
    <mergeCell ref="E597:G597"/>
    <mergeCell ref="H597:M597"/>
    <mergeCell ref="N597:U597"/>
    <mergeCell ref="V597:W597"/>
    <mergeCell ref="X597:Z597"/>
    <mergeCell ref="B598:D598"/>
    <mergeCell ref="E598:G598"/>
    <mergeCell ref="H598:M598"/>
    <mergeCell ref="N598:U598"/>
    <mergeCell ref="V598:W598"/>
    <mergeCell ref="X600:Z600"/>
    <mergeCell ref="B599:D599"/>
    <mergeCell ref="E599:G599"/>
    <mergeCell ref="H599:M599"/>
    <mergeCell ref="N599:U599"/>
    <mergeCell ref="V599:W599"/>
    <mergeCell ref="X599:Z599"/>
    <mergeCell ref="B600:D600"/>
    <mergeCell ref="E600:G600"/>
    <mergeCell ref="H600:M600"/>
    <mergeCell ref="N600:U600"/>
    <mergeCell ref="V600:W600"/>
    <mergeCell ref="X602:Z602"/>
    <mergeCell ref="B601:D601"/>
    <mergeCell ref="E601:G601"/>
    <mergeCell ref="H601:M601"/>
    <mergeCell ref="N601:U601"/>
    <mergeCell ref="V601:W601"/>
    <mergeCell ref="X601:Z601"/>
    <mergeCell ref="B602:D602"/>
    <mergeCell ref="E602:G602"/>
    <mergeCell ref="H602:M602"/>
    <mergeCell ref="N602:U602"/>
    <mergeCell ref="V602:W602"/>
    <mergeCell ref="X604:Z604"/>
    <mergeCell ref="B603:D603"/>
    <mergeCell ref="E603:G603"/>
    <mergeCell ref="H603:M603"/>
    <mergeCell ref="N603:U603"/>
    <mergeCell ref="V603:W603"/>
    <mergeCell ref="X603:Z603"/>
    <mergeCell ref="B604:D604"/>
    <mergeCell ref="E604:G604"/>
    <mergeCell ref="H604:M604"/>
    <mergeCell ref="N604:U604"/>
    <mergeCell ref="V604:W604"/>
    <mergeCell ref="X606:Z606"/>
    <mergeCell ref="B605:D605"/>
    <mergeCell ref="E605:G605"/>
    <mergeCell ref="H605:M605"/>
    <mergeCell ref="N605:U605"/>
    <mergeCell ref="V605:W605"/>
    <mergeCell ref="X605:Z605"/>
    <mergeCell ref="B606:D606"/>
    <mergeCell ref="E606:G606"/>
    <mergeCell ref="H606:M606"/>
    <mergeCell ref="N606:U606"/>
    <mergeCell ref="V606:W606"/>
    <mergeCell ref="X608:Z608"/>
    <mergeCell ref="B607:D607"/>
    <mergeCell ref="E607:G607"/>
    <mergeCell ref="H607:M607"/>
    <mergeCell ref="N607:U607"/>
    <mergeCell ref="V607:W607"/>
    <mergeCell ref="X607:Z607"/>
    <mergeCell ref="B608:D608"/>
    <mergeCell ref="E608:G608"/>
    <mergeCell ref="H608:M608"/>
    <mergeCell ref="N608:U608"/>
    <mergeCell ref="V608:W608"/>
    <mergeCell ref="X610:Z610"/>
    <mergeCell ref="B609:D609"/>
    <mergeCell ref="E609:G609"/>
    <mergeCell ref="H609:M609"/>
    <mergeCell ref="N609:U609"/>
    <mergeCell ref="V609:W609"/>
    <mergeCell ref="X609:Z609"/>
    <mergeCell ref="B610:D610"/>
    <mergeCell ref="E610:G610"/>
    <mergeCell ref="H610:M610"/>
    <mergeCell ref="N610:U610"/>
    <mergeCell ref="V610:W610"/>
    <mergeCell ref="X612:Z612"/>
    <mergeCell ref="B611:D611"/>
    <mergeCell ref="E611:G611"/>
    <mergeCell ref="H611:M611"/>
    <mergeCell ref="N611:U611"/>
    <mergeCell ref="V611:W611"/>
    <mergeCell ref="X611:Z611"/>
    <mergeCell ref="B612:D612"/>
    <mergeCell ref="E612:G612"/>
    <mergeCell ref="H612:M612"/>
    <mergeCell ref="N612:U612"/>
    <mergeCell ref="V612:W612"/>
    <mergeCell ref="X614:Z614"/>
    <mergeCell ref="B613:D613"/>
    <mergeCell ref="E613:G613"/>
    <mergeCell ref="H613:M613"/>
    <mergeCell ref="N613:U613"/>
    <mergeCell ref="V613:W613"/>
    <mergeCell ref="X613:Z613"/>
    <mergeCell ref="B614:D614"/>
    <mergeCell ref="E614:G614"/>
    <mergeCell ref="H614:M614"/>
    <mergeCell ref="N614:U614"/>
    <mergeCell ref="V614:W614"/>
    <mergeCell ref="X616:Z616"/>
    <mergeCell ref="B615:D615"/>
    <mergeCell ref="E615:G615"/>
    <mergeCell ref="H615:M615"/>
    <mergeCell ref="N615:U615"/>
    <mergeCell ref="V615:W615"/>
    <mergeCell ref="X615:Z615"/>
    <mergeCell ref="B616:D616"/>
    <mergeCell ref="E616:G616"/>
    <mergeCell ref="H616:M616"/>
    <mergeCell ref="N616:U616"/>
    <mergeCell ref="V616:W616"/>
    <mergeCell ref="X618:Z618"/>
    <mergeCell ref="B617:D617"/>
    <mergeCell ref="E617:G617"/>
    <mergeCell ref="H617:M617"/>
    <mergeCell ref="N617:U617"/>
    <mergeCell ref="V617:W617"/>
    <mergeCell ref="X617:Z617"/>
    <mergeCell ref="B618:D618"/>
    <mergeCell ref="E618:G618"/>
    <mergeCell ref="H618:M618"/>
    <mergeCell ref="N618:U618"/>
    <mergeCell ref="V618:W618"/>
    <mergeCell ref="X620:Z620"/>
    <mergeCell ref="B619:D619"/>
    <mergeCell ref="E619:G619"/>
    <mergeCell ref="H619:M619"/>
    <mergeCell ref="N619:U619"/>
    <mergeCell ref="V619:W619"/>
    <mergeCell ref="X619:Z619"/>
    <mergeCell ref="B620:D620"/>
    <mergeCell ref="E620:G620"/>
    <mergeCell ref="H620:M620"/>
    <mergeCell ref="N620:U620"/>
    <mergeCell ref="V620:W620"/>
    <mergeCell ref="X622:Z622"/>
    <mergeCell ref="B621:D621"/>
    <mergeCell ref="E621:G621"/>
    <mergeCell ref="H621:M621"/>
    <mergeCell ref="N621:U621"/>
    <mergeCell ref="V621:W621"/>
    <mergeCell ref="X621:Z621"/>
    <mergeCell ref="B622:D622"/>
    <mergeCell ref="E622:G622"/>
    <mergeCell ref="H622:M622"/>
    <mergeCell ref="N622:U622"/>
    <mergeCell ref="V622:W622"/>
    <mergeCell ref="X624:Z624"/>
    <mergeCell ref="B623:D623"/>
    <mergeCell ref="E623:G623"/>
    <mergeCell ref="H623:M623"/>
    <mergeCell ref="N623:U623"/>
    <mergeCell ref="V623:W623"/>
    <mergeCell ref="X623:Z623"/>
    <mergeCell ref="B624:D624"/>
    <mergeCell ref="E624:G624"/>
    <mergeCell ref="H624:M624"/>
    <mergeCell ref="N624:U624"/>
    <mergeCell ref="V624:W624"/>
    <mergeCell ref="X626:Z626"/>
    <mergeCell ref="B625:D625"/>
    <mergeCell ref="E625:G625"/>
    <mergeCell ref="H625:M625"/>
    <mergeCell ref="N625:U625"/>
    <mergeCell ref="V625:W625"/>
    <mergeCell ref="X625:Z625"/>
    <mergeCell ref="B626:D626"/>
    <mergeCell ref="E626:G626"/>
    <mergeCell ref="H626:M626"/>
    <mergeCell ref="N626:U626"/>
    <mergeCell ref="V626:W626"/>
    <mergeCell ref="X628:Z628"/>
    <mergeCell ref="B627:D627"/>
    <mergeCell ref="E627:G627"/>
    <mergeCell ref="H627:M627"/>
    <mergeCell ref="N627:U627"/>
    <mergeCell ref="V627:W627"/>
    <mergeCell ref="X627:Z627"/>
    <mergeCell ref="B628:D628"/>
    <mergeCell ref="E628:G628"/>
    <mergeCell ref="H628:M628"/>
    <mergeCell ref="N628:U628"/>
    <mergeCell ref="V628:W628"/>
    <mergeCell ref="X630:Z630"/>
    <mergeCell ref="B629:D629"/>
    <mergeCell ref="E629:G629"/>
    <mergeCell ref="H629:M629"/>
    <mergeCell ref="N629:U629"/>
    <mergeCell ref="V629:W629"/>
    <mergeCell ref="X629:Z629"/>
    <mergeCell ref="B630:D630"/>
    <mergeCell ref="E630:G630"/>
    <mergeCell ref="H630:M630"/>
    <mergeCell ref="N630:U630"/>
    <mergeCell ref="V630:W630"/>
    <mergeCell ref="X632:Z632"/>
    <mergeCell ref="B631:D631"/>
    <mergeCell ref="E631:G631"/>
    <mergeCell ref="H631:M631"/>
    <mergeCell ref="N631:U631"/>
    <mergeCell ref="V631:W631"/>
    <mergeCell ref="X631:Z631"/>
    <mergeCell ref="B632:D632"/>
    <mergeCell ref="E632:G632"/>
    <mergeCell ref="H632:M632"/>
    <mergeCell ref="N632:U632"/>
    <mergeCell ref="V632:W632"/>
    <mergeCell ref="X634:Z634"/>
    <mergeCell ref="B633:D633"/>
    <mergeCell ref="E633:G633"/>
    <mergeCell ref="H633:M633"/>
    <mergeCell ref="N633:U633"/>
    <mergeCell ref="V633:W633"/>
    <mergeCell ref="X633:Z633"/>
    <mergeCell ref="B634:D634"/>
    <mergeCell ref="E634:G634"/>
    <mergeCell ref="H634:M634"/>
    <mergeCell ref="N634:U634"/>
    <mergeCell ref="V634:W634"/>
    <mergeCell ref="X636:Z636"/>
    <mergeCell ref="B635:D635"/>
    <mergeCell ref="E635:G635"/>
    <mergeCell ref="H635:M635"/>
    <mergeCell ref="N635:U635"/>
    <mergeCell ref="V635:W635"/>
    <mergeCell ref="X635:Z635"/>
    <mergeCell ref="B636:D636"/>
    <mergeCell ref="E636:G636"/>
    <mergeCell ref="H636:M636"/>
    <mergeCell ref="N636:U636"/>
    <mergeCell ref="V636:W636"/>
    <mergeCell ref="X638:Z638"/>
    <mergeCell ref="B637:D637"/>
    <mergeCell ref="E637:G637"/>
    <mergeCell ref="H637:M637"/>
    <mergeCell ref="N637:U637"/>
    <mergeCell ref="V637:W637"/>
    <mergeCell ref="X637:Z637"/>
    <mergeCell ref="B638:D638"/>
    <mergeCell ref="E638:G638"/>
    <mergeCell ref="H638:M638"/>
    <mergeCell ref="N638:U638"/>
    <mergeCell ref="V638:W638"/>
    <mergeCell ref="X640:Z640"/>
    <mergeCell ref="B639:D639"/>
    <mergeCell ref="E639:G639"/>
    <mergeCell ref="H639:M639"/>
    <mergeCell ref="N639:U639"/>
    <mergeCell ref="V639:W639"/>
    <mergeCell ref="X639:Z639"/>
    <mergeCell ref="B640:D640"/>
    <mergeCell ref="E640:G640"/>
    <mergeCell ref="H640:M640"/>
    <mergeCell ref="N640:U640"/>
    <mergeCell ref="V640:W640"/>
    <mergeCell ref="X642:Z642"/>
    <mergeCell ref="B641:D641"/>
    <mergeCell ref="E641:G641"/>
    <mergeCell ref="H641:M641"/>
    <mergeCell ref="N641:U641"/>
    <mergeCell ref="V641:W641"/>
    <mergeCell ref="X641:Z641"/>
    <mergeCell ref="B642:D642"/>
    <mergeCell ref="E642:G642"/>
    <mergeCell ref="H642:M642"/>
    <mergeCell ref="N642:U642"/>
    <mergeCell ref="V642:W642"/>
    <mergeCell ref="X644:Z644"/>
    <mergeCell ref="B643:D643"/>
    <mergeCell ref="E643:G643"/>
    <mergeCell ref="H643:M643"/>
    <mergeCell ref="N643:U643"/>
    <mergeCell ref="V643:W643"/>
    <mergeCell ref="X643:Z643"/>
    <mergeCell ref="B644:D644"/>
    <mergeCell ref="E644:G644"/>
    <mergeCell ref="H644:M644"/>
    <mergeCell ref="N644:U644"/>
    <mergeCell ref="V644:W644"/>
    <mergeCell ref="X646:Z646"/>
    <mergeCell ref="B645:D645"/>
    <mergeCell ref="E645:G645"/>
    <mergeCell ref="H645:M645"/>
    <mergeCell ref="N645:U645"/>
    <mergeCell ref="V645:W645"/>
    <mergeCell ref="X645:Z645"/>
    <mergeCell ref="B646:D646"/>
    <mergeCell ref="E646:G646"/>
    <mergeCell ref="H646:M646"/>
    <mergeCell ref="N646:U646"/>
    <mergeCell ref="V646:W646"/>
    <mergeCell ref="X648:Z648"/>
    <mergeCell ref="B647:D647"/>
    <mergeCell ref="E647:G647"/>
    <mergeCell ref="H647:M647"/>
    <mergeCell ref="N647:U647"/>
    <mergeCell ref="V647:W647"/>
    <mergeCell ref="X647:Z647"/>
    <mergeCell ref="B648:D648"/>
    <mergeCell ref="E648:G648"/>
    <mergeCell ref="H648:M648"/>
    <mergeCell ref="N648:U648"/>
    <mergeCell ref="V648:W648"/>
    <mergeCell ref="X650:Z650"/>
    <mergeCell ref="B649:D649"/>
    <mergeCell ref="E649:G649"/>
    <mergeCell ref="H649:M649"/>
    <mergeCell ref="N649:U649"/>
    <mergeCell ref="V649:W649"/>
    <mergeCell ref="X649:Z649"/>
    <mergeCell ref="B650:D650"/>
    <mergeCell ref="E650:G650"/>
    <mergeCell ref="H650:M650"/>
    <mergeCell ref="N650:U650"/>
    <mergeCell ref="V650:W650"/>
    <mergeCell ref="X652:Z652"/>
    <mergeCell ref="B651:D651"/>
    <mergeCell ref="E651:G651"/>
    <mergeCell ref="H651:M651"/>
    <mergeCell ref="N651:U651"/>
    <mergeCell ref="V651:W651"/>
    <mergeCell ref="X651:Z651"/>
    <mergeCell ref="B652:D652"/>
    <mergeCell ref="E652:G652"/>
    <mergeCell ref="H652:M652"/>
    <mergeCell ref="N652:U652"/>
    <mergeCell ref="V652:W652"/>
    <mergeCell ref="X654:Z654"/>
    <mergeCell ref="B653:D653"/>
    <mergeCell ref="E653:G653"/>
    <mergeCell ref="H653:M653"/>
    <mergeCell ref="N653:U653"/>
    <mergeCell ref="V653:W653"/>
    <mergeCell ref="X653:Z653"/>
    <mergeCell ref="B654:D654"/>
    <mergeCell ref="E654:G654"/>
    <mergeCell ref="H654:M654"/>
    <mergeCell ref="N654:U654"/>
    <mergeCell ref="V654:W654"/>
    <mergeCell ref="X656:Z656"/>
    <mergeCell ref="B655:D655"/>
    <mergeCell ref="E655:G655"/>
    <mergeCell ref="H655:M655"/>
    <mergeCell ref="N655:U655"/>
    <mergeCell ref="V655:W655"/>
    <mergeCell ref="X655:Z655"/>
    <mergeCell ref="B656:D656"/>
    <mergeCell ref="E656:G656"/>
    <mergeCell ref="H656:M656"/>
    <mergeCell ref="N656:U656"/>
    <mergeCell ref="V656:W656"/>
    <mergeCell ref="X658:Z658"/>
    <mergeCell ref="B657:D657"/>
    <mergeCell ref="E657:G657"/>
    <mergeCell ref="H657:M657"/>
    <mergeCell ref="N657:U657"/>
    <mergeCell ref="V657:W657"/>
    <mergeCell ref="X657:Z657"/>
    <mergeCell ref="B658:D658"/>
    <mergeCell ref="E658:G658"/>
    <mergeCell ref="H658:M658"/>
    <mergeCell ref="N658:U658"/>
    <mergeCell ref="V658:W658"/>
    <mergeCell ref="X660:Z660"/>
    <mergeCell ref="B659:D659"/>
    <mergeCell ref="E659:G659"/>
    <mergeCell ref="H659:M659"/>
    <mergeCell ref="N659:U659"/>
    <mergeCell ref="V659:W659"/>
    <mergeCell ref="X659:Z659"/>
    <mergeCell ref="B660:D660"/>
    <mergeCell ref="E660:G660"/>
    <mergeCell ref="H660:M660"/>
    <mergeCell ref="N660:U660"/>
    <mergeCell ref="V660:W660"/>
    <mergeCell ref="X662:Z662"/>
    <mergeCell ref="B661:D661"/>
    <mergeCell ref="E661:G661"/>
    <mergeCell ref="H661:M661"/>
    <mergeCell ref="N661:U661"/>
    <mergeCell ref="V661:W661"/>
    <mergeCell ref="X661:Z661"/>
    <mergeCell ref="B662:D662"/>
    <mergeCell ref="E662:G662"/>
    <mergeCell ref="H662:M662"/>
    <mergeCell ref="N662:U662"/>
    <mergeCell ref="V662:W662"/>
    <mergeCell ref="X664:Z664"/>
    <mergeCell ref="B663:D663"/>
    <mergeCell ref="E663:G663"/>
    <mergeCell ref="H663:M663"/>
    <mergeCell ref="N663:U663"/>
    <mergeCell ref="V663:W663"/>
    <mergeCell ref="X663:Z663"/>
    <mergeCell ref="B664:D664"/>
    <mergeCell ref="E664:G664"/>
    <mergeCell ref="H664:M664"/>
    <mergeCell ref="N664:U664"/>
    <mergeCell ref="V664:W664"/>
    <mergeCell ref="X666:Z666"/>
    <mergeCell ref="B665:D665"/>
    <mergeCell ref="E665:G665"/>
    <mergeCell ref="H665:M665"/>
    <mergeCell ref="N665:U665"/>
    <mergeCell ref="V665:W665"/>
    <mergeCell ref="X665:Z665"/>
    <mergeCell ref="B666:D666"/>
    <mergeCell ref="E666:G666"/>
    <mergeCell ref="H666:M666"/>
    <mergeCell ref="N666:U666"/>
    <mergeCell ref="V666:W666"/>
    <mergeCell ref="X668:Z668"/>
    <mergeCell ref="B667:D667"/>
    <mergeCell ref="E667:G667"/>
    <mergeCell ref="H667:M667"/>
    <mergeCell ref="N667:U667"/>
    <mergeCell ref="V667:W667"/>
    <mergeCell ref="X667:Z667"/>
    <mergeCell ref="B668:D668"/>
    <mergeCell ref="E668:G668"/>
    <mergeCell ref="H668:M668"/>
    <mergeCell ref="N668:U668"/>
    <mergeCell ref="V668:W668"/>
    <mergeCell ref="X670:Z670"/>
    <mergeCell ref="B669:D669"/>
    <mergeCell ref="E669:G669"/>
    <mergeCell ref="H669:M669"/>
    <mergeCell ref="N669:U669"/>
    <mergeCell ref="V669:W669"/>
    <mergeCell ref="X669:Z669"/>
    <mergeCell ref="B670:D670"/>
    <mergeCell ref="E670:G670"/>
    <mergeCell ref="H670:M670"/>
    <mergeCell ref="N670:U670"/>
    <mergeCell ref="V670:W670"/>
    <mergeCell ref="X672:Z672"/>
    <mergeCell ref="B671:D671"/>
    <mergeCell ref="E671:G671"/>
    <mergeCell ref="H671:M671"/>
    <mergeCell ref="N671:U671"/>
    <mergeCell ref="V671:W671"/>
    <mergeCell ref="X671:Z671"/>
    <mergeCell ref="B672:D672"/>
    <mergeCell ref="E672:G672"/>
    <mergeCell ref="H672:M672"/>
    <mergeCell ref="N672:U672"/>
    <mergeCell ref="V672:W672"/>
    <mergeCell ref="X674:Z674"/>
    <mergeCell ref="B673:D673"/>
    <mergeCell ref="E673:G673"/>
    <mergeCell ref="H673:M673"/>
    <mergeCell ref="N673:U673"/>
    <mergeCell ref="V673:W673"/>
    <mergeCell ref="X673:Z673"/>
    <mergeCell ref="B674:D674"/>
    <mergeCell ref="E674:G674"/>
    <mergeCell ref="H674:M674"/>
    <mergeCell ref="N674:U674"/>
    <mergeCell ref="V674:W674"/>
    <mergeCell ref="X676:Z676"/>
    <mergeCell ref="B675:D675"/>
    <mergeCell ref="E675:G675"/>
    <mergeCell ref="H675:M675"/>
    <mergeCell ref="N675:U675"/>
    <mergeCell ref="V675:W675"/>
    <mergeCell ref="X675:Z675"/>
    <mergeCell ref="B676:D676"/>
    <mergeCell ref="E676:G676"/>
    <mergeCell ref="H676:M676"/>
    <mergeCell ref="N676:U676"/>
    <mergeCell ref="V676:W676"/>
    <mergeCell ref="X678:Z678"/>
    <mergeCell ref="B677:D677"/>
    <mergeCell ref="E677:G677"/>
    <mergeCell ref="H677:M677"/>
    <mergeCell ref="N677:U677"/>
    <mergeCell ref="V677:W677"/>
    <mergeCell ref="X677:Z677"/>
    <mergeCell ref="B678:D678"/>
    <mergeCell ref="E678:G678"/>
    <mergeCell ref="H678:M678"/>
    <mergeCell ref="N678:U678"/>
    <mergeCell ref="V678:W678"/>
    <mergeCell ref="X680:Z680"/>
    <mergeCell ref="B679:D679"/>
    <mergeCell ref="E679:G679"/>
    <mergeCell ref="H679:M679"/>
    <mergeCell ref="N679:U679"/>
    <mergeCell ref="V679:W679"/>
    <mergeCell ref="X679:Z679"/>
    <mergeCell ref="B680:D680"/>
    <mergeCell ref="E680:G680"/>
    <mergeCell ref="H680:M680"/>
    <mergeCell ref="N680:U680"/>
    <mergeCell ref="V680:W680"/>
    <mergeCell ref="X682:Z682"/>
    <mergeCell ref="B681:D681"/>
    <mergeCell ref="E681:G681"/>
    <mergeCell ref="H681:M681"/>
    <mergeCell ref="N681:U681"/>
    <mergeCell ref="V681:W681"/>
    <mergeCell ref="X681:Z681"/>
    <mergeCell ref="B682:D682"/>
    <mergeCell ref="E682:G682"/>
    <mergeCell ref="H682:M682"/>
    <mergeCell ref="N682:U682"/>
    <mergeCell ref="V682:W682"/>
    <mergeCell ref="X684:Z684"/>
    <mergeCell ref="B683:D683"/>
    <mergeCell ref="E683:G683"/>
    <mergeCell ref="H683:M683"/>
    <mergeCell ref="N683:U683"/>
    <mergeCell ref="V683:W683"/>
    <mergeCell ref="X683:Z683"/>
    <mergeCell ref="B684:D684"/>
    <mergeCell ref="E684:G684"/>
    <mergeCell ref="H684:M684"/>
    <mergeCell ref="N684:U684"/>
    <mergeCell ref="V684:W684"/>
    <mergeCell ref="X686:Z686"/>
    <mergeCell ref="B685:D685"/>
    <mergeCell ref="E685:G685"/>
    <mergeCell ref="H685:M685"/>
    <mergeCell ref="N685:U685"/>
    <mergeCell ref="V685:W685"/>
    <mergeCell ref="X685:Z685"/>
    <mergeCell ref="B686:D686"/>
    <mergeCell ref="E686:G686"/>
    <mergeCell ref="H686:M686"/>
    <mergeCell ref="N686:U686"/>
    <mergeCell ref="V686:W686"/>
    <mergeCell ref="X688:Z688"/>
    <mergeCell ref="B687:D687"/>
    <mergeCell ref="E687:G687"/>
    <mergeCell ref="H687:M687"/>
    <mergeCell ref="N687:U687"/>
    <mergeCell ref="V687:W687"/>
    <mergeCell ref="X687:Z687"/>
    <mergeCell ref="B688:D688"/>
    <mergeCell ref="E688:G688"/>
    <mergeCell ref="H688:M688"/>
    <mergeCell ref="N688:U688"/>
    <mergeCell ref="V688:W688"/>
    <mergeCell ref="X690:Z690"/>
    <mergeCell ref="B689:D689"/>
    <mergeCell ref="E689:G689"/>
    <mergeCell ref="H689:M689"/>
    <mergeCell ref="N689:U689"/>
    <mergeCell ref="V689:W689"/>
    <mergeCell ref="X689:Z689"/>
    <mergeCell ref="B690:D690"/>
    <mergeCell ref="E690:G690"/>
    <mergeCell ref="H690:M690"/>
    <mergeCell ref="N690:U690"/>
    <mergeCell ref="V690:W690"/>
    <mergeCell ref="X692:Z692"/>
    <mergeCell ref="B691:D691"/>
    <mergeCell ref="E691:G691"/>
    <mergeCell ref="H691:M691"/>
    <mergeCell ref="N691:U691"/>
    <mergeCell ref="V691:W691"/>
    <mergeCell ref="X691:Z691"/>
    <mergeCell ref="B692:D692"/>
    <mergeCell ref="E692:G692"/>
    <mergeCell ref="H692:M692"/>
    <mergeCell ref="N692:U692"/>
    <mergeCell ref="V692:W692"/>
    <mergeCell ref="X694:Z694"/>
    <mergeCell ref="B693:D693"/>
    <mergeCell ref="E693:G693"/>
    <mergeCell ref="H693:M693"/>
    <mergeCell ref="N693:U693"/>
    <mergeCell ref="V693:W693"/>
    <mergeCell ref="X693:Z693"/>
    <mergeCell ref="B694:D694"/>
    <mergeCell ref="E694:G694"/>
    <mergeCell ref="H694:M694"/>
    <mergeCell ref="N694:U694"/>
    <mergeCell ref="V694:W694"/>
    <mergeCell ref="X696:Z696"/>
    <mergeCell ref="B695:D695"/>
    <mergeCell ref="E695:G695"/>
    <mergeCell ref="H695:M695"/>
    <mergeCell ref="N695:U695"/>
    <mergeCell ref="V695:W695"/>
    <mergeCell ref="X695:Z695"/>
    <mergeCell ref="B696:D696"/>
    <mergeCell ref="E696:G696"/>
    <mergeCell ref="H696:M696"/>
    <mergeCell ref="N696:U696"/>
    <mergeCell ref="V696:W696"/>
    <mergeCell ref="X698:Z698"/>
    <mergeCell ref="B697:D697"/>
    <mergeCell ref="E697:G697"/>
    <mergeCell ref="H697:M697"/>
    <mergeCell ref="N697:U697"/>
    <mergeCell ref="V697:W697"/>
    <mergeCell ref="X697:Z697"/>
    <mergeCell ref="B698:D698"/>
    <mergeCell ref="E698:G698"/>
    <mergeCell ref="H698:M698"/>
    <mergeCell ref="N698:U698"/>
    <mergeCell ref="V698:W698"/>
    <mergeCell ref="X700:Z700"/>
    <mergeCell ref="B699:D699"/>
    <mergeCell ref="E699:G699"/>
    <mergeCell ref="H699:M699"/>
    <mergeCell ref="N699:U699"/>
    <mergeCell ref="V699:W699"/>
    <mergeCell ref="X699:Z699"/>
    <mergeCell ref="B700:D700"/>
    <mergeCell ref="E700:G700"/>
    <mergeCell ref="H700:M700"/>
    <mergeCell ref="N700:U700"/>
    <mergeCell ref="V700:W700"/>
    <mergeCell ref="X702:Z702"/>
    <mergeCell ref="B701:D701"/>
    <mergeCell ref="E701:G701"/>
    <mergeCell ref="H701:M701"/>
    <mergeCell ref="N701:U701"/>
    <mergeCell ref="V701:W701"/>
    <mergeCell ref="X701:Z701"/>
    <mergeCell ref="B702:D702"/>
    <mergeCell ref="E702:G702"/>
    <mergeCell ref="H702:M702"/>
    <mergeCell ref="N702:U702"/>
    <mergeCell ref="V702:W702"/>
    <mergeCell ref="X704:Z704"/>
    <mergeCell ref="B703:D703"/>
    <mergeCell ref="E703:G703"/>
    <mergeCell ref="H703:M703"/>
    <mergeCell ref="N703:U703"/>
    <mergeCell ref="V703:W703"/>
    <mergeCell ref="X703:Z703"/>
    <mergeCell ref="B704:D704"/>
    <mergeCell ref="E704:G704"/>
    <mergeCell ref="H704:M704"/>
    <mergeCell ref="N704:U704"/>
    <mergeCell ref="V704:W704"/>
    <mergeCell ref="X706:Z706"/>
    <mergeCell ref="B705:D705"/>
    <mergeCell ref="E705:G705"/>
    <mergeCell ref="H705:M705"/>
    <mergeCell ref="N705:U705"/>
    <mergeCell ref="V705:W705"/>
    <mergeCell ref="X705:Z705"/>
    <mergeCell ref="B706:D706"/>
    <mergeCell ref="E706:G706"/>
    <mergeCell ref="H706:M706"/>
    <mergeCell ref="N706:U706"/>
    <mergeCell ref="V706:W706"/>
    <mergeCell ref="X708:Z708"/>
    <mergeCell ref="B707:D707"/>
    <mergeCell ref="E707:G707"/>
    <mergeCell ref="H707:M707"/>
    <mergeCell ref="N707:U707"/>
    <mergeCell ref="V707:W707"/>
    <mergeCell ref="X707:Z707"/>
    <mergeCell ref="B708:D708"/>
    <mergeCell ref="E708:G708"/>
    <mergeCell ref="H708:M708"/>
    <mergeCell ref="N708:U708"/>
    <mergeCell ref="V708:W708"/>
    <mergeCell ref="X710:Z710"/>
    <mergeCell ref="B709:D709"/>
    <mergeCell ref="E709:G709"/>
    <mergeCell ref="H709:M709"/>
    <mergeCell ref="N709:U709"/>
    <mergeCell ref="V709:W709"/>
    <mergeCell ref="X709:Z709"/>
    <mergeCell ref="B710:D710"/>
    <mergeCell ref="E710:G710"/>
    <mergeCell ref="H710:M710"/>
    <mergeCell ref="N710:U710"/>
    <mergeCell ref="V710:W710"/>
    <mergeCell ref="X712:Z712"/>
    <mergeCell ref="B711:D711"/>
    <mergeCell ref="E711:G711"/>
    <mergeCell ref="H711:M711"/>
    <mergeCell ref="N711:U711"/>
    <mergeCell ref="V711:W711"/>
    <mergeCell ref="X711:Z711"/>
    <mergeCell ref="B712:D712"/>
    <mergeCell ref="E712:G712"/>
    <mergeCell ref="H712:M712"/>
    <mergeCell ref="N712:U712"/>
    <mergeCell ref="V712:W712"/>
    <mergeCell ref="X714:Z714"/>
    <mergeCell ref="B713:D713"/>
    <mergeCell ref="E713:G713"/>
    <mergeCell ref="H713:M713"/>
    <mergeCell ref="N713:U713"/>
    <mergeCell ref="V713:W713"/>
    <mergeCell ref="X713:Z713"/>
    <mergeCell ref="B714:D714"/>
    <mergeCell ref="E714:G714"/>
    <mergeCell ref="H714:M714"/>
    <mergeCell ref="N714:U714"/>
    <mergeCell ref="V714:W714"/>
    <mergeCell ref="X716:Z716"/>
    <mergeCell ref="B715:D715"/>
    <mergeCell ref="E715:G715"/>
    <mergeCell ref="H715:M715"/>
    <mergeCell ref="N715:U715"/>
    <mergeCell ref="V715:W715"/>
    <mergeCell ref="X715:Z715"/>
    <mergeCell ref="B716:D716"/>
    <mergeCell ref="E716:G716"/>
    <mergeCell ref="H716:M716"/>
    <mergeCell ref="N716:U716"/>
    <mergeCell ref="V716:W716"/>
    <mergeCell ref="X718:Z718"/>
    <mergeCell ref="B717:D717"/>
    <mergeCell ref="E717:G717"/>
    <mergeCell ref="H717:M717"/>
    <mergeCell ref="N717:U717"/>
    <mergeCell ref="V717:W717"/>
    <mergeCell ref="X717:Z717"/>
    <mergeCell ref="B718:D718"/>
    <mergeCell ref="E718:G718"/>
    <mergeCell ref="H718:M718"/>
    <mergeCell ref="N718:U718"/>
    <mergeCell ref="V718:W718"/>
    <mergeCell ref="X720:Z720"/>
    <mergeCell ref="B719:D719"/>
    <mergeCell ref="E719:G719"/>
    <mergeCell ref="H719:M719"/>
    <mergeCell ref="N719:U719"/>
    <mergeCell ref="V719:W719"/>
    <mergeCell ref="X719:Z719"/>
    <mergeCell ref="B720:D720"/>
    <mergeCell ref="E720:G720"/>
    <mergeCell ref="H720:M720"/>
    <mergeCell ref="N720:U720"/>
    <mergeCell ref="V720:W720"/>
    <mergeCell ref="X722:Z722"/>
    <mergeCell ref="B721:D721"/>
    <mergeCell ref="E721:G721"/>
    <mergeCell ref="H721:M721"/>
    <mergeCell ref="N721:U721"/>
    <mergeCell ref="V721:W721"/>
    <mergeCell ref="X721:Z721"/>
    <mergeCell ref="B722:D722"/>
    <mergeCell ref="E722:G722"/>
    <mergeCell ref="H722:M722"/>
    <mergeCell ref="N722:U722"/>
    <mergeCell ref="V722:W722"/>
    <mergeCell ref="X724:Z724"/>
    <mergeCell ref="B723:D723"/>
    <mergeCell ref="E723:G723"/>
    <mergeCell ref="H723:M723"/>
    <mergeCell ref="N723:U723"/>
    <mergeCell ref="V723:W723"/>
    <mergeCell ref="X723:Z723"/>
    <mergeCell ref="B724:D724"/>
    <mergeCell ref="E724:G724"/>
    <mergeCell ref="H724:M724"/>
    <mergeCell ref="N724:U724"/>
    <mergeCell ref="V724:W724"/>
    <mergeCell ref="X726:Z726"/>
    <mergeCell ref="B725:D725"/>
    <mergeCell ref="E725:G725"/>
    <mergeCell ref="H725:M725"/>
    <mergeCell ref="N725:U725"/>
    <mergeCell ref="V725:W725"/>
    <mergeCell ref="X725:Z725"/>
    <mergeCell ref="B726:D726"/>
    <mergeCell ref="E726:G726"/>
    <mergeCell ref="H726:M726"/>
    <mergeCell ref="N726:U726"/>
    <mergeCell ref="V726:W726"/>
    <mergeCell ref="X728:Z728"/>
    <mergeCell ref="B727:D727"/>
    <mergeCell ref="E727:G727"/>
    <mergeCell ref="H727:M727"/>
    <mergeCell ref="N727:U727"/>
    <mergeCell ref="V727:W727"/>
    <mergeCell ref="X727:Z727"/>
    <mergeCell ref="B728:D728"/>
    <mergeCell ref="E728:G728"/>
    <mergeCell ref="H728:M728"/>
    <mergeCell ref="N728:U728"/>
    <mergeCell ref="V728:W728"/>
    <mergeCell ref="X730:Z730"/>
    <mergeCell ref="B729:D729"/>
    <mergeCell ref="E729:G729"/>
    <mergeCell ref="H729:M729"/>
    <mergeCell ref="N729:U729"/>
    <mergeCell ref="V729:W729"/>
    <mergeCell ref="X729:Z729"/>
    <mergeCell ref="B730:D730"/>
    <mergeCell ref="E730:G730"/>
    <mergeCell ref="H730:M730"/>
    <mergeCell ref="N730:U730"/>
    <mergeCell ref="V730:W730"/>
    <mergeCell ref="X732:Z732"/>
    <mergeCell ref="B731:D731"/>
    <mergeCell ref="E731:G731"/>
    <mergeCell ref="H731:M731"/>
    <mergeCell ref="N731:U731"/>
    <mergeCell ref="V731:W731"/>
    <mergeCell ref="X731:Z731"/>
    <mergeCell ref="B732:D732"/>
    <mergeCell ref="E732:G732"/>
    <mergeCell ref="H732:M732"/>
    <mergeCell ref="N732:U732"/>
    <mergeCell ref="V732:W732"/>
    <mergeCell ref="X734:Z734"/>
    <mergeCell ref="B733:D733"/>
    <mergeCell ref="E733:G733"/>
    <mergeCell ref="H733:M733"/>
    <mergeCell ref="N733:U733"/>
    <mergeCell ref="V733:W733"/>
    <mergeCell ref="X733:Z733"/>
    <mergeCell ref="B734:D734"/>
    <mergeCell ref="E734:G734"/>
    <mergeCell ref="H734:M734"/>
    <mergeCell ref="N734:U734"/>
    <mergeCell ref="V734:W734"/>
    <mergeCell ref="X736:Z736"/>
    <mergeCell ref="B735:D735"/>
    <mergeCell ref="E735:G735"/>
    <mergeCell ref="H735:M735"/>
    <mergeCell ref="N735:U735"/>
    <mergeCell ref="V735:W735"/>
    <mergeCell ref="X735:Z735"/>
    <mergeCell ref="B736:D736"/>
    <mergeCell ref="E736:G736"/>
    <mergeCell ref="H736:M736"/>
    <mergeCell ref="N736:U736"/>
    <mergeCell ref="V736:W736"/>
    <mergeCell ref="X738:Z738"/>
    <mergeCell ref="B737:D737"/>
    <mergeCell ref="E737:G737"/>
    <mergeCell ref="H737:M737"/>
    <mergeCell ref="N737:U737"/>
    <mergeCell ref="V737:W737"/>
    <mergeCell ref="X737:Z737"/>
    <mergeCell ref="B738:D738"/>
    <mergeCell ref="E738:G738"/>
    <mergeCell ref="H738:M738"/>
    <mergeCell ref="N738:U738"/>
    <mergeCell ref="V738:W738"/>
    <mergeCell ref="X740:Z740"/>
    <mergeCell ref="B739:D739"/>
    <mergeCell ref="E739:G739"/>
    <mergeCell ref="H739:M739"/>
    <mergeCell ref="N739:U739"/>
    <mergeCell ref="V739:W739"/>
    <mergeCell ref="X739:Z739"/>
    <mergeCell ref="B740:D740"/>
    <mergeCell ref="E740:G740"/>
    <mergeCell ref="H740:M740"/>
    <mergeCell ref="N740:U740"/>
    <mergeCell ref="V740:W740"/>
    <mergeCell ref="X742:Z742"/>
    <mergeCell ref="B741:D741"/>
    <mergeCell ref="E741:G741"/>
    <mergeCell ref="H741:M741"/>
    <mergeCell ref="N741:U741"/>
    <mergeCell ref="V741:W741"/>
    <mergeCell ref="X741:Z741"/>
    <mergeCell ref="B742:D742"/>
    <mergeCell ref="E742:G742"/>
    <mergeCell ref="H742:M742"/>
    <mergeCell ref="N742:U742"/>
    <mergeCell ref="V742:W742"/>
    <mergeCell ref="X744:Z744"/>
    <mergeCell ref="B743:D743"/>
    <mergeCell ref="E743:G743"/>
    <mergeCell ref="H743:M743"/>
    <mergeCell ref="N743:U743"/>
    <mergeCell ref="V743:W743"/>
    <mergeCell ref="X743:Z743"/>
    <mergeCell ref="B744:D744"/>
    <mergeCell ref="E744:G744"/>
    <mergeCell ref="H744:M744"/>
    <mergeCell ref="N744:U744"/>
    <mergeCell ref="V744:W744"/>
    <mergeCell ref="X746:Z746"/>
    <mergeCell ref="B745:D745"/>
    <mergeCell ref="E745:G745"/>
    <mergeCell ref="H745:M745"/>
    <mergeCell ref="N745:U745"/>
    <mergeCell ref="V745:W745"/>
    <mergeCell ref="X745:Z745"/>
    <mergeCell ref="B746:D746"/>
    <mergeCell ref="E746:G746"/>
    <mergeCell ref="H746:M746"/>
    <mergeCell ref="N746:U746"/>
    <mergeCell ref="V746:W746"/>
    <mergeCell ref="X748:Z748"/>
    <mergeCell ref="B747:D747"/>
    <mergeCell ref="E747:G747"/>
    <mergeCell ref="H747:M747"/>
    <mergeCell ref="N747:U747"/>
    <mergeCell ref="V747:W747"/>
    <mergeCell ref="X747:Z747"/>
    <mergeCell ref="B748:D748"/>
    <mergeCell ref="E748:G748"/>
    <mergeCell ref="H748:M748"/>
    <mergeCell ref="N748:U748"/>
    <mergeCell ref="V748:W748"/>
    <mergeCell ref="X750:Z750"/>
    <mergeCell ref="B749:D749"/>
    <mergeCell ref="E749:G749"/>
    <mergeCell ref="H749:M749"/>
    <mergeCell ref="N749:U749"/>
    <mergeCell ref="V749:W749"/>
    <mergeCell ref="X749:Z749"/>
    <mergeCell ref="B750:D750"/>
    <mergeCell ref="E750:G750"/>
    <mergeCell ref="H750:M750"/>
    <mergeCell ref="N750:U750"/>
    <mergeCell ref="V750:W750"/>
    <mergeCell ref="X752:Z752"/>
    <mergeCell ref="B751:D751"/>
    <mergeCell ref="E751:G751"/>
    <mergeCell ref="H751:M751"/>
    <mergeCell ref="N751:U751"/>
    <mergeCell ref="V751:W751"/>
    <mergeCell ref="X751:Z751"/>
    <mergeCell ref="B752:D752"/>
    <mergeCell ref="E752:G752"/>
    <mergeCell ref="H752:M752"/>
    <mergeCell ref="N752:U752"/>
    <mergeCell ref="V752:W752"/>
    <mergeCell ref="X754:Z754"/>
    <mergeCell ref="B753:D753"/>
    <mergeCell ref="E753:G753"/>
    <mergeCell ref="H753:M753"/>
    <mergeCell ref="N753:U753"/>
    <mergeCell ref="V753:W753"/>
    <mergeCell ref="X753:Z753"/>
    <mergeCell ref="B754:D754"/>
    <mergeCell ref="E754:G754"/>
    <mergeCell ref="H754:M754"/>
    <mergeCell ref="N754:U754"/>
    <mergeCell ref="V754:W754"/>
    <mergeCell ref="X756:Z756"/>
    <mergeCell ref="B755:D755"/>
    <mergeCell ref="E755:G755"/>
    <mergeCell ref="H755:M755"/>
    <mergeCell ref="N755:U755"/>
    <mergeCell ref="V755:W755"/>
    <mergeCell ref="X755:Z755"/>
    <mergeCell ref="B756:D756"/>
    <mergeCell ref="E756:G756"/>
    <mergeCell ref="H756:M756"/>
    <mergeCell ref="N756:U756"/>
    <mergeCell ref="V756:W756"/>
    <mergeCell ref="X758:Z758"/>
    <mergeCell ref="B757:D757"/>
    <mergeCell ref="E757:G757"/>
    <mergeCell ref="H757:M757"/>
    <mergeCell ref="N757:U757"/>
    <mergeCell ref="V757:W757"/>
    <mergeCell ref="X757:Z757"/>
    <mergeCell ref="B758:D758"/>
    <mergeCell ref="E758:G758"/>
    <mergeCell ref="H758:M758"/>
    <mergeCell ref="N758:U758"/>
    <mergeCell ref="V758:W758"/>
    <mergeCell ref="X760:Z760"/>
    <mergeCell ref="B759:D759"/>
    <mergeCell ref="E759:G759"/>
    <mergeCell ref="H759:M759"/>
    <mergeCell ref="N759:U759"/>
    <mergeCell ref="V759:W759"/>
    <mergeCell ref="X759:Z759"/>
    <mergeCell ref="B760:D760"/>
    <mergeCell ref="E760:G760"/>
    <mergeCell ref="H760:M760"/>
    <mergeCell ref="N760:U760"/>
    <mergeCell ref="V760:W760"/>
    <mergeCell ref="X762:Z762"/>
    <mergeCell ref="B761:D761"/>
    <mergeCell ref="E761:G761"/>
    <mergeCell ref="H761:M761"/>
    <mergeCell ref="N761:U761"/>
    <mergeCell ref="V761:W761"/>
    <mergeCell ref="X761:Z761"/>
    <mergeCell ref="B762:D762"/>
    <mergeCell ref="E762:G762"/>
    <mergeCell ref="H762:M762"/>
    <mergeCell ref="N762:U762"/>
    <mergeCell ref="V762:W762"/>
    <mergeCell ref="X764:Z764"/>
    <mergeCell ref="B763:D763"/>
    <mergeCell ref="E763:G763"/>
    <mergeCell ref="H763:M763"/>
    <mergeCell ref="N763:U763"/>
    <mergeCell ref="V763:W763"/>
    <mergeCell ref="X763:Z763"/>
    <mergeCell ref="B764:D764"/>
    <mergeCell ref="E764:G764"/>
    <mergeCell ref="H764:M764"/>
    <mergeCell ref="N764:U764"/>
    <mergeCell ref="V764:W764"/>
    <mergeCell ref="X766:Z766"/>
    <mergeCell ref="B765:D765"/>
    <mergeCell ref="E765:G765"/>
    <mergeCell ref="H765:M765"/>
    <mergeCell ref="N765:U765"/>
    <mergeCell ref="V765:W765"/>
    <mergeCell ref="X765:Z765"/>
    <mergeCell ref="B766:D766"/>
    <mergeCell ref="E766:G766"/>
    <mergeCell ref="H766:M766"/>
    <mergeCell ref="N766:U766"/>
    <mergeCell ref="V766:W766"/>
    <mergeCell ref="X768:Z768"/>
    <mergeCell ref="B767:D767"/>
    <mergeCell ref="E767:G767"/>
    <mergeCell ref="H767:M767"/>
    <mergeCell ref="N767:U767"/>
    <mergeCell ref="V767:W767"/>
    <mergeCell ref="X767:Z767"/>
    <mergeCell ref="B768:D768"/>
    <mergeCell ref="E768:G768"/>
    <mergeCell ref="H768:M768"/>
    <mergeCell ref="N768:U768"/>
    <mergeCell ref="V768:W768"/>
    <mergeCell ref="X770:Z770"/>
    <mergeCell ref="B769:D769"/>
    <mergeCell ref="E769:G769"/>
    <mergeCell ref="H769:M769"/>
    <mergeCell ref="N769:U769"/>
    <mergeCell ref="V769:W769"/>
    <mergeCell ref="X769:Z769"/>
    <mergeCell ref="B770:D770"/>
    <mergeCell ref="E770:G770"/>
    <mergeCell ref="H770:M770"/>
    <mergeCell ref="N770:U770"/>
    <mergeCell ref="V770:W770"/>
    <mergeCell ref="X772:Z772"/>
    <mergeCell ref="B771:D771"/>
    <mergeCell ref="E771:G771"/>
    <mergeCell ref="H771:M771"/>
    <mergeCell ref="N771:U771"/>
    <mergeCell ref="V771:W771"/>
    <mergeCell ref="X771:Z771"/>
    <mergeCell ref="B772:D772"/>
    <mergeCell ref="E772:G772"/>
    <mergeCell ref="H772:M772"/>
    <mergeCell ref="N772:U772"/>
    <mergeCell ref="V772:W772"/>
    <mergeCell ref="X774:Z774"/>
    <mergeCell ref="B773:D773"/>
    <mergeCell ref="E773:G773"/>
    <mergeCell ref="H773:M773"/>
    <mergeCell ref="N773:U773"/>
    <mergeCell ref="V773:W773"/>
    <mergeCell ref="X773:Z773"/>
    <mergeCell ref="B774:D774"/>
    <mergeCell ref="E774:G774"/>
    <mergeCell ref="H774:M774"/>
    <mergeCell ref="N774:U774"/>
    <mergeCell ref="V774:W774"/>
    <mergeCell ref="X776:Z776"/>
    <mergeCell ref="B775:D775"/>
    <mergeCell ref="E775:G775"/>
    <mergeCell ref="H775:M775"/>
    <mergeCell ref="N775:U775"/>
    <mergeCell ref="V775:W775"/>
    <mergeCell ref="X775:Z775"/>
    <mergeCell ref="B776:D776"/>
    <mergeCell ref="E776:G776"/>
    <mergeCell ref="H776:M776"/>
    <mergeCell ref="N776:U776"/>
    <mergeCell ref="V776:W776"/>
    <mergeCell ref="X778:Z778"/>
    <mergeCell ref="B777:D777"/>
    <mergeCell ref="E777:G777"/>
    <mergeCell ref="H777:M777"/>
    <mergeCell ref="N777:U777"/>
    <mergeCell ref="V777:W777"/>
    <mergeCell ref="X777:Z777"/>
    <mergeCell ref="B778:D778"/>
    <mergeCell ref="E778:G778"/>
    <mergeCell ref="H778:M778"/>
    <mergeCell ref="N778:U778"/>
    <mergeCell ref="V778:W778"/>
    <mergeCell ref="X780:Z780"/>
    <mergeCell ref="B779:D779"/>
    <mergeCell ref="E779:G779"/>
    <mergeCell ref="H779:M779"/>
    <mergeCell ref="N779:U779"/>
    <mergeCell ref="V779:W779"/>
    <mergeCell ref="X779:Z779"/>
    <mergeCell ref="B780:D780"/>
    <mergeCell ref="E780:G780"/>
    <mergeCell ref="H780:M780"/>
    <mergeCell ref="N780:U780"/>
    <mergeCell ref="V780:W780"/>
    <mergeCell ref="X782:Z782"/>
    <mergeCell ref="B781:D781"/>
    <mergeCell ref="E781:G781"/>
    <mergeCell ref="H781:M781"/>
    <mergeCell ref="N781:U781"/>
    <mergeCell ref="V781:W781"/>
    <mergeCell ref="X781:Z781"/>
    <mergeCell ref="B782:D782"/>
    <mergeCell ref="E782:G782"/>
    <mergeCell ref="H782:M782"/>
    <mergeCell ref="N782:U782"/>
    <mergeCell ref="V782:W782"/>
    <mergeCell ref="X784:Z784"/>
    <mergeCell ref="B783:D783"/>
    <mergeCell ref="E783:G783"/>
    <mergeCell ref="H783:M783"/>
    <mergeCell ref="N783:U783"/>
    <mergeCell ref="V783:W783"/>
    <mergeCell ref="X783:Z783"/>
    <mergeCell ref="B784:D784"/>
    <mergeCell ref="E784:G784"/>
    <mergeCell ref="H784:M784"/>
    <mergeCell ref="N784:U784"/>
    <mergeCell ref="V784:W784"/>
    <mergeCell ref="X786:Z786"/>
    <mergeCell ref="B785:D785"/>
    <mergeCell ref="E785:G785"/>
    <mergeCell ref="H785:M785"/>
    <mergeCell ref="N785:U785"/>
    <mergeCell ref="V785:W785"/>
    <mergeCell ref="X785:Z785"/>
    <mergeCell ref="B786:D786"/>
    <mergeCell ref="E786:G786"/>
    <mergeCell ref="H786:M786"/>
    <mergeCell ref="N786:U786"/>
    <mergeCell ref="V786:W786"/>
    <mergeCell ref="X788:Z788"/>
    <mergeCell ref="B787:D787"/>
    <mergeCell ref="E787:G787"/>
    <mergeCell ref="H787:M787"/>
    <mergeCell ref="N787:U787"/>
    <mergeCell ref="V787:W787"/>
    <mergeCell ref="X787:Z787"/>
    <mergeCell ref="B788:D788"/>
    <mergeCell ref="E788:G788"/>
    <mergeCell ref="H788:M788"/>
    <mergeCell ref="N788:U788"/>
    <mergeCell ref="V788:W788"/>
    <mergeCell ref="X790:Z790"/>
    <mergeCell ref="B789:D789"/>
    <mergeCell ref="E789:G789"/>
    <mergeCell ref="H789:M789"/>
    <mergeCell ref="N789:U789"/>
    <mergeCell ref="V789:W789"/>
    <mergeCell ref="X789:Z789"/>
    <mergeCell ref="B790:D790"/>
    <mergeCell ref="E790:G790"/>
    <mergeCell ref="H790:M790"/>
    <mergeCell ref="N790:U790"/>
    <mergeCell ref="V790:W790"/>
    <mergeCell ref="X792:Z792"/>
    <mergeCell ref="B791:D791"/>
    <mergeCell ref="E791:G791"/>
    <mergeCell ref="H791:M791"/>
    <mergeCell ref="N791:U791"/>
    <mergeCell ref="V791:W791"/>
    <mergeCell ref="X791:Z791"/>
    <mergeCell ref="B792:D792"/>
    <mergeCell ref="E792:G792"/>
    <mergeCell ref="H792:M792"/>
    <mergeCell ref="N792:U792"/>
    <mergeCell ref="V792:W792"/>
    <mergeCell ref="X794:Z794"/>
    <mergeCell ref="B793:D793"/>
    <mergeCell ref="E793:G793"/>
    <mergeCell ref="H793:M793"/>
    <mergeCell ref="N793:U793"/>
    <mergeCell ref="V793:W793"/>
    <mergeCell ref="X793:Z793"/>
    <mergeCell ref="B794:D794"/>
    <mergeCell ref="E794:G794"/>
    <mergeCell ref="H794:M794"/>
    <mergeCell ref="N794:U794"/>
    <mergeCell ref="V794:W794"/>
    <mergeCell ref="X796:Z796"/>
    <mergeCell ref="B795:D795"/>
    <mergeCell ref="E795:G795"/>
    <mergeCell ref="H795:M795"/>
    <mergeCell ref="N795:U795"/>
    <mergeCell ref="V795:W795"/>
    <mergeCell ref="X795:Z795"/>
    <mergeCell ref="B796:D796"/>
    <mergeCell ref="E796:G796"/>
    <mergeCell ref="H796:M796"/>
    <mergeCell ref="N796:U796"/>
    <mergeCell ref="V796:W796"/>
    <mergeCell ref="X798:Z798"/>
    <mergeCell ref="B797:D797"/>
    <mergeCell ref="E797:G797"/>
    <mergeCell ref="H797:M797"/>
    <mergeCell ref="N797:U797"/>
    <mergeCell ref="V797:W797"/>
    <mergeCell ref="X797:Z797"/>
    <mergeCell ref="B798:D798"/>
    <mergeCell ref="E798:G798"/>
    <mergeCell ref="H798:M798"/>
    <mergeCell ref="N798:U798"/>
    <mergeCell ref="V798:W798"/>
    <mergeCell ref="X800:Z800"/>
    <mergeCell ref="B799:D799"/>
    <mergeCell ref="E799:G799"/>
    <mergeCell ref="H799:M799"/>
    <mergeCell ref="N799:U799"/>
    <mergeCell ref="V799:W799"/>
    <mergeCell ref="X799:Z799"/>
    <mergeCell ref="B800:D800"/>
    <mergeCell ref="E800:G800"/>
    <mergeCell ref="H800:M800"/>
    <mergeCell ref="N800:U800"/>
    <mergeCell ref="V800:W800"/>
    <mergeCell ref="X802:Z802"/>
    <mergeCell ref="B801:D801"/>
    <mergeCell ref="E801:G801"/>
    <mergeCell ref="H801:M801"/>
    <mergeCell ref="N801:U801"/>
    <mergeCell ref="V801:W801"/>
    <mergeCell ref="X801:Z801"/>
    <mergeCell ref="B802:D802"/>
    <mergeCell ref="E802:G802"/>
    <mergeCell ref="H802:M802"/>
    <mergeCell ref="N802:U802"/>
    <mergeCell ref="V802:W802"/>
    <mergeCell ref="X804:Z804"/>
    <mergeCell ref="B803:D803"/>
    <mergeCell ref="E803:G803"/>
    <mergeCell ref="H803:M803"/>
    <mergeCell ref="N803:U803"/>
    <mergeCell ref="V803:W803"/>
    <mergeCell ref="X803:Z803"/>
    <mergeCell ref="B804:D804"/>
    <mergeCell ref="E804:G804"/>
    <mergeCell ref="H804:M804"/>
    <mergeCell ref="N804:U804"/>
    <mergeCell ref="V804:W804"/>
    <mergeCell ref="X806:Z806"/>
    <mergeCell ref="B805:D805"/>
    <mergeCell ref="E805:G805"/>
    <mergeCell ref="H805:M805"/>
    <mergeCell ref="N805:U805"/>
    <mergeCell ref="V805:W805"/>
    <mergeCell ref="X805:Z805"/>
    <mergeCell ref="B806:D806"/>
    <mergeCell ref="E806:G806"/>
    <mergeCell ref="H806:M806"/>
    <mergeCell ref="N806:U806"/>
    <mergeCell ref="V806:W806"/>
    <mergeCell ref="X808:Z808"/>
    <mergeCell ref="B807:D807"/>
    <mergeCell ref="E807:G807"/>
    <mergeCell ref="H807:M807"/>
    <mergeCell ref="N807:U807"/>
    <mergeCell ref="V807:W807"/>
    <mergeCell ref="X807:Z807"/>
    <mergeCell ref="B808:D808"/>
    <mergeCell ref="E808:G808"/>
    <mergeCell ref="H808:M808"/>
    <mergeCell ref="N808:U808"/>
    <mergeCell ref="V808:W808"/>
    <mergeCell ref="X810:Z810"/>
    <mergeCell ref="B809:D809"/>
    <mergeCell ref="E809:G809"/>
    <mergeCell ref="H809:M809"/>
    <mergeCell ref="N809:U809"/>
    <mergeCell ref="V809:W809"/>
    <mergeCell ref="X809:Z809"/>
    <mergeCell ref="B810:D810"/>
    <mergeCell ref="E810:G810"/>
    <mergeCell ref="H810:M810"/>
    <mergeCell ref="N810:U810"/>
    <mergeCell ref="V810:W810"/>
    <mergeCell ref="X812:Z812"/>
    <mergeCell ref="B811:D811"/>
    <mergeCell ref="E811:G811"/>
    <mergeCell ref="H811:M811"/>
    <mergeCell ref="N811:U811"/>
    <mergeCell ref="V811:W811"/>
    <mergeCell ref="X811:Z811"/>
    <mergeCell ref="B812:D812"/>
    <mergeCell ref="E812:G812"/>
    <mergeCell ref="H812:M812"/>
    <mergeCell ref="N812:U812"/>
    <mergeCell ref="V812:W812"/>
    <mergeCell ref="X814:Z814"/>
    <mergeCell ref="B813:D813"/>
    <mergeCell ref="E813:G813"/>
    <mergeCell ref="H813:M813"/>
    <mergeCell ref="N813:U813"/>
    <mergeCell ref="V813:W813"/>
    <mergeCell ref="X813:Z813"/>
    <mergeCell ref="B814:D814"/>
    <mergeCell ref="E814:G814"/>
    <mergeCell ref="H814:M814"/>
    <mergeCell ref="N814:U814"/>
    <mergeCell ref="V814:W814"/>
    <mergeCell ref="X816:Z816"/>
    <mergeCell ref="B815:D815"/>
    <mergeCell ref="E815:G815"/>
    <mergeCell ref="H815:M815"/>
    <mergeCell ref="N815:U815"/>
    <mergeCell ref="V815:W815"/>
    <mergeCell ref="X815:Z815"/>
    <mergeCell ref="B816:D816"/>
    <mergeCell ref="E816:G816"/>
    <mergeCell ref="H816:M816"/>
    <mergeCell ref="N816:U816"/>
    <mergeCell ref="V816:W816"/>
    <mergeCell ref="X818:Z818"/>
    <mergeCell ref="B817:D817"/>
    <mergeCell ref="E817:G817"/>
    <mergeCell ref="H817:M817"/>
    <mergeCell ref="N817:U817"/>
    <mergeCell ref="V817:W817"/>
    <mergeCell ref="X817:Z817"/>
    <mergeCell ref="B818:D818"/>
    <mergeCell ref="E818:G818"/>
    <mergeCell ref="H818:M818"/>
    <mergeCell ref="N818:U818"/>
    <mergeCell ref="V818:W818"/>
    <mergeCell ref="X820:Z820"/>
    <mergeCell ref="B819:D819"/>
    <mergeCell ref="E819:G819"/>
    <mergeCell ref="H819:M819"/>
    <mergeCell ref="N819:U819"/>
    <mergeCell ref="V819:W819"/>
    <mergeCell ref="X819:Z819"/>
    <mergeCell ref="B820:D820"/>
    <mergeCell ref="E820:G820"/>
    <mergeCell ref="H820:M820"/>
    <mergeCell ref="N820:U820"/>
    <mergeCell ref="V820:W820"/>
    <mergeCell ref="X822:Z822"/>
    <mergeCell ref="B821:D821"/>
    <mergeCell ref="E821:G821"/>
    <mergeCell ref="H821:M821"/>
    <mergeCell ref="N821:U821"/>
    <mergeCell ref="V821:W821"/>
    <mergeCell ref="X821:Z821"/>
    <mergeCell ref="B822:D822"/>
    <mergeCell ref="E822:G822"/>
    <mergeCell ref="H822:M822"/>
    <mergeCell ref="N822:U822"/>
    <mergeCell ref="V822:W822"/>
    <mergeCell ref="X824:Z824"/>
    <mergeCell ref="B823:D823"/>
    <mergeCell ref="E823:G823"/>
    <mergeCell ref="H823:M823"/>
    <mergeCell ref="N823:U823"/>
    <mergeCell ref="V823:W823"/>
    <mergeCell ref="X823:Z823"/>
    <mergeCell ref="B824:D824"/>
    <mergeCell ref="E824:G824"/>
    <mergeCell ref="H824:M824"/>
    <mergeCell ref="N824:U824"/>
    <mergeCell ref="V824:W824"/>
    <mergeCell ref="X826:Z826"/>
    <mergeCell ref="B825:D825"/>
    <mergeCell ref="E825:G825"/>
    <mergeCell ref="H825:M825"/>
    <mergeCell ref="N825:U825"/>
    <mergeCell ref="V825:W825"/>
    <mergeCell ref="X825:Z825"/>
    <mergeCell ref="B826:D826"/>
    <mergeCell ref="E826:G826"/>
    <mergeCell ref="H826:M826"/>
    <mergeCell ref="N826:U826"/>
    <mergeCell ref="V826:W826"/>
    <mergeCell ref="X828:Z828"/>
    <mergeCell ref="B827:D827"/>
    <mergeCell ref="E827:G827"/>
    <mergeCell ref="H827:M827"/>
    <mergeCell ref="N827:U827"/>
    <mergeCell ref="V827:W827"/>
    <mergeCell ref="X827:Z827"/>
    <mergeCell ref="B828:D828"/>
    <mergeCell ref="E828:G828"/>
    <mergeCell ref="H828:M828"/>
    <mergeCell ref="N828:U828"/>
    <mergeCell ref="V828:W828"/>
    <mergeCell ref="X830:Z830"/>
    <mergeCell ref="B829:D829"/>
    <mergeCell ref="E829:G829"/>
    <mergeCell ref="H829:M829"/>
    <mergeCell ref="N829:U829"/>
    <mergeCell ref="V829:W829"/>
    <mergeCell ref="X829:Z829"/>
    <mergeCell ref="B830:D830"/>
    <mergeCell ref="E830:G830"/>
    <mergeCell ref="H830:M830"/>
    <mergeCell ref="N830:U830"/>
    <mergeCell ref="V830:W830"/>
    <mergeCell ref="X832:Z832"/>
    <mergeCell ref="B831:D831"/>
    <mergeCell ref="E831:G831"/>
    <mergeCell ref="H831:M831"/>
    <mergeCell ref="N831:U831"/>
    <mergeCell ref="V831:W831"/>
    <mergeCell ref="X831:Z831"/>
    <mergeCell ref="B832:D832"/>
    <mergeCell ref="E832:G832"/>
    <mergeCell ref="H832:M832"/>
    <mergeCell ref="N832:U832"/>
    <mergeCell ref="V832:W832"/>
    <mergeCell ref="X834:Z834"/>
    <mergeCell ref="B833:D833"/>
    <mergeCell ref="E833:G833"/>
    <mergeCell ref="H833:M833"/>
    <mergeCell ref="N833:U833"/>
    <mergeCell ref="V833:W833"/>
    <mergeCell ref="X833:Z833"/>
    <mergeCell ref="B834:D834"/>
    <mergeCell ref="E834:G834"/>
    <mergeCell ref="H834:M834"/>
    <mergeCell ref="N834:U834"/>
    <mergeCell ref="V834:W834"/>
    <mergeCell ref="X836:Z836"/>
    <mergeCell ref="B835:D835"/>
    <mergeCell ref="E835:G835"/>
    <mergeCell ref="H835:M835"/>
    <mergeCell ref="N835:U835"/>
    <mergeCell ref="V835:W835"/>
    <mergeCell ref="X835:Z835"/>
    <mergeCell ref="B836:D836"/>
    <mergeCell ref="E836:G836"/>
    <mergeCell ref="H836:M836"/>
    <mergeCell ref="N836:U836"/>
    <mergeCell ref="V836:W836"/>
    <mergeCell ref="X838:Z838"/>
    <mergeCell ref="B837:D837"/>
    <mergeCell ref="E837:G837"/>
    <mergeCell ref="H837:M837"/>
    <mergeCell ref="N837:U837"/>
    <mergeCell ref="V837:W837"/>
    <mergeCell ref="X837:Z837"/>
    <mergeCell ref="B838:D838"/>
    <mergeCell ref="E838:G838"/>
    <mergeCell ref="H838:M838"/>
    <mergeCell ref="N838:U838"/>
    <mergeCell ref="V838:W838"/>
    <mergeCell ref="X840:Z840"/>
    <mergeCell ref="B839:D839"/>
    <mergeCell ref="E839:G839"/>
    <mergeCell ref="H839:M839"/>
    <mergeCell ref="N839:U839"/>
    <mergeCell ref="V839:W839"/>
    <mergeCell ref="X839:Z839"/>
    <mergeCell ref="B840:D840"/>
    <mergeCell ref="E840:G840"/>
    <mergeCell ref="H840:M840"/>
    <mergeCell ref="N840:U840"/>
    <mergeCell ref="V840:W840"/>
    <mergeCell ref="X842:Z842"/>
    <mergeCell ref="B841:D841"/>
    <mergeCell ref="E841:G841"/>
    <mergeCell ref="H841:M841"/>
    <mergeCell ref="N841:U841"/>
    <mergeCell ref="V841:W841"/>
    <mergeCell ref="X841:Z841"/>
    <mergeCell ref="B842:D842"/>
    <mergeCell ref="E842:G842"/>
    <mergeCell ref="H842:M842"/>
    <mergeCell ref="N842:U842"/>
    <mergeCell ref="V842:W842"/>
    <mergeCell ref="X844:Z844"/>
    <mergeCell ref="B843:D843"/>
    <mergeCell ref="E843:G843"/>
    <mergeCell ref="H843:M843"/>
    <mergeCell ref="N843:U843"/>
    <mergeCell ref="V843:W843"/>
    <mergeCell ref="X843:Z843"/>
    <mergeCell ref="B844:D844"/>
    <mergeCell ref="E844:G844"/>
    <mergeCell ref="H844:M844"/>
    <mergeCell ref="N844:U844"/>
    <mergeCell ref="V844:W844"/>
    <mergeCell ref="X846:Z846"/>
    <mergeCell ref="B845:D845"/>
    <mergeCell ref="E845:G845"/>
    <mergeCell ref="H845:M845"/>
    <mergeCell ref="N845:U845"/>
    <mergeCell ref="V845:W845"/>
    <mergeCell ref="X845:Z845"/>
    <mergeCell ref="B846:D846"/>
    <mergeCell ref="E846:G846"/>
    <mergeCell ref="H846:M846"/>
    <mergeCell ref="N846:U846"/>
    <mergeCell ref="V846:W846"/>
    <mergeCell ref="X848:Z848"/>
    <mergeCell ref="B847:D847"/>
    <mergeCell ref="E847:G847"/>
    <mergeCell ref="H847:M847"/>
    <mergeCell ref="N847:U847"/>
    <mergeCell ref="V847:W847"/>
    <mergeCell ref="X847:Z847"/>
    <mergeCell ref="B848:D848"/>
    <mergeCell ref="E848:G848"/>
    <mergeCell ref="H848:M848"/>
    <mergeCell ref="N848:U848"/>
    <mergeCell ref="V848:W848"/>
    <mergeCell ref="X850:Z850"/>
    <mergeCell ref="B849:D849"/>
    <mergeCell ref="E849:G849"/>
    <mergeCell ref="H849:M849"/>
    <mergeCell ref="N849:U849"/>
    <mergeCell ref="V849:W849"/>
    <mergeCell ref="X849:Z849"/>
    <mergeCell ref="B850:D850"/>
    <mergeCell ref="E850:G850"/>
    <mergeCell ref="H850:M850"/>
    <mergeCell ref="N850:U850"/>
    <mergeCell ref="V850:W850"/>
    <mergeCell ref="X852:Z852"/>
    <mergeCell ref="B851:D851"/>
    <mergeCell ref="E851:G851"/>
    <mergeCell ref="H851:M851"/>
    <mergeCell ref="N851:U851"/>
    <mergeCell ref="V851:W851"/>
    <mergeCell ref="X851:Z851"/>
    <mergeCell ref="B852:D852"/>
    <mergeCell ref="E852:G852"/>
    <mergeCell ref="H852:M852"/>
    <mergeCell ref="N852:U852"/>
    <mergeCell ref="V852:W852"/>
    <mergeCell ref="X854:Z854"/>
    <mergeCell ref="B853:D853"/>
    <mergeCell ref="E853:G853"/>
    <mergeCell ref="H853:M853"/>
    <mergeCell ref="N853:U853"/>
    <mergeCell ref="V853:W853"/>
    <mergeCell ref="X853:Z853"/>
    <mergeCell ref="B854:D854"/>
    <mergeCell ref="E854:G854"/>
    <mergeCell ref="H854:M854"/>
    <mergeCell ref="N854:U854"/>
    <mergeCell ref="V854:W854"/>
    <mergeCell ref="X856:Z856"/>
    <mergeCell ref="B855:D855"/>
    <mergeCell ref="E855:G855"/>
    <mergeCell ref="H855:M855"/>
    <mergeCell ref="N855:U855"/>
    <mergeCell ref="V855:W855"/>
    <mergeCell ref="X855:Z855"/>
    <mergeCell ref="B856:D856"/>
    <mergeCell ref="E856:G856"/>
    <mergeCell ref="H856:M856"/>
    <mergeCell ref="N856:U856"/>
    <mergeCell ref="V856:W856"/>
    <mergeCell ref="X858:Z858"/>
    <mergeCell ref="B857:D857"/>
    <mergeCell ref="E857:G857"/>
    <mergeCell ref="H857:M857"/>
    <mergeCell ref="N857:U857"/>
    <mergeCell ref="V857:W857"/>
    <mergeCell ref="X857:Z857"/>
    <mergeCell ref="B858:D858"/>
    <mergeCell ref="E858:G858"/>
    <mergeCell ref="H858:M858"/>
    <mergeCell ref="N858:U858"/>
    <mergeCell ref="V858:W858"/>
    <mergeCell ref="X860:Z860"/>
    <mergeCell ref="B859:D859"/>
    <mergeCell ref="E859:G859"/>
    <mergeCell ref="H859:M859"/>
    <mergeCell ref="N859:U859"/>
    <mergeCell ref="V859:W859"/>
    <mergeCell ref="X859:Z859"/>
    <mergeCell ref="B860:D860"/>
    <mergeCell ref="E860:G860"/>
    <mergeCell ref="H860:M860"/>
    <mergeCell ref="N860:U860"/>
    <mergeCell ref="V860:W860"/>
    <mergeCell ref="X862:Z862"/>
    <mergeCell ref="B861:D861"/>
    <mergeCell ref="E861:G861"/>
    <mergeCell ref="H861:M861"/>
    <mergeCell ref="N861:U861"/>
    <mergeCell ref="V861:W861"/>
    <mergeCell ref="X861:Z861"/>
    <mergeCell ref="B862:D862"/>
    <mergeCell ref="E862:G862"/>
    <mergeCell ref="H862:M862"/>
    <mergeCell ref="N862:U862"/>
    <mergeCell ref="V862:W862"/>
    <mergeCell ref="X864:Z864"/>
    <mergeCell ref="B863:D863"/>
    <mergeCell ref="E863:G863"/>
    <mergeCell ref="H863:M863"/>
    <mergeCell ref="N863:U863"/>
    <mergeCell ref="V863:W863"/>
    <mergeCell ref="X863:Z863"/>
    <mergeCell ref="B864:D864"/>
    <mergeCell ref="E864:G864"/>
    <mergeCell ref="H864:M864"/>
    <mergeCell ref="N864:U864"/>
    <mergeCell ref="V864:W864"/>
    <mergeCell ref="X866:Z866"/>
    <mergeCell ref="B865:D865"/>
    <mergeCell ref="E865:G865"/>
    <mergeCell ref="H865:M865"/>
    <mergeCell ref="N865:U865"/>
    <mergeCell ref="V865:W865"/>
    <mergeCell ref="X865:Z865"/>
    <mergeCell ref="B866:D866"/>
    <mergeCell ref="E866:G866"/>
    <mergeCell ref="H866:M866"/>
    <mergeCell ref="N866:U866"/>
    <mergeCell ref="V866:W866"/>
    <mergeCell ref="X868:Z868"/>
    <mergeCell ref="B867:D867"/>
    <mergeCell ref="E867:G867"/>
    <mergeCell ref="H867:M867"/>
    <mergeCell ref="N867:U867"/>
    <mergeCell ref="V867:W867"/>
    <mergeCell ref="X867:Z867"/>
    <mergeCell ref="B868:D868"/>
    <mergeCell ref="E868:G868"/>
    <mergeCell ref="H868:M868"/>
    <mergeCell ref="N868:U868"/>
    <mergeCell ref="V868:W868"/>
    <mergeCell ref="X870:Z870"/>
    <mergeCell ref="B869:D869"/>
    <mergeCell ref="E869:G869"/>
    <mergeCell ref="H869:M869"/>
    <mergeCell ref="N869:U869"/>
    <mergeCell ref="V869:W869"/>
    <mergeCell ref="X869:Z869"/>
    <mergeCell ref="B870:D870"/>
    <mergeCell ref="E870:G870"/>
    <mergeCell ref="H870:M870"/>
    <mergeCell ref="N870:U870"/>
    <mergeCell ref="V870:W870"/>
    <mergeCell ref="X872:Z872"/>
    <mergeCell ref="B871:D871"/>
    <mergeCell ref="E871:G871"/>
    <mergeCell ref="H871:M871"/>
    <mergeCell ref="N871:U871"/>
    <mergeCell ref="V871:W871"/>
    <mergeCell ref="X871:Z871"/>
    <mergeCell ref="B872:D872"/>
    <mergeCell ref="E872:G872"/>
    <mergeCell ref="H872:M872"/>
    <mergeCell ref="N872:U872"/>
    <mergeCell ref="V872:W872"/>
    <mergeCell ref="X874:Z874"/>
    <mergeCell ref="B873:D873"/>
    <mergeCell ref="E873:G873"/>
    <mergeCell ref="H873:M873"/>
    <mergeCell ref="N873:U873"/>
    <mergeCell ref="V873:W873"/>
    <mergeCell ref="X873:Z873"/>
    <mergeCell ref="B874:D874"/>
    <mergeCell ref="E874:G874"/>
    <mergeCell ref="H874:M874"/>
    <mergeCell ref="N874:U874"/>
    <mergeCell ref="V874:W874"/>
    <mergeCell ref="X876:Z876"/>
    <mergeCell ref="B875:D875"/>
    <mergeCell ref="E875:G875"/>
    <mergeCell ref="H875:M875"/>
    <mergeCell ref="N875:U875"/>
    <mergeCell ref="V875:W875"/>
    <mergeCell ref="X875:Z875"/>
    <mergeCell ref="B876:D876"/>
    <mergeCell ref="E876:G876"/>
    <mergeCell ref="H876:M876"/>
    <mergeCell ref="N876:U876"/>
    <mergeCell ref="V876:W876"/>
    <mergeCell ref="X878:Z878"/>
    <mergeCell ref="B877:D877"/>
    <mergeCell ref="E877:G877"/>
    <mergeCell ref="H877:M877"/>
    <mergeCell ref="N877:U877"/>
    <mergeCell ref="V877:W877"/>
    <mergeCell ref="X877:Z877"/>
    <mergeCell ref="B878:D878"/>
    <mergeCell ref="E878:G878"/>
    <mergeCell ref="H878:M878"/>
    <mergeCell ref="N878:U878"/>
    <mergeCell ref="V878:W878"/>
    <mergeCell ref="X880:Z880"/>
    <mergeCell ref="B879:D879"/>
    <mergeCell ref="E879:G879"/>
    <mergeCell ref="H879:M879"/>
    <mergeCell ref="N879:U879"/>
    <mergeCell ref="V879:W879"/>
    <mergeCell ref="X879:Z879"/>
    <mergeCell ref="B880:D880"/>
    <mergeCell ref="E880:G880"/>
    <mergeCell ref="H880:M880"/>
    <mergeCell ref="N880:U880"/>
    <mergeCell ref="V880:W880"/>
    <mergeCell ref="X882:Z882"/>
    <mergeCell ref="B881:D881"/>
    <mergeCell ref="E881:G881"/>
    <mergeCell ref="H881:M881"/>
    <mergeCell ref="N881:U881"/>
    <mergeCell ref="V881:W881"/>
    <mergeCell ref="X881:Z881"/>
    <mergeCell ref="B882:D882"/>
    <mergeCell ref="E882:G882"/>
    <mergeCell ref="H882:M882"/>
    <mergeCell ref="N882:U882"/>
    <mergeCell ref="V882:W882"/>
    <mergeCell ref="X884:Z884"/>
    <mergeCell ref="B883:D883"/>
    <mergeCell ref="E883:G883"/>
    <mergeCell ref="H883:M883"/>
    <mergeCell ref="N883:U883"/>
    <mergeCell ref="V883:W883"/>
    <mergeCell ref="X883:Z883"/>
    <mergeCell ref="B884:D884"/>
    <mergeCell ref="E884:G884"/>
    <mergeCell ref="H884:M884"/>
    <mergeCell ref="N884:U884"/>
    <mergeCell ref="V884:W884"/>
    <mergeCell ref="X886:Z886"/>
    <mergeCell ref="B885:D885"/>
    <mergeCell ref="E885:G885"/>
    <mergeCell ref="H885:M885"/>
    <mergeCell ref="N885:U885"/>
    <mergeCell ref="V885:W885"/>
    <mergeCell ref="X885:Z885"/>
    <mergeCell ref="B886:D886"/>
    <mergeCell ref="E886:G886"/>
    <mergeCell ref="H886:M886"/>
    <mergeCell ref="N886:U886"/>
    <mergeCell ref="V886:W886"/>
    <mergeCell ref="X888:Z888"/>
    <mergeCell ref="B887:D887"/>
    <mergeCell ref="E887:G887"/>
    <mergeCell ref="H887:M887"/>
    <mergeCell ref="N887:U887"/>
    <mergeCell ref="V887:W887"/>
    <mergeCell ref="X887:Z887"/>
    <mergeCell ref="B888:D888"/>
    <mergeCell ref="E888:G888"/>
    <mergeCell ref="H888:M888"/>
    <mergeCell ref="N888:U888"/>
    <mergeCell ref="V888:W888"/>
    <mergeCell ref="X890:Z890"/>
    <mergeCell ref="B889:D889"/>
    <mergeCell ref="E889:G889"/>
    <mergeCell ref="H889:M889"/>
    <mergeCell ref="N889:U889"/>
    <mergeCell ref="V889:W889"/>
    <mergeCell ref="X889:Z889"/>
    <mergeCell ref="B890:D890"/>
    <mergeCell ref="E890:G890"/>
    <mergeCell ref="H890:M890"/>
    <mergeCell ref="N890:U890"/>
    <mergeCell ref="V890:W890"/>
    <mergeCell ref="X892:Z892"/>
    <mergeCell ref="B891:D891"/>
    <mergeCell ref="E891:G891"/>
    <mergeCell ref="H891:M891"/>
    <mergeCell ref="N891:U891"/>
    <mergeCell ref="V891:W891"/>
    <mergeCell ref="X891:Z891"/>
    <mergeCell ref="B892:D892"/>
    <mergeCell ref="E892:G892"/>
    <mergeCell ref="H892:M892"/>
    <mergeCell ref="N892:U892"/>
    <mergeCell ref="V892:W892"/>
    <mergeCell ref="X894:Z894"/>
    <mergeCell ref="B893:D893"/>
    <mergeCell ref="E893:G893"/>
    <mergeCell ref="H893:M893"/>
    <mergeCell ref="N893:U893"/>
    <mergeCell ref="V893:W893"/>
    <mergeCell ref="X893:Z893"/>
    <mergeCell ref="B894:D894"/>
    <mergeCell ref="E894:G894"/>
    <mergeCell ref="H894:M894"/>
    <mergeCell ref="N894:U894"/>
    <mergeCell ref="V894:W894"/>
    <mergeCell ref="X896:Z896"/>
    <mergeCell ref="B895:D895"/>
    <mergeCell ref="E895:G895"/>
    <mergeCell ref="H895:M895"/>
    <mergeCell ref="N895:U895"/>
    <mergeCell ref="V895:W895"/>
    <mergeCell ref="X895:Z895"/>
    <mergeCell ref="B896:D896"/>
    <mergeCell ref="E896:G896"/>
    <mergeCell ref="H896:M896"/>
    <mergeCell ref="N896:U896"/>
    <mergeCell ref="V896:W896"/>
    <mergeCell ref="X898:Z898"/>
    <mergeCell ref="B897:D897"/>
    <mergeCell ref="E897:G897"/>
    <mergeCell ref="H897:M897"/>
    <mergeCell ref="N897:U897"/>
    <mergeCell ref="V897:W897"/>
    <mergeCell ref="X897:Z897"/>
    <mergeCell ref="B898:D898"/>
    <mergeCell ref="E898:G898"/>
    <mergeCell ref="H898:M898"/>
    <mergeCell ref="N898:U898"/>
    <mergeCell ref="V898:W898"/>
    <mergeCell ref="X900:Z900"/>
    <mergeCell ref="B899:D899"/>
    <mergeCell ref="E899:G899"/>
    <mergeCell ref="H899:M899"/>
    <mergeCell ref="N899:U899"/>
    <mergeCell ref="V899:W899"/>
    <mergeCell ref="X899:Z899"/>
    <mergeCell ref="B900:D900"/>
    <mergeCell ref="E900:G900"/>
    <mergeCell ref="H900:M900"/>
    <mergeCell ref="N900:U900"/>
    <mergeCell ref="V900:W900"/>
    <mergeCell ref="X902:Z902"/>
    <mergeCell ref="B901:D901"/>
    <mergeCell ref="E901:G901"/>
    <mergeCell ref="H901:M901"/>
    <mergeCell ref="N901:U901"/>
    <mergeCell ref="V901:W901"/>
    <mergeCell ref="X901:Z901"/>
    <mergeCell ref="B902:D902"/>
    <mergeCell ref="E902:G902"/>
    <mergeCell ref="H902:M902"/>
    <mergeCell ref="N902:U902"/>
    <mergeCell ref="V902:W902"/>
    <mergeCell ref="X904:Z904"/>
    <mergeCell ref="B903:D903"/>
    <mergeCell ref="E903:G903"/>
    <mergeCell ref="H903:M903"/>
    <mergeCell ref="N903:U903"/>
    <mergeCell ref="V903:W903"/>
    <mergeCell ref="X903:Z903"/>
    <mergeCell ref="B904:D904"/>
    <mergeCell ref="E904:G904"/>
    <mergeCell ref="H904:M904"/>
    <mergeCell ref="N904:U904"/>
    <mergeCell ref="V904:W904"/>
    <mergeCell ref="X906:Z906"/>
    <mergeCell ref="B905:D905"/>
    <mergeCell ref="E905:G905"/>
    <mergeCell ref="H905:M905"/>
    <mergeCell ref="N905:U905"/>
    <mergeCell ref="V905:W905"/>
    <mergeCell ref="X905:Z905"/>
    <mergeCell ref="B906:D906"/>
    <mergeCell ref="E906:G906"/>
    <mergeCell ref="H906:M906"/>
    <mergeCell ref="N906:U906"/>
    <mergeCell ref="V906:W906"/>
    <mergeCell ref="X908:Z908"/>
    <mergeCell ref="B907:D907"/>
    <mergeCell ref="E907:G907"/>
    <mergeCell ref="H907:M907"/>
    <mergeCell ref="N907:U907"/>
    <mergeCell ref="V907:W907"/>
    <mergeCell ref="X907:Z907"/>
    <mergeCell ref="B908:D908"/>
    <mergeCell ref="E908:G908"/>
    <mergeCell ref="H908:M908"/>
    <mergeCell ref="N908:U908"/>
    <mergeCell ref="V908:W908"/>
    <mergeCell ref="X910:Z910"/>
    <mergeCell ref="B909:D909"/>
    <mergeCell ref="E909:G909"/>
    <mergeCell ref="H909:M909"/>
    <mergeCell ref="N909:U909"/>
    <mergeCell ref="V909:W909"/>
    <mergeCell ref="X909:Z909"/>
    <mergeCell ref="B910:D910"/>
    <mergeCell ref="E910:G910"/>
    <mergeCell ref="H910:M910"/>
    <mergeCell ref="N910:U910"/>
    <mergeCell ref="V910:W910"/>
    <mergeCell ref="X912:Z912"/>
    <mergeCell ref="B911:D911"/>
    <mergeCell ref="E911:G911"/>
    <mergeCell ref="H911:M911"/>
    <mergeCell ref="N911:U911"/>
    <mergeCell ref="V911:W911"/>
    <mergeCell ref="X911:Z911"/>
    <mergeCell ref="B912:D912"/>
    <mergeCell ref="E912:G912"/>
    <mergeCell ref="H912:M912"/>
    <mergeCell ref="N912:U912"/>
    <mergeCell ref="V912:W912"/>
    <mergeCell ref="X914:Z914"/>
    <mergeCell ref="B913:D913"/>
    <mergeCell ref="E913:G913"/>
    <mergeCell ref="H913:M913"/>
    <mergeCell ref="N913:U913"/>
    <mergeCell ref="V913:W913"/>
    <mergeCell ref="X913:Z913"/>
    <mergeCell ref="B914:D914"/>
    <mergeCell ref="E914:G914"/>
    <mergeCell ref="H914:M914"/>
    <mergeCell ref="N914:U914"/>
    <mergeCell ref="V914:W914"/>
    <mergeCell ref="X916:Z916"/>
    <mergeCell ref="B915:D915"/>
    <mergeCell ref="E915:G915"/>
    <mergeCell ref="H915:M915"/>
    <mergeCell ref="N915:U915"/>
    <mergeCell ref="V915:W915"/>
    <mergeCell ref="X915:Z915"/>
    <mergeCell ref="B916:D916"/>
    <mergeCell ref="E916:G916"/>
    <mergeCell ref="H916:M916"/>
    <mergeCell ref="N916:U916"/>
    <mergeCell ref="V916:W916"/>
    <mergeCell ref="X918:Z918"/>
    <mergeCell ref="B917:D917"/>
    <mergeCell ref="E917:G917"/>
    <mergeCell ref="H917:M917"/>
    <mergeCell ref="N917:U917"/>
    <mergeCell ref="V917:W917"/>
    <mergeCell ref="X917:Z917"/>
    <mergeCell ref="B918:D918"/>
    <mergeCell ref="E918:G918"/>
    <mergeCell ref="H918:M918"/>
    <mergeCell ref="N918:U918"/>
    <mergeCell ref="V918:W918"/>
    <mergeCell ref="X920:Z920"/>
    <mergeCell ref="B919:D919"/>
    <mergeCell ref="E919:G919"/>
    <mergeCell ref="H919:M919"/>
    <mergeCell ref="N919:U919"/>
    <mergeCell ref="V919:W919"/>
    <mergeCell ref="X919:Z919"/>
    <mergeCell ref="B920:D920"/>
    <mergeCell ref="E920:G920"/>
    <mergeCell ref="H920:M920"/>
    <mergeCell ref="N920:U920"/>
    <mergeCell ref="V920:W920"/>
    <mergeCell ref="X922:Z922"/>
    <mergeCell ref="B921:D921"/>
    <mergeCell ref="E921:G921"/>
    <mergeCell ref="H921:M921"/>
    <mergeCell ref="N921:U921"/>
    <mergeCell ref="V921:W921"/>
    <mergeCell ref="X921:Z921"/>
    <mergeCell ref="B922:D922"/>
    <mergeCell ref="E922:G922"/>
    <mergeCell ref="H922:M922"/>
    <mergeCell ref="N922:U922"/>
    <mergeCell ref="V922:W922"/>
    <mergeCell ref="X924:Z924"/>
    <mergeCell ref="B923:D923"/>
    <mergeCell ref="E923:G923"/>
    <mergeCell ref="H923:M923"/>
    <mergeCell ref="N923:U923"/>
    <mergeCell ref="V923:W923"/>
    <mergeCell ref="X923:Z923"/>
    <mergeCell ref="B924:D924"/>
    <mergeCell ref="E924:G924"/>
    <mergeCell ref="H924:M924"/>
    <mergeCell ref="N924:U924"/>
    <mergeCell ref="V924:W924"/>
    <mergeCell ref="X926:Z926"/>
    <mergeCell ref="B925:D925"/>
    <mergeCell ref="E925:G925"/>
    <mergeCell ref="H925:M925"/>
    <mergeCell ref="N925:U925"/>
    <mergeCell ref="V925:W925"/>
    <mergeCell ref="X925:Z925"/>
    <mergeCell ref="B926:D926"/>
    <mergeCell ref="E926:G926"/>
    <mergeCell ref="H926:M926"/>
    <mergeCell ref="N926:U926"/>
    <mergeCell ref="V926:W926"/>
    <mergeCell ref="X928:Z928"/>
    <mergeCell ref="B927:D927"/>
    <mergeCell ref="E927:G927"/>
    <mergeCell ref="H927:M927"/>
    <mergeCell ref="N927:U927"/>
    <mergeCell ref="V927:W927"/>
    <mergeCell ref="X927:Z927"/>
    <mergeCell ref="B928:D928"/>
    <mergeCell ref="E928:G928"/>
    <mergeCell ref="H928:M928"/>
    <mergeCell ref="N928:U928"/>
    <mergeCell ref="V928:W928"/>
    <mergeCell ref="X930:Z930"/>
    <mergeCell ref="B929:D929"/>
    <mergeCell ref="E929:G929"/>
    <mergeCell ref="H929:M929"/>
    <mergeCell ref="N929:U929"/>
    <mergeCell ref="V929:W929"/>
    <mergeCell ref="X929:Z929"/>
    <mergeCell ref="B930:D930"/>
    <mergeCell ref="E930:G930"/>
    <mergeCell ref="H930:M930"/>
    <mergeCell ref="N930:U930"/>
    <mergeCell ref="V930:W930"/>
    <mergeCell ref="X932:Z932"/>
    <mergeCell ref="B931:D931"/>
    <mergeCell ref="E931:G931"/>
    <mergeCell ref="H931:M931"/>
    <mergeCell ref="N931:U931"/>
    <mergeCell ref="V931:W931"/>
    <mergeCell ref="X931:Z931"/>
    <mergeCell ref="B932:D932"/>
    <mergeCell ref="E932:G932"/>
    <mergeCell ref="H932:M932"/>
    <mergeCell ref="N932:U932"/>
    <mergeCell ref="V932:W932"/>
    <mergeCell ref="X934:Z934"/>
    <mergeCell ref="B933:D933"/>
    <mergeCell ref="E933:G933"/>
    <mergeCell ref="H933:M933"/>
    <mergeCell ref="N933:U933"/>
    <mergeCell ref="V933:W933"/>
    <mergeCell ref="X933:Z933"/>
    <mergeCell ref="B934:D934"/>
    <mergeCell ref="E934:G934"/>
    <mergeCell ref="H934:M934"/>
    <mergeCell ref="N934:U934"/>
    <mergeCell ref="V934:W934"/>
    <mergeCell ref="X936:Z936"/>
    <mergeCell ref="B935:D935"/>
    <mergeCell ref="E935:G935"/>
    <mergeCell ref="H935:M935"/>
    <mergeCell ref="N935:U935"/>
    <mergeCell ref="V935:W935"/>
    <mergeCell ref="X935:Z935"/>
    <mergeCell ref="B936:D936"/>
    <mergeCell ref="E936:G936"/>
    <mergeCell ref="H936:M936"/>
    <mergeCell ref="N936:U936"/>
    <mergeCell ref="V936:W936"/>
    <mergeCell ref="X938:Z938"/>
    <mergeCell ref="B937:D937"/>
    <mergeCell ref="E937:G937"/>
    <mergeCell ref="H937:M937"/>
    <mergeCell ref="N937:U937"/>
    <mergeCell ref="V937:W937"/>
    <mergeCell ref="X937:Z937"/>
    <mergeCell ref="B938:D938"/>
    <mergeCell ref="E938:G938"/>
    <mergeCell ref="H938:M938"/>
    <mergeCell ref="N938:U938"/>
    <mergeCell ref="V938:W938"/>
    <mergeCell ref="X940:Z940"/>
    <mergeCell ref="B939:D939"/>
    <mergeCell ref="E939:G939"/>
    <mergeCell ref="H939:M939"/>
    <mergeCell ref="N939:U939"/>
    <mergeCell ref="V939:W939"/>
    <mergeCell ref="X939:Z939"/>
    <mergeCell ref="B940:D940"/>
    <mergeCell ref="E940:G940"/>
    <mergeCell ref="H940:M940"/>
    <mergeCell ref="N940:U940"/>
    <mergeCell ref="V940:W940"/>
    <mergeCell ref="X942:Z942"/>
    <mergeCell ref="B941:D941"/>
    <mergeCell ref="E941:G941"/>
    <mergeCell ref="H941:M941"/>
    <mergeCell ref="N941:U941"/>
    <mergeCell ref="V941:W941"/>
    <mergeCell ref="X941:Z941"/>
    <mergeCell ref="B942:D942"/>
    <mergeCell ref="E942:G942"/>
    <mergeCell ref="H942:M942"/>
    <mergeCell ref="N942:U942"/>
    <mergeCell ref="V942:W942"/>
    <mergeCell ref="X944:Z944"/>
    <mergeCell ref="B943:D943"/>
    <mergeCell ref="E943:G943"/>
    <mergeCell ref="H943:M943"/>
    <mergeCell ref="N943:U943"/>
    <mergeCell ref="V943:W943"/>
    <mergeCell ref="X943:Z943"/>
    <mergeCell ref="B944:D944"/>
    <mergeCell ref="E944:G944"/>
    <mergeCell ref="H944:M944"/>
    <mergeCell ref="N944:U944"/>
    <mergeCell ref="V944:W944"/>
    <mergeCell ref="X946:Z946"/>
    <mergeCell ref="B945:D945"/>
    <mergeCell ref="E945:G945"/>
    <mergeCell ref="H945:M945"/>
    <mergeCell ref="N945:U945"/>
    <mergeCell ref="V945:W945"/>
    <mergeCell ref="X945:Z945"/>
    <mergeCell ref="B946:D946"/>
    <mergeCell ref="E946:G946"/>
    <mergeCell ref="H946:M946"/>
    <mergeCell ref="N946:U946"/>
    <mergeCell ref="V946:W946"/>
    <mergeCell ref="X948:Z948"/>
    <mergeCell ref="B947:D947"/>
    <mergeCell ref="E947:G947"/>
    <mergeCell ref="H947:M947"/>
    <mergeCell ref="N947:U947"/>
    <mergeCell ref="V947:W947"/>
    <mergeCell ref="X947:Z947"/>
    <mergeCell ref="B948:D948"/>
    <mergeCell ref="E948:G948"/>
    <mergeCell ref="H948:M948"/>
    <mergeCell ref="N948:U948"/>
    <mergeCell ref="V948:W948"/>
    <mergeCell ref="X950:Z950"/>
    <mergeCell ref="B949:D949"/>
    <mergeCell ref="E949:G949"/>
    <mergeCell ref="H949:M949"/>
    <mergeCell ref="N949:U949"/>
    <mergeCell ref="V949:W949"/>
    <mergeCell ref="X949:Z949"/>
    <mergeCell ref="B950:D950"/>
    <mergeCell ref="E950:G950"/>
    <mergeCell ref="H950:M950"/>
    <mergeCell ref="N950:U950"/>
    <mergeCell ref="V950:W950"/>
    <mergeCell ref="X952:Z952"/>
    <mergeCell ref="B951:D951"/>
    <mergeCell ref="E951:G951"/>
    <mergeCell ref="H951:M951"/>
    <mergeCell ref="N951:U951"/>
    <mergeCell ref="V951:W951"/>
    <mergeCell ref="X951:Z951"/>
    <mergeCell ref="B952:D952"/>
    <mergeCell ref="E952:G952"/>
    <mergeCell ref="H952:M952"/>
    <mergeCell ref="N952:U952"/>
    <mergeCell ref="V952:W952"/>
    <mergeCell ref="X954:Z954"/>
    <mergeCell ref="B953:D953"/>
    <mergeCell ref="E953:G953"/>
    <mergeCell ref="H953:M953"/>
    <mergeCell ref="N953:U953"/>
    <mergeCell ref="V953:W953"/>
    <mergeCell ref="X953:Z953"/>
    <mergeCell ref="B954:D954"/>
    <mergeCell ref="E954:G954"/>
    <mergeCell ref="H954:M954"/>
    <mergeCell ref="N954:U954"/>
    <mergeCell ref="V954:W954"/>
    <mergeCell ref="X956:Z956"/>
    <mergeCell ref="B955:D955"/>
    <mergeCell ref="E955:G955"/>
    <mergeCell ref="H955:M955"/>
    <mergeCell ref="N955:U955"/>
    <mergeCell ref="V955:W955"/>
    <mergeCell ref="X955:Z955"/>
    <mergeCell ref="B956:D956"/>
    <mergeCell ref="E956:G956"/>
    <mergeCell ref="H956:M956"/>
    <mergeCell ref="N956:U956"/>
    <mergeCell ref="V956:W956"/>
    <mergeCell ref="X958:Z958"/>
    <mergeCell ref="B957:D957"/>
    <mergeCell ref="E957:G957"/>
    <mergeCell ref="H957:M957"/>
    <mergeCell ref="N957:U957"/>
    <mergeCell ref="V957:W957"/>
    <mergeCell ref="X957:Z957"/>
    <mergeCell ref="B958:D958"/>
    <mergeCell ref="E958:G958"/>
    <mergeCell ref="H958:M958"/>
    <mergeCell ref="N958:U958"/>
    <mergeCell ref="V958:W958"/>
    <mergeCell ref="X960:Z960"/>
    <mergeCell ref="B959:D959"/>
    <mergeCell ref="E959:G959"/>
    <mergeCell ref="H959:M959"/>
    <mergeCell ref="N959:U959"/>
    <mergeCell ref="V959:W959"/>
    <mergeCell ref="X959:Z959"/>
    <mergeCell ref="B960:D960"/>
    <mergeCell ref="E960:G960"/>
    <mergeCell ref="H960:M960"/>
    <mergeCell ref="N960:U960"/>
    <mergeCell ref="V960:W960"/>
    <mergeCell ref="X962:Z962"/>
    <mergeCell ref="B961:D961"/>
    <mergeCell ref="E961:G961"/>
    <mergeCell ref="H961:M961"/>
    <mergeCell ref="N961:U961"/>
    <mergeCell ref="V961:W961"/>
    <mergeCell ref="X961:Z961"/>
    <mergeCell ref="B962:D962"/>
    <mergeCell ref="E962:G962"/>
    <mergeCell ref="H962:M962"/>
    <mergeCell ref="N962:U962"/>
    <mergeCell ref="V962:W962"/>
    <mergeCell ref="X964:Z964"/>
    <mergeCell ref="B963:D963"/>
    <mergeCell ref="E963:G963"/>
    <mergeCell ref="H963:M963"/>
    <mergeCell ref="N963:U963"/>
    <mergeCell ref="V963:W963"/>
    <mergeCell ref="X963:Z963"/>
    <mergeCell ref="B964:D964"/>
    <mergeCell ref="E964:G964"/>
    <mergeCell ref="H964:M964"/>
    <mergeCell ref="N964:U964"/>
    <mergeCell ref="V964:W964"/>
    <mergeCell ref="X966:Z966"/>
    <mergeCell ref="B965:D965"/>
    <mergeCell ref="E965:G965"/>
    <mergeCell ref="H965:M965"/>
    <mergeCell ref="N965:U965"/>
    <mergeCell ref="V965:W965"/>
    <mergeCell ref="X965:Z965"/>
    <mergeCell ref="B966:D966"/>
    <mergeCell ref="E966:G966"/>
    <mergeCell ref="H966:M966"/>
    <mergeCell ref="N966:U966"/>
    <mergeCell ref="V966:W966"/>
    <mergeCell ref="X968:Z968"/>
    <mergeCell ref="B967:D967"/>
    <mergeCell ref="E967:G967"/>
    <mergeCell ref="H967:M967"/>
    <mergeCell ref="N967:U967"/>
    <mergeCell ref="V967:W967"/>
    <mergeCell ref="X967:Z967"/>
    <mergeCell ref="B968:D968"/>
    <mergeCell ref="E968:G968"/>
    <mergeCell ref="H968:M968"/>
    <mergeCell ref="N968:U968"/>
    <mergeCell ref="V968:W968"/>
    <mergeCell ref="X970:Z970"/>
    <mergeCell ref="B969:D969"/>
    <mergeCell ref="E969:G969"/>
    <mergeCell ref="H969:M969"/>
    <mergeCell ref="N969:U969"/>
    <mergeCell ref="V969:W969"/>
    <mergeCell ref="X969:Z969"/>
    <mergeCell ref="B970:D970"/>
    <mergeCell ref="E970:G970"/>
    <mergeCell ref="H970:M970"/>
    <mergeCell ref="N970:U970"/>
    <mergeCell ref="V970:W970"/>
    <mergeCell ref="X972:Z972"/>
    <mergeCell ref="B971:D971"/>
    <mergeCell ref="E971:G971"/>
    <mergeCell ref="H971:M971"/>
    <mergeCell ref="N971:U971"/>
    <mergeCell ref="V971:W971"/>
    <mergeCell ref="X971:Z971"/>
    <mergeCell ref="B972:D972"/>
    <mergeCell ref="E972:G972"/>
    <mergeCell ref="H972:M972"/>
    <mergeCell ref="N972:U972"/>
    <mergeCell ref="V972:W972"/>
    <mergeCell ref="X974:Z974"/>
    <mergeCell ref="B973:D973"/>
    <mergeCell ref="E973:G973"/>
    <mergeCell ref="H973:M973"/>
    <mergeCell ref="N973:U973"/>
    <mergeCell ref="V973:W973"/>
    <mergeCell ref="X973:Z973"/>
    <mergeCell ref="B974:D974"/>
    <mergeCell ref="E974:G974"/>
    <mergeCell ref="H974:M974"/>
    <mergeCell ref="N974:U974"/>
    <mergeCell ref="V974:W974"/>
    <mergeCell ref="X976:Z976"/>
    <mergeCell ref="B975:D975"/>
    <mergeCell ref="E975:G975"/>
    <mergeCell ref="H975:M975"/>
    <mergeCell ref="N975:U975"/>
    <mergeCell ref="V975:W975"/>
    <mergeCell ref="X975:Z975"/>
    <mergeCell ref="B976:D976"/>
    <mergeCell ref="E976:G976"/>
    <mergeCell ref="H976:M976"/>
    <mergeCell ref="N976:U976"/>
    <mergeCell ref="V976:W976"/>
    <mergeCell ref="X978:Z978"/>
    <mergeCell ref="B977:D977"/>
    <mergeCell ref="E977:G977"/>
    <mergeCell ref="H977:M977"/>
    <mergeCell ref="N977:U977"/>
    <mergeCell ref="V977:W977"/>
    <mergeCell ref="X977:Z977"/>
    <mergeCell ref="B978:D978"/>
    <mergeCell ref="E978:G978"/>
    <mergeCell ref="H978:M978"/>
    <mergeCell ref="N978:U978"/>
    <mergeCell ref="V978:W978"/>
    <mergeCell ref="X980:Z980"/>
    <mergeCell ref="B979:D979"/>
    <mergeCell ref="E979:G979"/>
    <mergeCell ref="H979:M979"/>
    <mergeCell ref="N979:U979"/>
    <mergeCell ref="V979:W979"/>
    <mergeCell ref="X979:Z979"/>
    <mergeCell ref="B980:D980"/>
    <mergeCell ref="E980:G980"/>
    <mergeCell ref="H980:M980"/>
    <mergeCell ref="N980:U980"/>
    <mergeCell ref="V980:W980"/>
    <mergeCell ref="X982:Z982"/>
    <mergeCell ref="B981:D981"/>
    <mergeCell ref="E981:G981"/>
    <mergeCell ref="H981:M981"/>
    <mergeCell ref="N981:U981"/>
    <mergeCell ref="V981:W981"/>
    <mergeCell ref="X981:Z981"/>
    <mergeCell ref="B982:D982"/>
    <mergeCell ref="E982:G982"/>
    <mergeCell ref="H982:M982"/>
    <mergeCell ref="N982:U982"/>
    <mergeCell ref="V982:W982"/>
    <mergeCell ref="X984:Z984"/>
    <mergeCell ref="B983:D983"/>
    <mergeCell ref="E983:G983"/>
    <mergeCell ref="H983:M983"/>
    <mergeCell ref="N983:U983"/>
    <mergeCell ref="V983:W983"/>
    <mergeCell ref="X983:Z983"/>
    <mergeCell ref="B984:D984"/>
    <mergeCell ref="E984:G984"/>
    <mergeCell ref="H984:M984"/>
    <mergeCell ref="N984:U984"/>
    <mergeCell ref="V984:W984"/>
    <mergeCell ref="X986:Z986"/>
    <mergeCell ref="B985:D985"/>
    <mergeCell ref="E985:G985"/>
    <mergeCell ref="H985:M985"/>
    <mergeCell ref="N985:U985"/>
    <mergeCell ref="V985:W985"/>
    <mergeCell ref="X985:Z985"/>
    <mergeCell ref="B986:D986"/>
    <mergeCell ref="E986:G986"/>
    <mergeCell ref="H986:M986"/>
    <mergeCell ref="N986:U986"/>
    <mergeCell ref="V986:W986"/>
    <mergeCell ref="X988:Z988"/>
    <mergeCell ref="B987:D987"/>
    <mergeCell ref="E987:G987"/>
    <mergeCell ref="H987:M987"/>
    <mergeCell ref="N987:U987"/>
    <mergeCell ref="V987:W987"/>
    <mergeCell ref="X987:Z987"/>
    <mergeCell ref="B988:D988"/>
    <mergeCell ref="E988:G988"/>
    <mergeCell ref="H988:M988"/>
    <mergeCell ref="N988:U988"/>
    <mergeCell ref="V988:W988"/>
    <mergeCell ref="X990:Z990"/>
    <mergeCell ref="B989:D989"/>
    <mergeCell ref="E989:G989"/>
    <mergeCell ref="H989:M989"/>
    <mergeCell ref="N989:U989"/>
    <mergeCell ref="V989:W989"/>
    <mergeCell ref="X989:Z989"/>
    <mergeCell ref="B990:D990"/>
    <mergeCell ref="E990:G990"/>
    <mergeCell ref="H990:M990"/>
    <mergeCell ref="N990:U990"/>
    <mergeCell ref="V990:W990"/>
    <mergeCell ref="X992:Z992"/>
    <mergeCell ref="B991:D991"/>
    <mergeCell ref="E991:G991"/>
    <mergeCell ref="H991:M991"/>
    <mergeCell ref="N991:U991"/>
    <mergeCell ref="V991:W991"/>
    <mergeCell ref="X991:Z991"/>
    <mergeCell ref="B992:D992"/>
    <mergeCell ref="E992:G992"/>
    <mergeCell ref="H992:M992"/>
    <mergeCell ref="N992:U992"/>
    <mergeCell ref="V992:W992"/>
    <mergeCell ref="X994:Z994"/>
    <mergeCell ref="B993:D993"/>
    <mergeCell ref="E993:G993"/>
    <mergeCell ref="H993:M993"/>
    <mergeCell ref="N993:U993"/>
    <mergeCell ref="V993:W993"/>
    <mergeCell ref="X993:Z993"/>
    <mergeCell ref="B994:D994"/>
    <mergeCell ref="E994:G994"/>
    <mergeCell ref="H994:M994"/>
    <mergeCell ref="N994:U994"/>
    <mergeCell ref="V994:W994"/>
    <mergeCell ref="X996:Z996"/>
    <mergeCell ref="B995:D995"/>
    <mergeCell ref="E995:G995"/>
    <mergeCell ref="H995:M995"/>
    <mergeCell ref="N995:U995"/>
    <mergeCell ref="V995:W995"/>
    <mergeCell ref="X995:Z995"/>
    <mergeCell ref="B996:D996"/>
    <mergeCell ref="E996:G996"/>
    <mergeCell ref="H996:M996"/>
    <mergeCell ref="N996:U996"/>
    <mergeCell ref="V996:W996"/>
    <mergeCell ref="X998:Z998"/>
    <mergeCell ref="B997:D997"/>
    <mergeCell ref="E997:G997"/>
    <mergeCell ref="H997:M997"/>
    <mergeCell ref="N997:U997"/>
    <mergeCell ref="V997:W997"/>
    <mergeCell ref="X997:Z997"/>
    <mergeCell ref="B998:D998"/>
    <mergeCell ref="E998:G998"/>
    <mergeCell ref="H998:M998"/>
    <mergeCell ref="N998:U998"/>
    <mergeCell ref="V998:W998"/>
    <mergeCell ref="X1000:Z1000"/>
    <mergeCell ref="B999:D999"/>
    <mergeCell ref="E999:G999"/>
    <mergeCell ref="H999:M999"/>
    <mergeCell ref="N999:U999"/>
    <mergeCell ref="V999:W999"/>
    <mergeCell ref="X999:Z999"/>
    <mergeCell ref="B1000:D1000"/>
    <mergeCell ref="E1000:G1000"/>
    <mergeCell ref="H1000:M1000"/>
    <mergeCell ref="N1000:U1000"/>
    <mergeCell ref="V1000:W1000"/>
    <mergeCell ref="X1002:Z1002"/>
    <mergeCell ref="B1001:D1001"/>
    <mergeCell ref="E1001:G1001"/>
    <mergeCell ref="H1001:M1001"/>
    <mergeCell ref="N1001:U1001"/>
    <mergeCell ref="V1001:W1001"/>
    <mergeCell ref="X1001:Z1001"/>
    <mergeCell ref="B1002:D1002"/>
    <mergeCell ref="E1002:G1002"/>
    <mergeCell ref="H1002:M1002"/>
    <mergeCell ref="N1002:U1002"/>
    <mergeCell ref="V1002:W1002"/>
    <mergeCell ref="X1004:Z1004"/>
    <mergeCell ref="B1003:D1003"/>
    <mergeCell ref="E1003:G1003"/>
    <mergeCell ref="H1003:M1003"/>
    <mergeCell ref="N1003:U1003"/>
    <mergeCell ref="V1003:W1003"/>
    <mergeCell ref="X1003:Z1003"/>
    <mergeCell ref="B1004:D1004"/>
    <mergeCell ref="E1004:G1004"/>
    <mergeCell ref="H1004:M1004"/>
    <mergeCell ref="N1004:U1004"/>
    <mergeCell ref="V1004:W1004"/>
    <mergeCell ref="X1006:Z1006"/>
    <mergeCell ref="B1005:D1005"/>
    <mergeCell ref="E1005:G1005"/>
    <mergeCell ref="H1005:M1005"/>
    <mergeCell ref="N1005:U1005"/>
    <mergeCell ref="V1005:W1005"/>
    <mergeCell ref="X1005:Z1005"/>
    <mergeCell ref="B1006:D1006"/>
    <mergeCell ref="E1006:G1006"/>
    <mergeCell ref="H1006:M1006"/>
    <mergeCell ref="N1006:U1006"/>
    <mergeCell ref="V1006:W1006"/>
    <mergeCell ref="X1008:Z1008"/>
    <mergeCell ref="B1007:D1007"/>
    <mergeCell ref="E1007:G1007"/>
    <mergeCell ref="H1007:M1007"/>
    <mergeCell ref="N1007:U1007"/>
    <mergeCell ref="V1007:W1007"/>
    <mergeCell ref="X1007:Z1007"/>
    <mergeCell ref="B1008:D1008"/>
    <mergeCell ref="E1008:G1008"/>
    <mergeCell ref="H1008:M1008"/>
    <mergeCell ref="N1008:U1008"/>
    <mergeCell ref="V1008:W1008"/>
    <mergeCell ref="X1010:Z1010"/>
    <mergeCell ref="B1009:D1009"/>
    <mergeCell ref="E1009:G1009"/>
    <mergeCell ref="H1009:M1009"/>
    <mergeCell ref="N1009:U1009"/>
    <mergeCell ref="V1009:W1009"/>
    <mergeCell ref="X1009:Z1009"/>
    <mergeCell ref="B1010:D1010"/>
    <mergeCell ref="E1010:G1010"/>
    <mergeCell ref="H1010:M1010"/>
    <mergeCell ref="N1010:U1010"/>
    <mergeCell ref="V1010:W1010"/>
    <mergeCell ref="X1012:Z1012"/>
    <mergeCell ref="B1011:D1011"/>
    <mergeCell ref="E1011:G1011"/>
    <mergeCell ref="H1011:M1011"/>
    <mergeCell ref="N1011:U1011"/>
    <mergeCell ref="V1011:W1011"/>
    <mergeCell ref="X1011:Z1011"/>
    <mergeCell ref="B1012:D1012"/>
    <mergeCell ref="E1012:G1012"/>
    <mergeCell ref="H1012:M1012"/>
    <mergeCell ref="N1012:U1012"/>
    <mergeCell ref="V1012:W1012"/>
    <mergeCell ref="X1014:Z1014"/>
    <mergeCell ref="B1013:D1013"/>
    <mergeCell ref="E1013:G1013"/>
    <mergeCell ref="H1013:M1013"/>
    <mergeCell ref="N1013:U1013"/>
    <mergeCell ref="V1013:W1013"/>
    <mergeCell ref="X1013:Z1013"/>
    <mergeCell ref="B1014:D1014"/>
    <mergeCell ref="E1014:G1014"/>
    <mergeCell ref="H1014:M1014"/>
    <mergeCell ref="N1014:U1014"/>
    <mergeCell ref="V1014:W1014"/>
    <mergeCell ref="X1016:Z1016"/>
    <mergeCell ref="B1015:D1015"/>
    <mergeCell ref="E1015:G1015"/>
    <mergeCell ref="H1015:M1015"/>
    <mergeCell ref="N1015:U1015"/>
    <mergeCell ref="V1015:W1015"/>
    <mergeCell ref="X1015:Z1015"/>
    <mergeCell ref="B1016:D1016"/>
    <mergeCell ref="E1016:G1016"/>
    <mergeCell ref="H1016:M1016"/>
    <mergeCell ref="N1016:U1016"/>
    <mergeCell ref="V1016:W1016"/>
    <mergeCell ref="X1018:Z1018"/>
    <mergeCell ref="B1017:D1017"/>
    <mergeCell ref="E1017:G1017"/>
    <mergeCell ref="H1017:M1017"/>
    <mergeCell ref="N1017:U1017"/>
    <mergeCell ref="V1017:W1017"/>
    <mergeCell ref="X1017:Z1017"/>
    <mergeCell ref="B1018:D1018"/>
    <mergeCell ref="E1018:G1018"/>
    <mergeCell ref="H1018:M1018"/>
    <mergeCell ref="N1018:U1018"/>
    <mergeCell ref="V1018:W1018"/>
    <mergeCell ref="X1020:Z1020"/>
    <mergeCell ref="B1019:D1019"/>
    <mergeCell ref="E1019:G1019"/>
    <mergeCell ref="H1019:M1019"/>
    <mergeCell ref="N1019:U1019"/>
    <mergeCell ref="V1019:W1019"/>
    <mergeCell ref="X1019:Z1019"/>
    <mergeCell ref="B1020:D1020"/>
    <mergeCell ref="E1020:G1020"/>
    <mergeCell ref="H1020:M1020"/>
    <mergeCell ref="N1020:U1020"/>
    <mergeCell ref="V1020:W1020"/>
    <mergeCell ref="X1022:Z1022"/>
    <mergeCell ref="B1021:D1021"/>
    <mergeCell ref="E1021:G1021"/>
    <mergeCell ref="H1021:M1021"/>
    <mergeCell ref="N1021:U1021"/>
    <mergeCell ref="V1021:W1021"/>
    <mergeCell ref="X1021:Z1021"/>
    <mergeCell ref="B1022:D1022"/>
    <mergeCell ref="E1022:G1022"/>
    <mergeCell ref="H1022:M1022"/>
    <mergeCell ref="N1022:U1022"/>
    <mergeCell ref="V1022:W1022"/>
    <mergeCell ref="X1024:Z1024"/>
    <mergeCell ref="B1023:D1023"/>
    <mergeCell ref="E1023:G1023"/>
    <mergeCell ref="H1023:M1023"/>
    <mergeCell ref="N1023:U1023"/>
    <mergeCell ref="V1023:W1023"/>
    <mergeCell ref="X1023:Z1023"/>
    <mergeCell ref="B1024:D1024"/>
    <mergeCell ref="E1024:G1024"/>
    <mergeCell ref="H1024:M1024"/>
    <mergeCell ref="N1024:U1024"/>
    <mergeCell ref="V1024:W1024"/>
    <mergeCell ref="X1026:Z1026"/>
    <mergeCell ref="B1025:D1025"/>
    <mergeCell ref="E1025:G1025"/>
    <mergeCell ref="H1025:M1025"/>
    <mergeCell ref="N1025:U1025"/>
    <mergeCell ref="V1025:W1025"/>
    <mergeCell ref="X1025:Z1025"/>
    <mergeCell ref="B1026:D1026"/>
    <mergeCell ref="E1026:G1026"/>
    <mergeCell ref="H1026:M1026"/>
    <mergeCell ref="N1026:U1026"/>
    <mergeCell ref="V1026:W1026"/>
    <mergeCell ref="X1028:Z1028"/>
    <mergeCell ref="B1027:D1027"/>
    <mergeCell ref="E1027:G1027"/>
    <mergeCell ref="H1027:M1027"/>
    <mergeCell ref="N1027:U1027"/>
    <mergeCell ref="V1027:W1027"/>
    <mergeCell ref="X1027:Z1027"/>
    <mergeCell ref="B1028:D1028"/>
    <mergeCell ref="E1028:G1028"/>
    <mergeCell ref="H1028:M1028"/>
    <mergeCell ref="N1028:U1028"/>
    <mergeCell ref="V1028:W1028"/>
    <mergeCell ref="X1030:Z1030"/>
    <mergeCell ref="B1029:D1029"/>
    <mergeCell ref="E1029:G1029"/>
    <mergeCell ref="H1029:M1029"/>
    <mergeCell ref="N1029:U1029"/>
    <mergeCell ref="V1029:W1029"/>
    <mergeCell ref="X1029:Z1029"/>
    <mergeCell ref="B1030:D1030"/>
    <mergeCell ref="E1030:G1030"/>
    <mergeCell ref="H1030:M1030"/>
    <mergeCell ref="N1030:U1030"/>
    <mergeCell ref="V1030:W1030"/>
    <mergeCell ref="X1032:Z1032"/>
    <mergeCell ref="B1031:D1031"/>
    <mergeCell ref="E1031:G1031"/>
    <mergeCell ref="H1031:M1031"/>
    <mergeCell ref="N1031:U1031"/>
    <mergeCell ref="V1031:W1031"/>
    <mergeCell ref="X1031:Z1031"/>
    <mergeCell ref="B1032:D1032"/>
    <mergeCell ref="E1032:G1032"/>
    <mergeCell ref="H1032:M1032"/>
    <mergeCell ref="N1032:U1032"/>
    <mergeCell ref="V1032:W1032"/>
    <mergeCell ref="X1034:Z1034"/>
    <mergeCell ref="B1033:D1033"/>
    <mergeCell ref="E1033:G1033"/>
    <mergeCell ref="H1033:M1033"/>
    <mergeCell ref="N1033:U1033"/>
    <mergeCell ref="V1033:W1033"/>
    <mergeCell ref="X1033:Z1033"/>
    <mergeCell ref="B1034:D1034"/>
    <mergeCell ref="E1034:G1034"/>
    <mergeCell ref="H1034:M1034"/>
    <mergeCell ref="N1034:U1034"/>
    <mergeCell ref="V1034:W1034"/>
    <mergeCell ref="X1036:Z1036"/>
    <mergeCell ref="B1035:D1035"/>
    <mergeCell ref="E1035:G1035"/>
    <mergeCell ref="H1035:M1035"/>
    <mergeCell ref="N1035:U1035"/>
    <mergeCell ref="V1035:W1035"/>
    <mergeCell ref="X1035:Z1035"/>
    <mergeCell ref="B1036:D1036"/>
    <mergeCell ref="E1036:G1036"/>
    <mergeCell ref="H1036:M1036"/>
    <mergeCell ref="N1036:U1036"/>
    <mergeCell ref="V1036:W1036"/>
    <mergeCell ref="X1038:Z1038"/>
    <mergeCell ref="B1037:D1037"/>
    <mergeCell ref="E1037:G1037"/>
    <mergeCell ref="H1037:M1037"/>
    <mergeCell ref="N1037:U1037"/>
    <mergeCell ref="V1037:W1037"/>
    <mergeCell ref="X1037:Z1037"/>
    <mergeCell ref="B1038:D1038"/>
    <mergeCell ref="E1038:G1038"/>
    <mergeCell ref="H1038:M1038"/>
    <mergeCell ref="N1038:U1038"/>
    <mergeCell ref="V1038:W1038"/>
    <mergeCell ref="X1040:Z1040"/>
    <mergeCell ref="B1039:D1039"/>
    <mergeCell ref="E1039:G1039"/>
    <mergeCell ref="H1039:M1039"/>
    <mergeCell ref="N1039:U1039"/>
    <mergeCell ref="V1039:W1039"/>
    <mergeCell ref="X1039:Z1039"/>
    <mergeCell ref="B1040:D1040"/>
    <mergeCell ref="E1040:G1040"/>
    <mergeCell ref="H1040:M1040"/>
    <mergeCell ref="N1040:U1040"/>
    <mergeCell ref="V1040:W1040"/>
    <mergeCell ref="X1042:Z1042"/>
    <mergeCell ref="B1041:D1041"/>
    <mergeCell ref="E1041:G1041"/>
    <mergeCell ref="H1041:M1041"/>
    <mergeCell ref="N1041:U1041"/>
    <mergeCell ref="V1041:W1041"/>
    <mergeCell ref="X1041:Z1041"/>
    <mergeCell ref="B1042:D1042"/>
    <mergeCell ref="E1042:G1042"/>
    <mergeCell ref="H1042:M1042"/>
    <mergeCell ref="N1042:U1042"/>
    <mergeCell ref="V1042:W1042"/>
    <mergeCell ref="X1044:Z1044"/>
    <mergeCell ref="B1043:D1043"/>
    <mergeCell ref="E1043:G1043"/>
    <mergeCell ref="H1043:M1043"/>
    <mergeCell ref="N1043:U1043"/>
    <mergeCell ref="V1043:W1043"/>
    <mergeCell ref="X1043:Z1043"/>
    <mergeCell ref="B1044:D1044"/>
    <mergeCell ref="E1044:G1044"/>
    <mergeCell ref="H1044:M1044"/>
    <mergeCell ref="N1044:U1044"/>
    <mergeCell ref="V1044:W1044"/>
    <mergeCell ref="X1046:Z1046"/>
    <mergeCell ref="B1045:D1045"/>
    <mergeCell ref="E1045:G1045"/>
    <mergeCell ref="H1045:M1045"/>
    <mergeCell ref="N1045:U1045"/>
    <mergeCell ref="V1045:W1045"/>
    <mergeCell ref="X1045:Z1045"/>
    <mergeCell ref="B1046:D1046"/>
    <mergeCell ref="E1046:G1046"/>
    <mergeCell ref="H1046:M1046"/>
    <mergeCell ref="N1046:U1046"/>
    <mergeCell ref="V1046:W1046"/>
    <mergeCell ref="X1048:Z1048"/>
    <mergeCell ref="B1047:D1047"/>
    <mergeCell ref="E1047:G1047"/>
    <mergeCell ref="H1047:M1047"/>
    <mergeCell ref="N1047:U1047"/>
    <mergeCell ref="V1047:W1047"/>
    <mergeCell ref="X1047:Z1047"/>
    <mergeCell ref="B1048:D1048"/>
    <mergeCell ref="E1048:G1048"/>
    <mergeCell ref="H1048:M1048"/>
    <mergeCell ref="N1048:U1048"/>
    <mergeCell ref="V1048:W1048"/>
    <mergeCell ref="X1050:Z1050"/>
    <mergeCell ref="B1049:D1049"/>
    <mergeCell ref="E1049:G1049"/>
    <mergeCell ref="H1049:M1049"/>
    <mergeCell ref="N1049:U1049"/>
    <mergeCell ref="V1049:W1049"/>
    <mergeCell ref="X1049:Z1049"/>
    <mergeCell ref="B1050:D1050"/>
    <mergeCell ref="E1050:G1050"/>
    <mergeCell ref="H1050:M1050"/>
    <mergeCell ref="N1050:U1050"/>
    <mergeCell ref="V1050:W1050"/>
    <mergeCell ref="X1052:Z1052"/>
    <mergeCell ref="B1051:D1051"/>
    <mergeCell ref="E1051:G1051"/>
    <mergeCell ref="H1051:M1051"/>
    <mergeCell ref="N1051:U1051"/>
    <mergeCell ref="V1051:W1051"/>
    <mergeCell ref="X1051:Z1051"/>
    <mergeCell ref="B1052:D1052"/>
    <mergeCell ref="E1052:G1052"/>
    <mergeCell ref="H1052:M1052"/>
    <mergeCell ref="N1052:U1052"/>
    <mergeCell ref="V1052:W1052"/>
    <mergeCell ref="X1054:Z1054"/>
    <mergeCell ref="B1053:D1053"/>
    <mergeCell ref="E1053:G1053"/>
    <mergeCell ref="H1053:M1053"/>
    <mergeCell ref="N1053:U1053"/>
    <mergeCell ref="V1053:W1053"/>
    <mergeCell ref="X1053:Z1053"/>
    <mergeCell ref="B1054:D1054"/>
    <mergeCell ref="E1054:G1054"/>
    <mergeCell ref="H1054:M1054"/>
    <mergeCell ref="N1054:U1054"/>
    <mergeCell ref="V1054:W1054"/>
    <mergeCell ref="X1056:Z1056"/>
    <mergeCell ref="B1055:D1055"/>
    <mergeCell ref="E1055:G1055"/>
    <mergeCell ref="H1055:M1055"/>
    <mergeCell ref="N1055:U1055"/>
    <mergeCell ref="V1055:W1055"/>
    <mergeCell ref="X1055:Z1055"/>
    <mergeCell ref="B1056:D1056"/>
    <mergeCell ref="E1056:G1056"/>
    <mergeCell ref="H1056:M1056"/>
    <mergeCell ref="N1056:U1056"/>
    <mergeCell ref="V1056:W1056"/>
    <mergeCell ref="X1058:Z1058"/>
    <mergeCell ref="B1057:D1057"/>
    <mergeCell ref="E1057:G1057"/>
    <mergeCell ref="H1057:M1057"/>
    <mergeCell ref="N1057:U1057"/>
    <mergeCell ref="V1057:W1057"/>
    <mergeCell ref="X1057:Z1057"/>
    <mergeCell ref="B1058:D1058"/>
    <mergeCell ref="E1058:G1058"/>
    <mergeCell ref="H1058:M1058"/>
    <mergeCell ref="N1058:U1058"/>
    <mergeCell ref="V1058:W1058"/>
    <mergeCell ref="X1060:Z1060"/>
    <mergeCell ref="B1059:D1059"/>
    <mergeCell ref="E1059:G1059"/>
    <mergeCell ref="H1059:M1059"/>
    <mergeCell ref="N1059:U1059"/>
    <mergeCell ref="V1059:W1059"/>
    <mergeCell ref="X1059:Z1059"/>
    <mergeCell ref="B1060:D1060"/>
    <mergeCell ref="E1060:G1060"/>
    <mergeCell ref="H1060:M1060"/>
    <mergeCell ref="N1060:U1060"/>
    <mergeCell ref="V1060:W1060"/>
    <mergeCell ref="X1062:Z1062"/>
    <mergeCell ref="B1061:D1061"/>
    <mergeCell ref="E1061:G1061"/>
    <mergeCell ref="H1061:M1061"/>
    <mergeCell ref="N1061:U1061"/>
    <mergeCell ref="V1061:W1061"/>
    <mergeCell ref="X1061:Z1061"/>
    <mergeCell ref="B1062:D1062"/>
    <mergeCell ref="E1062:G1062"/>
    <mergeCell ref="H1062:M1062"/>
    <mergeCell ref="N1062:U1062"/>
    <mergeCell ref="V1062:W1062"/>
    <mergeCell ref="X1064:Z1064"/>
    <mergeCell ref="B1063:D1063"/>
    <mergeCell ref="E1063:G1063"/>
    <mergeCell ref="H1063:M1063"/>
    <mergeCell ref="N1063:U1063"/>
    <mergeCell ref="V1063:W1063"/>
    <mergeCell ref="X1063:Z1063"/>
    <mergeCell ref="B1064:D1064"/>
    <mergeCell ref="E1064:G1064"/>
    <mergeCell ref="H1064:M1064"/>
    <mergeCell ref="N1064:U1064"/>
    <mergeCell ref="V1064:W1064"/>
    <mergeCell ref="X1066:Z1066"/>
    <mergeCell ref="B1065:D1065"/>
    <mergeCell ref="E1065:G1065"/>
    <mergeCell ref="H1065:M1065"/>
    <mergeCell ref="N1065:U1065"/>
    <mergeCell ref="V1065:W1065"/>
    <mergeCell ref="X1065:Z1065"/>
    <mergeCell ref="B1066:D1066"/>
    <mergeCell ref="E1066:G1066"/>
    <mergeCell ref="H1066:M1066"/>
    <mergeCell ref="N1066:U1066"/>
    <mergeCell ref="V1066:W1066"/>
    <mergeCell ref="X1068:Z1068"/>
    <mergeCell ref="B1067:D1067"/>
    <mergeCell ref="E1067:G1067"/>
    <mergeCell ref="H1067:M1067"/>
    <mergeCell ref="N1067:U1067"/>
    <mergeCell ref="V1067:W1067"/>
    <mergeCell ref="X1067:Z1067"/>
    <mergeCell ref="B1068:D1068"/>
    <mergeCell ref="E1068:G1068"/>
    <mergeCell ref="H1068:M1068"/>
    <mergeCell ref="N1068:U1068"/>
    <mergeCell ref="V1068:W1068"/>
    <mergeCell ref="X1070:Z1070"/>
    <mergeCell ref="B1069:D1069"/>
    <mergeCell ref="E1069:G1069"/>
    <mergeCell ref="H1069:M1069"/>
    <mergeCell ref="N1069:U1069"/>
    <mergeCell ref="V1069:W1069"/>
    <mergeCell ref="X1069:Z1069"/>
    <mergeCell ref="B1070:D1070"/>
    <mergeCell ref="E1070:G1070"/>
    <mergeCell ref="H1070:M1070"/>
    <mergeCell ref="N1070:U1070"/>
    <mergeCell ref="V1070:W1070"/>
    <mergeCell ref="X1072:Z1072"/>
    <mergeCell ref="B1071:D1071"/>
    <mergeCell ref="E1071:G1071"/>
    <mergeCell ref="H1071:M1071"/>
    <mergeCell ref="N1071:U1071"/>
    <mergeCell ref="V1071:W1071"/>
    <mergeCell ref="X1071:Z1071"/>
    <mergeCell ref="B1072:D1072"/>
    <mergeCell ref="E1072:G1072"/>
    <mergeCell ref="H1072:M1072"/>
    <mergeCell ref="N1072:U1072"/>
    <mergeCell ref="V1072:W1072"/>
    <mergeCell ref="X1074:Z1074"/>
    <mergeCell ref="B1073:D1073"/>
    <mergeCell ref="E1073:G1073"/>
    <mergeCell ref="H1073:M1073"/>
    <mergeCell ref="N1073:U1073"/>
    <mergeCell ref="V1073:W1073"/>
    <mergeCell ref="X1073:Z1073"/>
    <mergeCell ref="B1074:D1074"/>
    <mergeCell ref="E1074:G1074"/>
    <mergeCell ref="H1074:M1074"/>
    <mergeCell ref="N1074:U1074"/>
    <mergeCell ref="V1074:W1074"/>
    <mergeCell ref="X1076:Z1076"/>
    <mergeCell ref="B1075:D1075"/>
    <mergeCell ref="E1075:G1075"/>
    <mergeCell ref="H1075:M1075"/>
    <mergeCell ref="N1075:U1075"/>
    <mergeCell ref="V1075:W1075"/>
    <mergeCell ref="X1075:Z1075"/>
    <mergeCell ref="B1076:D1076"/>
    <mergeCell ref="E1076:G1076"/>
    <mergeCell ref="H1076:M1076"/>
    <mergeCell ref="N1076:U1076"/>
    <mergeCell ref="V1076:W1076"/>
    <mergeCell ref="X1078:Z1078"/>
    <mergeCell ref="B1077:D1077"/>
    <mergeCell ref="E1077:G1077"/>
    <mergeCell ref="H1077:M1077"/>
    <mergeCell ref="N1077:U1077"/>
    <mergeCell ref="V1077:W1077"/>
    <mergeCell ref="X1077:Z1077"/>
    <mergeCell ref="B1078:D1078"/>
    <mergeCell ref="E1078:G1078"/>
    <mergeCell ref="H1078:M1078"/>
    <mergeCell ref="N1078:U1078"/>
    <mergeCell ref="V1078:W1078"/>
    <mergeCell ref="X1080:Z1080"/>
    <mergeCell ref="B1079:D1079"/>
    <mergeCell ref="E1079:G1079"/>
    <mergeCell ref="H1079:M1079"/>
    <mergeCell ref="N1079:U1079"/>
    <mergeCell ref="V1079:W1079"/>
    <mergeCell ref="X1079:Z1079"/>
    <mergeCell ref="B1080:D1080"/>
    <mergeCell ref="E1080:G1080"/>
    <mergeCell ref="H1080:M1080"/>
    <mergeCell ref="N1080:U1080"/>
    <mergeCell ref="V1080:W1080"/>
    <mergeCell ref="X1082:Z1082"/>
    <mergeCell ref="B1081:D1081"/>
    <mergeCell ref="E1081:G1081"/>
    <mergeCell ref="H1081:M1081"/>
    <mergeCell ref="N1081:U1081"/>
    <mergeCell ref="V1081:W1081"/>
    <mergeCell ref="X1081:Z1081"/>
    <mergeCell ref="B1082:D1082"/>
    <mergeCell ref="E1082:G1082"/>
    <mergeCell ref="H1082:M1082"/>
    <mergeCell ref="N1082:U1082"/>
    <mergeCell ref="V1082:W1082"/>
    <mergeCell ref="X1084:Z1084"/>
    <mergeCell ref="B1083:D1083"/>
    <mergeCell ref="E1083:G1083"/>
    <mergeCell ref="H1083:M1083"/>
    <mergeCell ref="N1083:U1083"/>
    <mergeCell ref="V1083:W1083"/>
    <mergeCell ref="X1083:Z1083"/>
    <mergeCell ref="B1084:D1084"/>
    <mergeCell ref="E1084:G1084"/>
    <mergeCell ref="H1084:M1084"/>
    <mergeCell ref="N1084:U1084"/>
    <mergeCell ref="V1084:W1084"/>
    <mergeCell ref="X1086:Z1086"/>
    <mergeCell ref="B1085:D1085"/>
    <mergeCell ref="E1085:G1085"/>
    <mergeCell ref="H1085:M1085"/>
    <mergeCell ref="N1085:U1085"/>
    <mergeCell ref="V1085:W1085"/>
    <mergeCell ref="X1085:Z1085"/>
    <mergeCell ref="B1086:D1086"/>
    <mergeCell ref="E1086:G1086"/>
    <mergeCell ref="H1086:M1086"/>
    <mergeCell ref="N1086:U1086"/>
    <mergeCell ref="V1086:W1086"/>
    <mergeCell ref="X1088:Z1088"/>
    <mergeCell ref="B1087:D1087"/>
    <mergeCell ref="E1087:G1087"/>
    <mergeCell ref="H1087:M1087"/>
    <mergeCell ref="N1087:U1087"/>
    <mergeCell ref="V1087:W1087"/>
    <mergeCell ref="X1087:Z1087"/>
    <mergeCell ref="B1088:D1088"/>
    <mergeCell ref="E1088:G1088"/>
    <mergeCell ref="H1088:M1088"/>
    <mergeCell ref="N1088:U1088"/>
    <mergeCell ref="V1088:W1088"/>
    <mergeCell ref="X1090:Z1090"/>
    <mergeCell ref="B1089:D1089"/>
    <mergeCell ref="E1089:G1089"/>
    <mergeCell ref="H1089:M1089"/>
    <mergeCell ref="N1089:U1089"/>
    <mergeCell ref="V1089:W1089"/>
    <mergeCell ref="X1089:Z1089"/>
    <mergeCell ref="B1090:D1090"/>
    <mergeCell ref="E1090:G1090"/>
    <mergeCell ref="H1090:M1090"/>
    <mergeCell ref="N1090:U1090"/>
    <mergeCell ref="V1090:W1090"/>
    <mergeCell ref="X1092:Z1092"/>
    <mergeCell ref="B1091:D1091"/>
    <mergeCell ref="E1091:G1091"/>
    <mergeCell ref="H1091:M1091"/>
    <mergeCell ref="N1091:U1091"/>
    <mergeCell ref="V1091:W1091"/>
    <mergeCell ref="X1091:Z1091"/>
    <mergeCell ref="B1092:D1092"/>
    <mergeCell ref="E1092:G1092"/>
    <mergeCell ref="H1092:M1092"/>
    <mergeCell ref="N1092:U1092"/>
    <mergeCell ref="V1092:W1092"/>
    <mergeCell ref="X1094:Z1094"/>
    <mergeCell ref="B1093:D1093"/>
    <mergeCell ref="E1093:G1093"/>
    <mergeCell ref="H1093:M1093"/>
    <mergeCell ref="N1093:U1093"/>
    <mergeCell ref="V1093:W1093"/>
    <mergeCell ref="X1093:Z1093"/>
    <mergeCell ref="B1094:D1094"/>
    <mergeCell ref="E1094:G1094"/>
    <mergeCell ref="H1094:M1094"/>
    <mergeCell ref="N1094:U1094"/>
    <mergeCell ref="V1094:W1094"/>
    <mergeCell ref="X1096:Z1096"/>
    <mergeCell ref="B1095:D1095"/>
    <mergeCell ref="E1095:G1095"/>
    <mergeCell ref="H1095:M1095"/>
    <mergeCell ref="N1095:U1095"/>
    <mergeCell ref="V1095:W1095"/>
    <mergeCell ref="X1095:Z1095"/>
    <mergeCell ref="B1096:D1096"/>
    <mergeCell ref="E1096:G1096"/>
    <mergeCell ref="H1096:M1096"/>
    <mergeCell ref="N1096:U1096"/>
    <mergeCell ref="V1096:W1096"/>
    <mergeCell ref="X1098:Z1098"/>
    <mergeCell ref="B1097:D1097"/>
    <mergeCell ref="E1097:G1097"/>
    <mergeCell ref="H1097:M1097"/>
    <mergeCell ref="N1097:U1097"/>
    <mergeCell ref="V1097:W1097"/>
    <mergeCell ref="X1097:Z1097"/>
    <mergeCell ref="B1098:D1098"/>
    <mergeCell ref="E1098:G1098"/>
    <mergeCell ref="H1098:M1098"/>
    <mergeCell ref="N1098:U1098"/>
    <mergeCell ref="V1098:W1098"/>
    <mergeCell ref="X1100:Z1100"/>
    <mergeCell ref="B1099:D1099"/>
    <mergeCell ref="E1099:G1099"/>
    <mergeCell ref="H1099:M1099"/>
    <mergeCell ref="N1099:U1099"/>
    <mergeCell ref="V1099:W1099"/>
    <mergeCell ref="X1099:Z1099"/>
    <mergeCell ref="B1100:D1100"/>
    <mergeCell ref="E1100:G1100"/>
    <mergeCell ref="H1100:M1100"/>
    <mergeCell ref="N1100:U1100"/>
    <mergeCell ref="V1100:W1100"/>
    <mergeCell ref="X1102:Z1102"/>
    <mergeCell ref="B1101:D1101"/>
    <mergeCell ref="E1101:G1101"/>
    <mergeCell ref="H1101:M1101"/>
    <mergeCell ref="N1101:U1101"/>
    <mergeCell ref="V1101:W1101"/>
    <mergeCell ref="X1101:Z1101"/>
    <mergeCell ref="B1102:D1102"/>
    <mergeCell ref="E1102:G1102"/>
    <mergeCell ref="H1102:M1102"/>
    <mergeCell ref="N1102:U1102"/>
    <mergeCell ref="V1102:W1102"/>
    <mergeCell ref="X1104:Z1104"/>
    <mergeCell ref="B1103:D1103"/>
    <mergeCell ref="E1103:G1103"/>
    <mergeCell ref="H1103:M1103"/>
    <mergeCell ref="N1103:U1103"/>
    <mergeCell ref="V1103:W1103"/>
    <mergeCell ref="X1103:Z1103"/>
    <mergeCell ref="B1104:D1104"/>
    <mergeCell ref="E1104:G1104"/>
    <mergeCell ref="H1104:M1104"/>
    <mergeCell ref="N1104:U1104"/>
    <mergeCell ref="V1104:W1104"/>
    <mergeCell ref="X1106:Z1106"/>
    <mergeCell ref="B1105:D1105"/>
    <mergeCell ref="E1105:G1105"/>
    <mergeCell ref="H1105:M1105"/>
    <mergeCell ref="N1105:U1105"/>
    <mergeCell ref="V1105:W1105"/>
    <mergeCell ref="X1105:Z1105"/>
    <mergeCell ref="B1106:D1106"/>
    <mergeCell ref="E1106:G1106"/>
    <mergeCell ref="H1106:M1106"/>
    <mergeCell ref="N1106:U1106"/>
    <mergeCell ref="V1106:W1106"/>
    <mergeCell ref="X1108:Z1108"/>
    <mergeCell ref="B1107:D1107"/>
    <mergeCell ref="E1107:G1107"/>
    <mergeCell ref="H1107:M1107"/>
    <mergeCell ref="N1107:U1107"/>
    <mergeCell ref="V1107:W1107"/>
    <mergeCell ref="X1107:Z1107"/>
    <mergeCell ref="B1108:D1108"/>
    <mergeCell ref="E1108:G1108"/>
    <mergeCell ref="H1108:M1108"/>
    <mergeCell ref="N1108:U1108"/>
    <mergeCell ref="V1108:W1108"/>
    <mergeCell ref="X1110:Z1110"/>
    <mergeCell ref="B1109:D1109"/>
    <mergeCell ref="E1109:G1109"/>
    <mergeCell ref="H1109:M1109"/>
    <mergeCell ref="N1109:U1109"/>
    <mergeCell ref="V1109:W1109"/>
    <mergeCell ref="X1109:Z1109"/>
    <mergeCell ref="B1110:D1110"/>
    <mergeCell ref="E1110:G1110"/>
    <mergeCell ref="H1110:M1110"/>
    <mergeCell ref="N1110:U1110"/>
    <mergeCell ref="V1110:W1110"/>
    <mergeCell ref="X1112:Z1112"/>
    <mergeCell ref="B1111:D1111"/>
    <mergeCell ref="E1111:G1111"/>
    <mergeCell ref="H1111:M1111"/>
    <mergeCell ref="N1111:U1111"/>
    <mergeCell ref="V1111:W1111"/>
    <mergeCell ref="X1111:Z1111"/>
    <mergeCell ref="B1112:D1112"/>
    <mergeCell ref="E1112:G1112"/>
    <mergeCell ref="H1112:M1112"/>
    <mergeCell ref="N1112:U1112"/>
    <mergeCell ref="V1112:W1112"/>
    <mergeCell ref="X1114:Z1114"/>
    <mergeCell ref="B1113:D1113"/>
    <mergeCell ref="E1113:G1113"/>
    <mergeCell ref="H1113:M1113"/>
    <mergeCell ref="N1113:U1113"/>
    <mergeCell ref="V1113:W1113"/>
    <mergeCell ref="X1113:Z1113"/>
    <mergeCell ref="B1114:D1114"/>
    <mergeCell ref="E1114:G1114"/>
    <mergeCell ref="H1114:M1114"/>
    <mergeCell ref="N1114:U1114"/>
    <mergeCell ref="V1114:W1114"/>
    <mergeCell ref="X1116:Z1116"/>
    <mergeCell ref="B1115:D1115"/>
    <mergeCell ref="E1115:G1115"/>
    <mergeCell ref="H1115:M1115"/>
    <mergeCell ref="N1115:U1115"/>
    <mergeCell ref="V1115:W1115"/>
    <mergeCell ref="X1115:Z1115"/>
    <mergeCell ref="B1116:D1116"/>
    <mergeCell ref="E1116:G1116"/>
    <mergeCell ref="H1116:M1116"/>
    <mergeCell ref="N1116:U1116"/>
    <mergeCell ref="V1116:W1116"/>
    <mergeCell ref="X1118:Z1118"/>
    <mergeCell ref="B1117:D1117"/>
    <mergeCell ref="E1117:G1117"/>
    <mergeCell ref="H1117:M1117"/>
    <mergeCell ref="N1117:U1117"/>
    <mergeCell ref="V1117:W1117"/>
    <mergeCell ref="X1117:Z1117"/>
    <mergeCell ref="B1118:D1118"/>
    <mergeCell ref="E1118:G1118"/>
    <mergeCell ref="H1118:M1118"/>
    <mergeCell ref="N1118:U1118"/>
    <mergeCell ref="V1118:W1118"/>
    <mergeCell ref="X1120:Z1120"/>
    <mergeCell ref="B1119:D1119"/>
    <mergeCell ref="E1119:G1119"/>
    <mergeCell ref="H1119:M1119"/>
    <mergeCell ref="N1119:U1119"/>
    <mergeCell ref="V1119:W1119"/>
    <mergeCell ref="X1119:Z1119"/>
    <mergeCell ref="B1120:D1120"/>
    <mergeCell ref="E1120:G1120"/>
    <mergeCell ref="H1120:M1120"/>
    <mergeCell ref="N1120:U1120"/>
    <mergeCell ref="V1120:W1120"/>
    <mergeCell ref="X1122:Z1122"/>
    <mergeCell ref="B1121:D1121"/>
    <mergeCell ref="E1121:G1121"/>
    <mergeCell ref="H1121:M1121"/>
    <mergeCell ref="N1121:U1121"/>
    <mergeCell ref="V1121:W1121"/>
    <mergeCell ref="X1121:Z1121"/>
    <mergeCell ref="B1122:D1122"/>
    <mergeCell ref="E1122:G1122"/>
    <mergeCell ref="H1122:M1122"/>
    <mergeCell ref="N1122:U1122"/>
    <mergeCell ref="V1122:W1122"/>
    <mergeCell ref="X1124:Z1124"/>
    <mergeCell ref="B1123:D1123"/>
    <mergeCell ref="E1123:G1123"/>
    <mergeCell ref="H1123:M1123"/>
    <mergeCell ref="N1123:U1123"/>
    <mergeCell ref="V1123:W1123"/>
    <mergeCell ref="X1123:Z1123"/>
    <mergeCell ref="B1124:D1124"/>
    <mergeCell ref="E1124:G1124"/>
    <mergeCell ref="H1124:M1124"/>
    <mergeCell ref="N1124:U1124"/>
    <mergeCell ref="V1124:W1124"/>
    <mergeCell ref="X1126:Z1126"/>
    <mergeCell ref="B1125:D1125"/>
    <mergeCell ref="E1125:G1125"/>
    <mergeCell ref="H1125:M1125"/>
    <mergeCell ref="N1125:U1125"/>
    <mergeCell ref="V1125:W1125"/>
    <mergeCell ref="X1125:Z1125"/>
    <mergeCell ref="B1126:D1126"/>
    <mergeCell ref="E1126:G1126"/>
    <mergeCell ref="H1126:M1126"/>
    <mergeCell ref="N1126:U1126"/>
    <mergeCell ref="V1126:W1126"/>
    <mergeCell ref="X1128:Z1128"/>
    <mergeCell ref="B1127:D1127"/>
    <mergeCell ref="E1127:G1127"/>
    <mergeCell ref="H1127:M1127"/>
    <mergeCell ref="N1127:U1127"/>
    <mergeCell ref="V1127:W1127"/>
    <mergeCell ref="X1127:Z1127"/>
    <mergeCell ref="B1128:D1128"/>
    <mergeCell ref="E1128:G1128"/>
    <mergeCell ref="H1128:M1128"/>
    <mergeCell ref="N1128:U1128"/>
    <mergeCell ref="V1128:W1128"/>
    <mergeCell ref="X1130:Z1130"/>
    <mergeCell ref="B1129:D1129"/>
    <mergeCell ref="E1129:G1129"/>
    <mergeCell ref="H1129:M1129"/>
    <mergeCell ref="N1129:U1129"/>
    <mergeCell ref="V1129:W1129"/>
    <mergeCell ref="X1129:Z1129"/>
    <mergeCell ref="B1130:D1130"/>
    <mergeCell ref="E1130:G1130"/>
    <mergeCell ref="H1130:M1130"/>
    <mergeCell ref="N1130:U1130"/>
    <mergeCell ref="V1130:W1130"/>
    <mergeCell ref="X1132:Z1132"/>
    <mergeCell ref="B1131:D1131"/>
    <mergeCell ref="E1131:G1131"/>
    <mergeCell ref="H1131:M1131"/>
    <mergeCell ref="N1131:U1131"/>
    <mergeCell ref="V1131:W1131"/>
    <mergeCell ref="X1131:Z1131"/>
    <mergeCell ref="B1132:D1132"/>
    <mergeCell ref="E1132:G1132"/>
    <mergeCell ref="H1132:M1132"/>
    <mergeCell ref="N1132:U1132"/>
    <mergeCell ref="V1132:W1132"/>
    <mergeCell ref="X1134:Z1134"/>
    <mergeCell ref="B1133:D1133"/>
    <mergeCell ref="E1133:G1133"/>
    <mergeCell ref="H1133:M1133"/>
    <mergeCell ref="N1133:U1133"/>
    <mergeCell ref="V1133:W1133"/>
    <mergeCell ref="X1133:Z1133"/>
    <mergeCell ref="B1134:D1134"/>
    <mergeCell ref="E1134:G1134"/>
    <mergeCell ref="H1134:M1134"/>
    <mergeCell ref="N1134:U1134"/>
    <mergeCell ref="V1134:W1134"/>
    <mergeCell ref="X1136:Z1136"/>
    <mergeCell ref="B1135:D1135"/>
    <mergeCell ref="E1135:G1135"/>
    <mergeCell ref="H1135:M1135"/>
    <mergeCell ref="N1135:U1135"/>
    <mergeCell ref="V1135:W1135"/>
    <mergeCell ref="X1135:Z1135"/>
    <mergeCell ref="B1136:D1136"/>
    <mergeCell ref="E1136:G1136"/>
    <mergeCell ref="H1136:M1136"/>
    <mergeCell ref="N1136:U1136"/>
    <mergeCell ref="V1136:W1136"/>
    <mergeCell ref="X1138:Z1138"/>
    <mergeCell ref="B1137:D1137"/>
    <mergeCell ref="E1137:G1137"/>
    <mergeCell ref="H1137:M1137"/>
    <mergeCell ref="N1137:U1137"/>
    <mergeCell ref="V1137:W1137"/>
    <mergeCell ref="X1137:Z1137"/>
    <mergeCell ref="B1138:D1138"/>
    <mergeCell ref="E1138:G1138"/>
    <mergeCell ref="H1138:M1138"/>
    <mergeCell ref="N1138:U1138"/>
    <mergeCell ref="V1138:W1138"/>
    <mergeCell ref="X1140:Z1140"/>
    <mergeCell ref="B1139:D1139"/>
    <mergeCell ref="E1139:G1139"/>
    <mergeCell ref="H1139:M1139"/>
    <mergeCell ref="N1139:U1139"/>
    <mergeCell ref="V1139:W1139"/>
    <mergeCell ref="X1139:Z1139"/>
    <mergeCell ref="B1140:D1140"/>
    <mergeCell ref="E1140:G1140"/>
    <mergeCell ref="H1140:M1140"/>
    <mergeCell ref="N1140:U1140"/>
    <mergeCell ref="V1140:W1140"/>
    <mergeCell ref="X1142:Z1142"/>
    <mergeCell ref="B1141:D1141"/>
    <mergeCell ref="E1141:G1141"/>
    <mergeCell ref="H1141:M1141"/>
    <mergeCell ref="N1141:U1141"/>
    <mergeCell ref="V1141:W1141"/>
    <mergeCell ref="X1141:Z1141"/>
    <mergeCell ref="B1142:D1142"/>
    <mergeCell ref="E1142:G1142"/>
    <mergeCell ref="H1142:M1142"/>
    <mergeCell ref="N1142:U1142"/>
    <mergeCell ref="V1142:W1142"/>
    <mergeCell ref="X1144:Z1144"/>
    <mergeCell ref="B1143:D1143"/>
    <mergeCell ref="E1143:G1143"/>
    <mergeCell ref="H1143:M1143"/>
    <mergeCell ref="N1143:U1143"/>
    <mergeCell ref="V1143:W1143"/>
    <mergeCell ref="X1143:Z1143"/>
    <mergeCell ref="B1144:D1144"/>
    <mergeCell ref="E1144:G1144"/>
    <mergeCell ref="H1144:M1144"/>
    <mergeCell ref="N1144:U1144"/>
    <mergeCell ref="V1144:W1144"/>
    <mergeCell ref="X1146:Z1146"/>
    <mergeCell ref="B1145:D1145"/>
    <mergeCell ref="E1145:G1145"/>
    <mergeCell ref="H1145:M1145"/>
    <mergeCell ref="N1145:U1145"/>
    <mergeCell ref="V1145:W1145"/>
    <mergeCell ref="X1145:Z1145"/>
    <mergeCell ref="B1146:D1146"/>
    <mergeCell ref="E1146:G1146"/>
    <mergeCell ref="H1146:M1146"/>
    <mergeCell ref="N1146:U1146"/>
    <mergeCell ref="V1146:W1146"/>
    <mergeCell ref="X1148:Z1148"/>
    <mergeCell ref="B1147:D1147"/>
    <mergeCell ref="E1147:G1147"/>
    <mergeCell ref="H1147:M1147"/>
    <mergeCell ref="N1147:U1147"/>
    <mergeCell ref="V1147:W1147"/>
    <mergeCell ref="X1147:Z1147"/>
    <mergeCell ref="B1148:D1148"/>
    <mergeCell ref="E1148:G1148"/>
    <mergeCell ref="H1148:M1148"/>
    <mergeCell ref="N1148:U1148"/>
    <mergeCell ref="V1148:W1148"/>
    <mergeCell ref="X1150:Z1150"/>
    <mergeCell ref="B1149:D1149"/>
    <mergeCell ref="E1149:G1149"/>
    <mergeCell ref="H1149:M1149"/>
    <mergeCell ref="N1149:U1149"/>
    <mergeCell ref="V1149:W1149"/>
    <mergeCell ref="X1149:Z1149"/>
    <mergeCell ref="B1150:D1150"/>
    <mergeCell ref="E1150:G1150"/>
    <mergeCell ref="H1150:M1150"/>
    <mergeCell ref="N1150:U1150"/>
    <mergeCell ref="V1150:W1150"/>
    <mergeCell ref="X1152:Z1152"/>
    <mergeCell ref="B1151:D1151"/>
    <mergeCell ref="E1151:G1151"/>
    <mergeCell ref="H1151:M1151"/>
    <mergeCell ref="N1151:U1151"/>
    <mergeCell ref="V1151:W1151"/>
    <mergeCell ref="X1151:Z1151"/>
    <mergeCell ref="B1152:D1152"/>
    <mergeCell ref="E1152:G1152"/>
    <mergeCell ref="H1152:M1152"/>
    <mergeCell ref="N1152:U1152"/>
    <mergeCell ref="V1152:W1152"/>
    <mergeCell ref="X1154:Z1154"/>
    <mergeCell ref="B1153:D1153"/>
    <mergeCell ref="E1153:G1153"/>
    <mergeCell ref="H1153:M1153"/>
    <mergeCell ref="N1153:U1153"/>
    <mergeCell ref="V1153:W1153"/>
    <mergeCell ref="X1153:Z1153"/>
    <mergeCell ref="B1154:D1154"/>
    <mergeCell ref="E1154:G1154"/>
    <mergeCell ref="H1154:M1154"/>
    <mergeCell ref="N1154:U1154"/>
    <mergeCell ref="V1154:W1154"/>
    <mergeCell ref="X1156:Z1156"/>
    <mergeCell ref="B1155:D1155"/>
    <mergeCell ref="E1155:G1155"/>
    <mergeCell ref="H1155:M1155"/>
    <mergeCell ref="N1155:U1155"/>
    <mergeCell ref="V1155:W1155"/>
    <mergeCell ref="X1155:Z1155"/>
    <mergeCell ref="B1156:D1156"/>
    <mergeCell ref="E1156:G1156"/>
    <mergeCell ref="H1156:M1156"/>
    <mergeCell ref="N1156:U1156"/>
    <mergeCell ref="V1156:W1156"/>
    <mergeCell ref="X1158:Z1158"/>
    <mergeCell ref="B1157:D1157"/>
    <mergeCell ref="E1157:G1157"/>
    <mergeCell ref="H1157:M1157"/>
    <mergeCell ref="N1157:U1157"/>
    <mergeCell ref="V1157:W1157"/>
    <mergeCell ref="X1157:Z1157"/>
    <mergeCell ref="B1158:D1158"/>
    <mergeCell ref="E1158:G1158"/>
    <mergeCell ref="H1158:M1158"/>
    <mergeCell ref="N1158:U1158"/>
    <mergeCell ref="V1158:W1158"/>
    <mergeCell ref="X1160:Z1160"/>
    <mergeCell ref="B1159:D1159"/>
    <mergeCell ref="E1159:G1159"/>
    <mergeCell ref="H1159:M1159"/>
    <mergeCell ref="N1159:U1159"/>
    <mergeCell ref="V1159:W1159"/>
    <mergeCell ref="X1159:Z1159"/>
    <mergeCell ref="B1160:D1160"/>
    <mergeCell ref="E1160:G1160"/>
    <mergeCell ref="H1160:M1160"/>
    <mergeCell ref="N1160:U1160"/>
    <mergeCell ref="V1160:W1160"/>
    <mergeCell ref="X1162:Z1162"/>
    <mergeCell ref="B1161:D1161"/>
    <mergeCell ref="E1161:G1161"/>
    <mergeCell ref="H1161:M1161"/>
    <mergeCell ref="N1161:U1161"/>
    <mergeCell ref="V1161:W1161"/>
    <mergeCell ref="X1161:Z1161"/>
    <mergeCell ref="B1162:D1162"/>
    <mergeCell ref="E1162:G1162"/>
    <mergeCell ref="H1162:M1162"/>
    <mergeCell ref="N1162:U1162"/>
    <mergeCell ref="V1162:W1162"/>
    <mergeCell ref="X1164:Z1164"/>
    <mergeCell ref="B1163:D1163"/>
    <mergeCell ref="E1163:G1163"/>
    <mergeCell ref="H1163:M1163"/>
    <mergeCell ref="N1163:U1163"/>
    <mergeCell ref="V1163:W1163"/>
    <mergeCell ref="X1163:Z1163"/>
    <mergeCell ref="B1164:D1164"/>
    <mergeCell ref="E1164:G1164"/>
    <mergeCell ref="H1164:M1164"/>
    <mergeCell ref="N1164:U1164"/>
    <mergeCell ref="V1164:W1164"/>
    <mergeCell ref="X1166:Z1166"/>
    <mergeCell ref="B1165:D1165"/>
    <mergeCell ref="E1165:G1165"/>
    <mergeCell ref="H1165:M1165"/>
    <mergeCell ref="N1165:U1165"/>
    <mergeCell ref="V1165:W1165"/>
    <mergeCell ref="X1165:Z1165"/>
    <mergeCell ref="B1166:D1166"/>
    <mergeCell ref="E1166:G1166"/>
    <mergeCell ref="H1166:M1166"/>
    <mergeCell ref="N1166:U1166"/>
    <mergeCell ref="V1166:W1166"/>
    <mergeCell ref="X1168:Z1168"/>
    <mergeCell ref="B1167:D1167"/>
    <mergeCell ref="E1167:G1167"/>
    <mergeCell ref="H1167:M1167"/>
    <mergeCell ref="N1167:U1167"/>
    <mergeCell ref="V1167:W1167"/>
    <mergeCell ref="X1167:Z1167"/>
    <mergeCell ref="B1168:D1168"/>
    <mergeCell ref="E1168:G1168"/>
    <mergeCell ref="H1168:M1168"/>
    <mergeCell ref="N1168:U1168"/>
    <mergeCell ref="V1168:W1168"/>
    <mergeCell ref="X1170:Z1170"/>
    <mergeCell ref="B1169:D1169"/>
    <mergeCell ref="E1169:G1169"/>
    <mergeCell ref="H1169:M1169"/>
    <mergeCell ref="N1169:U1169"/>
    <mergeCell ref="V1169:W1169"/>
    <mergeCell ref="X1169:Z1169"/>
    <mergeCell ref="B1170:D1170"/>
    <mergeCell ref="E1170:G1170"/>
    <mergeCell ref="H1170:M1170"/>
    <mergeCell ref="N1170:U1170"/>
    <mergeCell ref="V1170:W1170"/>
    <mergeCell ref="X1172:Z1172"/>
    <mergeCell ref="B1171:D1171"/>
    <mergeCell ref="E1171:G1171"/>
    <mergeCell ref="H1171:M1171"/>
    <mergeCell ref="N1171:U1171"/>
    <mergeCell ref="V1171:W1171"/>
    <mergeCell ref="X1171:Z1171"/>
    <mergeCell ref="B1172:D1172"/>
    <mergeCell ref="E1172:G1172"/>
    <mergeCell ref="H1172:M1172"/>
    <mergeCell ref="N1172:U1172"/>
    <mergeCell ref="V1172:W1172"/>
    <mergeCell ref="X1174:Z1174"/>
    <mergeCell ref="B1173:D1173"/>
    <mergeCell ref="E1173:G1173"/>
    <mergeCell ref="H1173:M1173"/>
    <mergeCell ref="N1173:U1173"/>
    <mergeCell ref="V1173:W1173"/>
    <mergeCell ref="X1173:Z1173"/>
    <mergeCell ref="B1174:D1174"/>
    <mergeCell ref="E1174:G1174"/>
    <mergeCell ref="H1174:M1174"/>
    <mergeCell ref="N1174:U1174"/>
    <mergeCell ref="V1174:W1174"/>
    <mergeCell ref="X1176:Z1176"/>
    <mergeCell ref="B1175:D1175"/>
    <mergeCell ref="E1175:G1175"/>
    <mergeCell ref="H1175:M1175"/>
    <mergeCell ref="N1175:U1175"/>
    <mergeCell ref="V1175:W1175"/>
    <mergeCell ref="X1175:Z1175"/>
    <mergeCell ref="B1176:D1176"/>
    <mergeCell ref="E1176:G1176"/>
    <mergeCell ref="H1176:M1176"/>
    <mergeCell ref="N1176:U1176"/>
    <mergeCell ref="V1176:W1176"/>
    <mergeCell ref="X1178:Z1178"/>
    <mergeCell ref="B1177:D1177"/>
    <mergeCell ref="E1177:G1177"/>
    <mergeCell ref="H1177:M1177"/>
    <mergeCell ref="N1177:U1177"/>
    <mergeCell ref="V1177:W1177"/>
    <mergeCell ref="X1177:Z1177"/>
    <mergeCell ref="B1178:D1178"/>
    <mergeCell ref="E1178:G1178"/>
    <mergeCell ref="H1178:M1178"/>
    <mergeCell ref="N1178:U1178"/>
    <mergeCell ref="V1178:W1178"/>
    <mergeCell ref="X1180:Z1180"/>
    <mergeCell ref="B1179:D1179"/>
    <mergeCell ref="E1179:G1179"/>
    <mergeCell ref="H1179:M1179"/>
    <mergeCell ref="N1179:U1179"/>
    <mergeCell ref="V1179:W1179"/>
    <mergeCell ref="X1179:Z1179"/>
    <mergeCell ref="B1180:D1180"/>
    <mergeCell ref="E1180:G1180"/>
    <mergeCell ref="H1180:M1180"/>
    <mergeCell ref="N1180:U1180"/>
    <mergeCell ref="V1180:W1180"/>
    <mergeCell ref="X1182:Z1182"/>
    <mergeCell ref="B1181:D1181"/>
    <mergeCell ref="E1181:G1181"/>
    <mergeCell ref="H1181:M1181"/>
    <mergeCell ref="N1181:U1181"/>
    <mergeCell ref="V1181:W1181"/>
    <mergeCell ref="X1181:Z1181"/>
    <mergeCell ref="B1182:D1182"/>
    <mergeCell ref="E1182:G1182"/>
    <mergeCell ref="H1182:M1182"/>
    <mergeCell ref="N1182:U1182"/>
    <mergeCell ref="V1182:W1182"/>
    <mergeCell ref="X1184:Z1184"/>
    <mergeCell ref="B1183:D1183"/>
    <mergeCell ref="E1183:G1183"/>
    <mergeCell ref="H1183:M1183"/>
    <mergeCell ref="N1183:U1183"/>
    <mergeCell ref="V1183:W1183"/>
    <mergeCell ref="X1183:Z1183"/>
    <mergeCell ref="B1184:D1184"/>
    <mergeCell ref="E1184:G1184"/>
    <mergeCell ref="H1184:M1184"/>
    <mergeCell ref="N1184:U1184"/>
    <mergeCell ref="V1184:W1184"/>
    <mergeCell ref="X1186:Z1186"/>
    <mergeCell ref="B1185:D1185"/>
    <mergeCell ref="E1185:G1185"/>
    <mergeCell ref="H1185:M1185"/>
    <mergeCell ref="N1185:U1185"/>
    <mergeCell ref="V1185:W1185"/>
    <mergeCell ref="X1185:Z1185"/>
    <mergeCell ref="B1186:D1186"/>
    <mergeCell ref="E1186:G1186"/>
    <mergeCell ref="H1186:M1186"/>
    <mergeCell ref="N1186:U1186"/>
    <mergeCell ref="V1186:W1186"/>
    <mergeCell ref="X1188:Z1188"/>
    <mergeCell ref="B1187:D1187"/>
    <mergeCell ref="E1187:G1187"/>
    <mergeCell ref="H1187:M1187"/>
    <mergeCell ref="N1187:U1187"/>
    <mergeCell ref="V1187:W1187"/>
    <mergeCell ref="X1187:Z1187"/>
    <mergeCell ref="B1188:D1188"/>
    <mergeCell ref="E1188:G1188"/>
    <mergeCell ref="H1188:M1188"/>
    <mergeCell ref="N1188:U1188"/>
    <mergeCell ref="V1188:W1188"/>
    <mergeCell ref="X1190:Z1190"/>
    <mergeCell ref="B1189:D1189"/>
    <mergeCell ref="E1189:G1189"/>
    <mergeCell ref="H1189:M1189"/>
    <mergeCell ref="N1189:U1189"/>
    <mergeCell ref="V1189:W1189"/>
    <mergeCell ref="X1189:Z1189"/>
    <mergeCell ref="B1190:D1190"/>
    <mergeCell ref="E1190:G1190"/>
    <mergeCell ref="H1190:M1190"/>
    <mergeCell ref="N1190:U1190"/>
    <mergeCell ref="V1190:W1190"/>
    <mergeCell ref="X1192:Z1192"/>
    <mergeCell ref="B1191:D1191"/>
    <mergeCell ref="E1191:G1191"/>
    <mergeCell ref="H1191:M1191"/>
    <mergeCell ref="N1191:U1191"/>
    <mergeCell ref="V1191:W1191"/>
    <mergeCell ref="X1191:Z1191"/>
    <mergeCell ref="B1192:D1192"/>
    <mergeCell ref="E1192:G1192"/>
    <mergeCell ref="H1192:M1192"/>
    <mergeCell ref="N1192:U1192"/>
    <mergeCell ref="V1192:W1192"/>
    <mergeCell ref="X1194:Z1194"/>
    <mergeCell ref="B1193:D1193"/>
    <mergeCell ref="E1193:G1193"/>
    <mergeCell ref="H1193:M1193"/>
    <mergeCell ref="N1193:U1193"/>
    <mergeCell ref="V1193:W1193"/>
    <mergeCell ref="X1193:Z1193"/>
    <mergeCell ref="B1194:D1194"/>
    <mergeCell ref="E1194:G1194"/>
    <mergeCell ref="H1194:M1194"/>
    <mergeCell ref="N1194:U1194"/>
    <mergeCell ref="V1194:W1194"/>
    <mergeCell ref="X1196:Z1196"/>
    <mergeCell ref="B1195:D1195"/>
    <mergeCell ref="E1195:G1195"/>
    <mergeCell ref="H1195:M1195"/>
    <mergeCell ref="N1195:U1195"/>
    <mergeCell ref="V1195:W1195"/>
    <mergeCell ref="X1195:Z1195"/>
    <mergeCell ref="B1196:D1196"/>
    <mergeCell ref="E1196:G1196"/>
    <mergeCell ref="H1196:M1196"/>
    <mergeCell ref="N1196:U1196"/>
    <mergeCell ref="V1196:W1196"/>
    <mergeCell ref="X1198:Z1198"/>
    <mergeCell ref="B1197:D1197"/>
    <mergeCell ref="E1197:G1197"/>
    <mergeCell ref="H1197:M1197"/>
    <mergeCell ref="N1197:U1197"/>
    <mergeCell ref="V1197:W1197"/>
    <mergeCell ref="X1197:Z1197"/>
    <mergeCell ref="B1198:D1198"/>
    <mergeCell ref="E1198:G1198"/>
    <mergeCell ref="H1198:M1198"/>
    <mergeCell ref="N1198:U1198"/>
    <mergeCell ref="V1198:W1198"/>
    <mergeCell ref="X1200:Z1200"/>
    <mergeCell ref="B1199:D1199"/>
    <mergeCell ref="E1199:G1199"/>
    <mergeCell ref="H1199:M1199"/>
    <mergeCell ref="N1199:U1199"/>
    <mergeCell ref="V1199:W1199"/>
    <mergeCell ref="X1199:Z1199"/>
    <mergeCell ref="B1200:D1200"/>
    <mergeCell ref="E1200:G1200"/>
    <mergeCell ref="H1200:M1200"/>
    <mergeCell ref="N1200:U1200"/>
    <mergeCell ref="V1200:W1200"/>
    <mergeCell ref="X1202:Z1202"/>
    <mergeCell ref="B1201:D1201"/>
    <mergeCell ref="E1201:G1201"/>
    <mergeCell ref="H1201:M1201"/>
    <mergeCell ref="N1201:U1201"/>
    <mergeCell ref="V1201:W1201"/>
    <mergeCell ref="X1201:Z1201"/>
    <mergeCell ref="B1202:D1202"/>
    <mergeCell ref="E1202:G1202"/>
    <mergeCell ref="H1202:M1202"/>
    <mergeCell ref="N1202:U1202"/>
    <mergeCell ref="V1202:W1202"/>
    <mergeCell ref="X1204:Z1204"/>
    <mergeCell ref="B1203:D1203"/>
    <mergeCell ref="E1203:G1203"/>
    <mergeCell ref="H1203:M1203"/>
    <mergeCell ref="N1203:U1203"/>
    <mergeCell ref="V1203:W1203"/>
    <mergeCell ref="X1203:Z1203"/>
    <mergeCell ref="B1204:D1204"/>
    <mergeCell ref="E1204:G1204"/>
    <mergeCell ref="H1204:M1204"/>
    <mergeCell ref="N1204:U1204"/>
    <mergeCell ref="V1204:W1204"/>
    <mergeCell ref="X1206:Z1206"/>
    <mergeCell ref="B1205:D1205"/>
    <mergeCell ref="E1205:G1205"/>
    <mergeCell ref="H1205:M1205"/>
    <mergeCell ref="N1205:U1205"/>
    <mergeCell ref="V1205:W1205"/>
    <mergeCell ref="X1205:Z1205"/>
    <mergeCell ref="B1206:D1206"/>
    <mergeCell ref="E1206:G1206"/>
    <mergeCell ref="H1206:M1206"/>
    <mergeCell ref="N1206:U1206"/>
    <mergeCell ref="V1206:W1206"/>
    <mergeCell ref="X1208:Z1208"/>
    <mergeCell ref="B1207:D1207"/>
    <mergeCell ref="E1207:G1207"/>
    <mergeCell ref="H1207:M1207"/>
    <mergeCell ref="N1207:U1207"/>
    <mergeCell ref="V1207:W1207"/>
    <mergeCell ref="X1207:Z1207"/>
    <mergeCell ref="B1208:D1208"/>
    <mergeCell ref="E1208:G1208"/>
    <mergeCell ref="H1208:M1208"/>
    <mergeCell ref="N1208:U1208"/>
    <mergeCell ref="V1208:W1208"/>
    <mergeCell ref="X1210:Z1210"/>
    <mergeCell ref="B1209:D1209"/>
    <mergeCell ref="E1209:G1209"/>
    <mergeCell ref="H1209:M1209"/>
    <mergeCell ref="N1209:U1209"/>
    <mergeCell ref="V1209:W1209"/>
    <mergeCell ref="X1209:Z1209"/>
    <mergeCell ref="B1210:D1210"/>
    <mergeCell ref="E1210:G1210"/>
    <mergeCell ref="H1210:M1210"/>
    <mergeCell ref="N1210:U1210"/>
    <mergeCell ref="V1210:W1210"/>
    <mergeCell ref="X1212:Z1212"/>
    <mergeCell ref="B1211:D1211"/>
    <mergeCell ref="E1211:G1211"/>
    <mergeCell ref="H1211:M1211"/>
    <mergeCell ref="N1211:U1211"/>
    <mergeCell ref="V1211:W1211"/>
    <mergeCell ref="X1211:Z1211"/>
    <mergeCell ref="B1212:D1212"/>
    <mergeCell ref="E1212:G1212"/>
    <mergeCell ref="H1212:M1212"/>
    <mergeCell ref="N1212:U1212"/>
    <mergeCell ref="V1212:W1212"/>
    <mergeCell ref="X1214:Z1214"/>
    <mergeCell ref="B1213:D1213"/>
    <mergeCell ref="E1213:G1213"/>
    <mergeCell ref="H1213:M1213"/>
    <mergeCell ref="N1213:U1213"/>
    <mergeCell ref="V1213:W1213"/>
    <mergeCell ref="X1213:Z1213"/>
    <mergeCell ref="B1214:D1214"/>
    <mergeCell ref="E1214:G1214"/>
    <mergeCell ref="H1214:M1214"/>
    <mergeCell ref="N1214:U1214"/>
    <mergeCell ref="V1214:W1214"/>
    <mergeCell ref="X1216:Z1216"/>
    <mergeCell ref="B1215:D1215"/>
    <mergeCell ref="E1215:G1215"/>
    <mergeCell ref="H1215:M1215"/>
    <mergeCell ref="N1215:U1215"/>
    <mergeCell ref="V1215:W1215"/>
    <mergeCell ref="X1215:Z1215"/>
    <mergeCell ref="B1216:D1216"/>
    <mergeCell ref="E1216:G1216"/>
    <mergeCell ref="H1216:M1216"/>
    <mergeCell ref="N1216:U1216"/>
    <mergeCell ref="V1216:W1216"/>
    <mergeCell ref="X1218:Z1218"/>
    <mergeCell ref="B1217:D1217"/>
    <mergeCell ref="E1217:G1217"/>
    <mergeCell ref="H1217:M1217"/>
    <mergeCell ref="N1217:U1217"/>
    <mergeCell ref="V1217:W1217"/>
    <mergeCell ref="X1217:Z1217"/>
    <mergeCell ref="B1218:D1218"/>
    <mergeCell ref="E1218:G1218"/>
    <mergeCell ref="H1218:M1218"/>
    <mergeCell ref="N1218:U1218"/>
    <mergeCell ref="V1218:W1218"/>
    <mergeCell ref="X1220:Z1220"/>
    <mergeCell ref="B1219:D1219"/>
    <mergeCell ref="E1219:G1219"/>
    <mergeCell ref="H1219:M1219"/>
    <mergeCell ref="N1219:U1219"/>
    <mergeCell ref="V1219:W1219"/>
    <mergeCell ref="X1219:Z1219"/>
    <mergeCell ref="B1220:D1220"/>
    <mergeCell ref="E1220:G1220"/>
    <mergeCell ref="H1220:M1220"/>
    <mergeCell ref="N1220:U1220"/>
    <mergeCell ref="V1220:W1220"/>
    <mergeCell ref="X1222:Z1222"/>
    <mergeCell ref="B1221:D1221"/>
    <mergeCell ref="E1221:G1221"/>
    <mergeCell ref="H1221:M1221"/>
    <mergeCell ref="N1221:U1221"/>
    <mergeCell ref="V1221:W1221"/>
    <mergeCell ref="X1221:Z1221"/>
    <mergeCell ref="B1222:D1222"/>
    <mergeCell ref="E1222:G1222"/>
    <mergeCell ref="H1222:M1222"/>
    <mergeCell ref="N1222:U1222"/>
    <mergeCell ref="V1222:W1222"/>
    <mergeCell ref="X1224:Z1224"/>
    <mergeCell ref="B1223:D1223"/>
    <mergeCell ref="E1223:G1223"/>
    <mergeCell ref="H1223:M1223"/>
    <mergeCell ref="N1223:U1223"/>
    <mergeCell ref="V1223:W1223"/>
    <mergeCell ref="X1223:Z1223"/>
    <mergeCell ref="B1224:D1224"/>
    <mergeCell ref="E1224:G1224"/>
    <mergeCell ref="H1224:M1224"/>
    <mergeCell ref="N1224:U1224"/>
    <mergeCell ref="V1224:W1224"/>
    <mergeCell ref="X1226:Z1226"/>
    <mergeCell ref="B1225:D1225"/>
    <mergeCell ref="E1225:G1225"/>
    <mergeCell ref="H1225:M1225"/>
    <mergeCell ref="N1225:U1225"/>
    <mergeCell ref="V1225:W1225"/>
    <mergeCell ref="X1225:Z1225"/>
    <mergeCell ref="B1226:D1226"/>
    <mergeCell ref="E1226:G1226"/>
    <mergeCell ref="H1226:M1226"/>
    <mergeCell ref="N1226:U1226"/>
    <mergeCell ref="V1226:W1226"/>
    <mergeCell ref="X1228:Z1228"/>
    <mergeCell ref="B1227:D1227"/>
    <mergeCell ref="E1227:G1227"/>
    <mergeCell ref="H1227:M1227"/>
    <mergeCell ref="N1227:U1227"/>
    <mergeCell ref="V1227:W1227"/>
    <mergeCell ref="X1227:Z1227"/>
    <mergeCell ref="B1228:D1228"/>
    <mergeCell ref="E1228:G1228"/>
    <mergeCell ref="H1228:M1228"/>
    <mergeCell ref="N1228:U1228"/>
    <mergeCell ref="V1228:W1228"/>
    <mergeCell ref="X1230:Z1230"/>
    <mergeCell ref="B1229:D1229"/>
    <mergeCell ref="E1229:G1229"/>
    <mergeCell ref="H1229:M1229"/>
    <mergeCell ref="N1229:U1229"/>
    <mergeCell ref="V1229:W1229"/>
    <mergeCell ref="X1229:Z1229"/>
    <mergeCell ref="B1230:D1230"/>
    <mergeCell ref="E1230:G1230"/>
    <mergeCell ref="H1230:M1230"/>
    <mergeCell ref="N1230:U1230"/>
    <mergeCell ref="V1230:W1230"/>
    <mergeCell ref="X1232:Z1232"/>
    <mergeCell ref="B1231:D1231"/>
    <mergeCell ref="E1231:G1231"/>
    <mergeCell ref="H1231:M1231"/>
    <mergeCell ref="N1231:U1231"/>
    <mergeCell ref="V1231:W1231"/>
    <mergeCell ref="X1231:Z1231"/>
    <mergeCell ref="B1232:D1232"/>
    <mergeCell ref="E1232:G1232"/>
    <mergeCell ref="H1232:M1232"/>
    <mergeCell ref="N1232:U1232"/>
    <mergeCell ref="V1232:W1232"/>
    <mergeCell ref="X1234:Z1234"/>
    <mergeCell ref="B1233:D1233"/>
    <mergeCell ref="E1233:G1233"/>
    <mergeCell ref="H1233:M1233"/>
    <mergeCell ref="N1233:U1233"/>
    <mergeCell ref="V1233:W1233"/>
    <mergeCell ref="X1233:Z1233"/>
    <mergeCell ref="B1234:D1234"/>
    <mergeCell ref="E1234:G1234"/>
    <mergeCell ref="H1234:M1234"/>
    <mergeCell ref="N1234:U1234"/>
    <mergeCell ref="V1234:W1234"/>
    <mergeCell ref="X1236:Z1236"/>
    <mergeCell ref="B1235:D1235"/>
    <mergeCell ref="E1235:G1235"/>
    <mergeCell ref="H1235:M1235"/>
    <mergeCell ref="N1235:U1235"/>
    <mergeCell ref="V1235:W1235"/>
    <mergeCell ref="X1235:Z1235"/>
    <mergeCell ref="B1236:D1236"/>
    <mergeCell ref="E1236:G1236"/>
    <mergeCell ref="H1236:M1236"/>
    <mergeCell ref="N1236:U1236"/>
    <mergeCell ref="V1236:W1236"/>
    <mergeCell ref="X1238:Z1238"/>
    <mergeCell ref="B1237:D1237"/>
    <mergeCell ref="E1237:G1237"/>
    <mergeCell ref="H1237:M1237"/>
    <mergeCell ref="N1237:U1237"/>
    <mergeCell ref="V1237:W1237"/>
    <mergeCell ref="X1237:Z1237"/>
    <mergeCell ref="B1238:D1238"/>
    <mergeCell ref="E1238:G1238"/>
    <mergeCell ref="H1238:M1238"/>
    <mergeCell ref="N1238:U1238"/>
    <mergeCell ref="V1238:W1238"/>
    <mergeCell ref="X1240:Z1240"/>
    <mergeCell ref="B1239:D1239"/>
    <mergeCell ref="E1239:G1239"/>
    <mergeCell ref="H1239:M1239"/>
    <mergeCell ref="N1239:U1239"/>
    <mergeCell ref="V1239:W1239"/>
    <mergeCell ref="X1239:Z1239"/>
    <mergeCell ref="B1240:D1240"/>
    <mergeCell ref="E1240:G1240"/>
    <mergeCell ref="H1240:M1240"/>
    <mergeCell ref="N1240:U1240"/>
    <mergeCell ref="V1240:W1240"/>
    <mergeCell ref="X1242:Z1242"/>
    <mergeCell ref="B1241:D1241"/>
    <mergeCell ref="E1241:G1241"/>
    <mergeCell ref="H1241:M1241"/>
    <mergeCell ref="N1241:U1241"/>
    <mergeCell ref="V1241:W1241"/>
    <mergeCell ref="X1241:Z1241"/>
    <mergeCell ref="B1242:D1242"/>
    <mergeCell ref="E1242:G1242"/>
    <mergeCell ref="H1242:M1242"/>
    <mergeCell ref="N1242:U1242"/>
    <mergeCell ref="V1242:W1242"/>
    <mergeCell ref="X1244:Z1244"/>
    <mergeCell ref="B1243:D1243"/>
    <mergeCell ref="E1243:G1243"/>
    <mergeCell ref="H1243:M1243"/>
    <mergeCell ref="N1243:U1243"/>
    <mergeCell ref="V1243:W1243"/>
    <mergeCell ref="X1243:Z1243"/>
    <mergeCell ref="B1244:D1244"/>
    <mergeCell ref="E1244:G1244"/>
    <mergeCell ref="H1244:M1244"/>
    <mergeCell ref="N1244:U1244"/>
    <mergeCell ref="V1244:W1244"/>
    <mergeCell ref="X1246:Z1246"/>
    <mergeCell ref="B1245:D1245"/>
    <mergeCell ref="E1245:G1245"/>
    <mergeCell ref="H1245:M1245"/>
    <mergeCell ref="N1245:U1245"/>
    <mergeCell ref="V1245:W1245"/>
    <mergeCell ref="X1245:Z1245"/>
    <mergeCell ref="B1246:D1246"/>
    <mergeCell ref="E1246:G1246"/>
    <mergeCell ref="H1246:M1246"/>
    <mergeCell ref="N1246:U1246"/>
    <mergeCell ref="V1246:W1246"/>
    <mergeCell ref="X1248:Z1248"/>
    <mergeCell ref="B1247:D1247"/>
    <mergeCell ref="E1247:G1247"/>
    <mergeCell ref="H1247:M1247"/>
    <mergeCell ref="N1247:U1247"/>
    <mergeCell ref="V1247:W1247"/>
    <mergeCell ref="X1247:Z1247"/>
    <mergeCell ref="B1248:D1248"/>
    <mergeCell ref="E1248:G1248"/>
    <mergeCell ref="H1248:M1248"/>
    <mergeCell ref="N1248:U1248"/>
    <mergeCell ref="V1248:W1248"/>
    <mergeCell ref="X1250:Z1250"/>
    <mergeCell ref="B1249:D1249"/>
    <mergeCell ref="E1249:G1249"/>
    <mergeCell ref="H1249:M1249"/>
    <mergeCell ref="N1249:U1249"/>
    <mergeCell ref="V1249:W1249"/>
    <mergeCell ref="X1249:Z1249"/>
    <mergeCell ref="B1250:D1250"/>
    <mergeCell ref="E1250:G1250"/>
    <mergeCell ref="H1250:M1250"/>
    <mergeCell ref="N1250:U1250"/>
    <mergeCell ref="V1250:W1250"/>
    <mergeCell ref="X1252:Z1252"/>
    <mergeCell ref="B1251:D1251"/>
    <mergeCell ref="E1251:G1251"/>
    <mergeCell ref="H1251:M1251"/>
    <mergeCell ref="N1251:U1251"/>
    <mergeCell ref="V1251:W1251"/>
    <mergeCell ref="X1251:Z1251"/>
    <mergeCell ref="B1252:D1252"/>
    <mergeCell ref="E1252:G1252"/>
    <mergeCell ref="H1252:M1252"/>
    <mergeCell ref="N1252:U1252"/>
    <mergeCell ref="V1252:W1252"/>
    <mergeCell ref="X1254:Z1254"/>
    <mergeCell ref="B1253:D1253"/>
    <mergeCell ref="E1253:G1253"/>
    <mergeCell ref="H1253:M1253"/>
    <mergeCell ref="N1253:U1253"/>
    <mergeCell ref="V1253:W1253"/>
    <mergeCell ref="X1253:Z1253"/>
    <mergeCell ref="B1254:D1254"/>
    <mergeCell ref="E1254:G1254"/>
    <mergeCell ref="H1254:M1254"/>
    <mergeCell ref="N1254:U1254"/>
    <mergeCell ref="V1254:W1254"/>
    <mergeCell ref="X1256:Z1256"/>
    <mergeCell ref="B1255:D1255"/>
    <mergeCell ref="E1255:G1255"/>
    <mergeCell ref="H1255:M1255"/>
    <mergeCell ref="N1255:U1255"/>
    <mergeCell ref="V1255:W1255"/>
    <mergeCell ref="X1255:Z1255"/>
    <mergeCell ref="B1256:D1256"/>
    <mergeCell ref="E1256:G1256"/>
    <mergeCell ref="H1256:M1256"/>
    <mergeCell ref="N1256:U1256"/>
    <mergeCell ref="V1256:W1256"/>
    <mergeCell ref="X1258:Z1258"/>
    <mergeCell ref="B1257:D1257"/>
    <mergeCell ref="E1257:G1257"/>
    <mergeCell ref="H1257:M1257"/>
    <mergeCell ref="N1257:U1257"/>
    <mergeCell ref="V1257:W1257"/>
    <mergeCell ref="X1257:Z1257"/>
    <mergeCell ref="B1258:D1258"/>
    <mergeCell ref="E1258:G1258"/>
    <mergeCell ref="H1258:M1258"/>
    <mergeCell ref="N1258:U1258"/>
    <mergeCell ref="V1258:W1258"/>
    <mergeCell ref="X1260:Z1260"/>
    <mergeCell ref="B1259:D1259"/>
    <mergeCell ref="E1259:G1259"/>
    <mergeCell ref="H1259:M1259"/>
    <mergeCell ref="N1259:U1259"/>
    <mergeCell ref="V1259:W1259"/>
    <mergeCell ref="X1259:Z1259"/>
    <mergeCell ref="B1260:D1260"/>
    <mergeCell ref="E1260:G1260"/>
    <mergeCell ref="H1260:M1260"/>
    <mergeCell ref="N1260:U1260"/>
    <mergeCell ref="V1260:W1260"/>
    <mergeCell ref="X1262:Z1262"/>
    <mergeCell ref="B1261:D1261"/>
    <mergeCell ref="E1261:G1261"/>
    <mergeCell ref="H1261:M1261"/>
    <mergeCell ref="N1261:U1261"/>
    <mergeCell ref="V1261:W1261"/>
    <mergeCell ref="X1261:Z1261"/>
    <mergeCell ref="B1262:D1262"/>
    <mergeCell ref="E1262:G1262"/>
    <mergeCell ref="H1262:M1262"/>
    <mergeCell ref="N1262:U1262"/>
    <mergeCell ref="V1262:W1262"/>
    <mergeCell ref="X1264:Z1264"/>
    <mergeCell ref="B1263:D1263"/>
    <mergeCell ref="E1263:G1263"/>
    <mergeCell ref="H1263:M1263"/>
    <mergeCell ref="N1263:U1263"/>
    <mergeCell ref="V1263:W1263"/>
    <mergeCell ref="X1263:Z1263"/>
    <mergeCell ref="B1264:D1264"/>
    <mergeCell ref="E1264:G1264"/>
    <mergeCell ref="H1264:M1264"/>
    <mergeCell ref="N1264:U1264"/>
    <mergeCell ref="V1264:W1264"/>
    <mergeCell ref="X1266:Z1266"/>
    <mergeCell ref="B1265:D1265"/>
    <mergeCell ref="E1265:G1265"/>
    <mergeCell ref="H1265:M1265"/>
    <mergeCell ref="N1265:U1265"/>
    <mergeCell ref="V1265:W1265"/>
    <mergeCell ref="X1265:Z1265"/>
    <mergeCell ref="B1266:D1266"/>
    <mergeCell ref="E1266:G1266"/>
    <mergeCell ref="H1266:M1266"/>
    <mergeCell ref="N1266:U1266"/>
    <mergeCell ref="V1266:W1266"/>
    <mergeCell ref="X1268:Z1268"/>
    <mergeCell ref="B1267:D1267"/>
    <mergeCell ref="E1267:G1267"/>
    <mergeCell ref="H1267:M1267"/>
    <mergeCell ref="N1267:U1267"/>
    <mergeCell ref="V1267:W1267"/>
    <mergeCell ref="X1267:Z1267"/>
    <mergeCell ref="B1268:D1268"/>
    <mergeCell ref="E1268:G1268"/>
    <mergeCell ref="H1268:M1268"/>
    <mergeCell ref="N1268:U1268"/>
    <mergeCell ref="V1268:W1268"/>
    <mergeCell ref="X1270:Z1270"/>
    <mergeCell ref="B1269:D1269"/>
    <mergeCell ref="E1269:G1269"/>
    <mergeCell ref="H1269:M1269"/>
    <mergeCell ref="N1269:U1269"/>
    <mergeCell ref="V1269:W1269"/>
    <mergeCell ref="X1269:Z1269"/>
    <mergeCell ref="B1270:D1270"/>
    <mergeCell ref="E1270:G1270"/>
    <mergeCell ref="H1270:M1270"/>
    <mergeCell ref="N1270:U1270"/>
    <mergeCell ref="V1270:W1270"/>
    <mergeCell ref="X1272:Z1272"/>
    <mergeCell ref="B1271:D1271"/>
    <mergeCell ref="E1271:G1271"/>
    <mergeCell ref="H1271:M1271"/>
    <mergeCell ref="N1271:U1271"/>
    <mergeCell ref="V1271:W1271"/>
    <mergeCell ref="X1271:Z1271"/>
    <mergeCell ref="B1272:D1272"/>
    <mergeCell ref="E1272:G1272"/>
    <mergeCell ref="H1272:M1272"/>
    <mergeCell ref="N1272:U1272"/>
    <mergeCell ref="V1272:W1272"/>
    <mergeCell ref="X1274:Z1274"/>
    <mergeCell ref="B1273:D1273"/>
    <mergeCell ref="E1273:G1273"/>
    <mergeCell ref="H1273:M1273"/>
    <mergeCell ref="N1273:U1273"/>
    <mergeCell ref="V1273:W1273"/>
    <mergeCell ref="X1273:Z1273"/>
    <mergeCell ref="B1274:D1274"/>
    <mergeCell ref="E1274:G1274"/>
    <mergeCell ref="H1274:M1274"/>
    <mergeCell ref="N1274:U1274"/>
    <mergeCell ref="V1274:W1274"/>
    <mergeCell ref="X1276:Z1276"/>
    <mergeCell ref="B1275:D1275"/>
    <mergeCell ref="E1275:G1275"/>
    <mergeCell ref="H1275:M1275"/>
    <mergeCell ref="N1275:U1275"/>
    <mergeCell ref="V1275:W1275"/>
    <mergeCell ref="X1275:Z1275"/>
    <mergeCell ref="B1276:D1276"/>
    <mergeCell ref="E1276:G1276"/>
    <mergeCell ref="H1276:M1276"/>
    <mergeCell ref="N1276:U1276"/>
    <mergeCell ref="V1276:W1276"/>
    <mergeCell ref="X1278:Z1278"/>
    <mergeCell ref="B1277:D1277"/>
    <mergeCell ref="E1277:G1277"/>
    <mergeCell ref="H1277:M1277"/>
    <mergeCell ref="N1277:U1277"/>
    <mergeCell ref="V1277:W1277"/>
    <mergeCell ref="X1277:Z1277"/>
    <mergeCell ref="B1278:D1278"/>
    <mergeCell ref="E1278:G1278"/>
    <mergeCell ref="H1278:M1278"/>
    <mergeCell ref="N1278:U1278"/>
    <mergeCell ref="V1278:W1278"/>
    <mergeCell ref="X1280:Z1280"/>
    <mergeCell ref="B1279:D1279"/>
    <mergeCell ref="E1279:G1279"/>
    <mergeCell ref="H1279:M1279"/>
    <mergeCell ref="N1279:U1279"/>
    <mergeCell ref="V1279:W1279"/>
    <mergeCell ref="X1279:Z1279"/>
    <mergeCell ref="B1280:D1280"/>
    <mergeCell ref="E1280:G1280"/>
    <mergeCell ref="H1280:M1280"/>
    <mergeCell ref="N1280:U1280"/>
    <mergeCell ref="V1280:W1280"/>
    <mergeCell ref="X1282:Z1282"/>
    <mergeCell ref="B1281:D1281"/>
    <mergeCell ref="E1281:G1281"/>
    <mergeCell ref="H1281:M1281"/>
    <mergeCell ref="N1281:U1281"/>
    <mergeCell ref="V1281:W1281"/>
    <mergeCell ref="X1281:Z1281"/>
    <mergeCell ref="B1282:D1282"/>
    <mergeCell ref="E1282:G1282"/>
    <mergeCell ref="H1282:M1282"/>
    <mergeCell ref="N1282:U1282"/>
    <mergeCell ref="V1282:W1282"/>
    <mergeCell ref="X1284:Z1284"/>
    <mergeCell ref="B1283:D1283"/>
    <mergeCell ref="E1283:G1283"/>
    <mergeCell ref="H1283:M1283"/>
    <mergeCell ref="N1283:U1283"/>
    <mergeCell ref="V1283:W1283"/>
    <mergeCell ref="X1283:Z1283"/>
    <mergeCell ref="B1284:D1284"/>
    <mergeCell ref="E1284:G1284"/>
    <mergeCell ref="H1284:M1284"/>
    <mergeCell ref="N1284:U1284"/>
    <mergeCell ref="V1284:W1284"/>
    <mergeCell ref="X1286:Z1286"/>
    <mergeCell ref="B1285:D1285"/>
    <mergeCell ref="E1285:G1285"/>
    <mergeCell ref="H1285:M1285"/>
    <mergeCell ref="N1285:U1285"/>
    <mergeCell ref="V1285:W1285"/>
    <mergeCell ref="X1285:Z1285"/>
    <mergeCell ref="B1286:D1286"/>
    <mergeCell ref="E1286:G1286"/>
    <mergeCell ref="H1286:M1286"/>
    <mergeCell ref="N1286:U1286"/>
    <mergeCell ref="V1286:W1286"/>
    <mergeCell ref="X1288:Z1288"/>
    <mergeCell ref="B1287:D1287"/>
    <mergeCell ref="E1287:G1287"/>
    <mergeCell ref="H1287:M1287"/>
    <mergeCell ref="N1287:U1287"/>
    <mergeCell ref="V1287:W1287"/>
    <mergeCell ref="X1287:Z1287"/>
    <mergeCell ref="B1288:D1288"/>
    <mergeCell ref="E1288:G1288"/>
    <mergeCell ref="H1288:M1288"/>
    <mergeCell ref="N1288:U1288"/>
    <mergeCell ref="V1288:W1288"/>
    <mergeCell ref="X1290:Z1290"/>
    <mergeCell ref="B1289:D1289"/>
    <mergeCell ref="E1289:G1289"/>
    <mergeCell ref="H1289:M1289"/>
    <mergeCell ref="N1289:U1289"/>
    <mergeCell ref="V1289:W1289"/>
    <mergeCell ref="X1289:Z1289"/>
    <mergeCell ref="B1290:D1290"/>
    <mergeCell ref="E1290:G1290"/>
    <mergeCell ref="H1290:M1290"/>
    <mergeCell ref="N1290:U1290"/>
    <mergeCell ref="V1290:W1290"/>
    <mergeCell ref="X1292:Z1292"/>
    <mergeCell ref="B1291:D1291"/>
    <mergeCell ref="E1291:G1291"/>
    <mergeCell ref="H1291:M1291"/>
    <mergeCell ref="N1291:U1291"/>
    <mergeCell ref="V1291:W1291"/>
    <mergeCell ref="X1291:Z1291"/>
    <mergeCell ref="B1292:D1292"/>
    <mergeCell ref="E1292:G1292"/>
    <mergeCell ref="H1292:M1292"/>
    <mergeCell ref="N1292:U1292"/>
    <mergeCell ref="V1292:W1292"/>
    <mergeCell ref="X1294:Z1294"/>
    <mergeCell ref="B1293:D1293"/>
    <mergeCell ref="E1293:G1293"/>
    <mergeCell ref="H1293:M1293"/>
    <mergeCell ref="N1293:U1293"/>
    <mergeCell ref="V1293:W1293"/>
    <mergeCell ref="X1293:Z1293"/>
    <mergeCell ref="B1294:D1294"/>
    <mergeCell ref="E1294:G1294"/>
    <mergeCell ref="H1294:M1294"/>
    <mergeCell ref="N1294:U1294"/>
    <mergeCell ref="V1294:W1294"/>
    <mergeCell ref="X1296:Z1296"/>
    <mergeCell ref="B1295:D1295"/>
    <mergeCell ref="E1295:G1295"/>
    <mergeCell ref="H1295:M1295"/>
    <mergeCell ref="N1295:U1295"/>
    <mergeCell ref="V1295:W1295"/>
    <mergeCell ref="X1295:Z1295"/>
    <mergeCell ref="B1296:D1296"/>
    <mergeCell ref="E1296:G1296"/>
    <mergeCell ref="H1296:M1296"/>
    <mergeCell ref="N1296:U1296"/>
    <mergeCell ref="V1296:W1296"/>
    <mergeCell ref="X1298:Z1298"/>
    <mergeCell ref="B1297:D1297"/>
    <mergeCell ref="E1297:G1297"/>
    <mergeCell ref="H1297:M1297"/>
    <mergeCell ref="N1297:U1297"/>
    <mergeCell ref="V1297:W1297"/>
    <mergeCell ref="X1297:Z1297"/>
    <mergeCell ref="B1298:D1298"/>
    <mergeCell ref="E1298:G1298"/>
    <mergeCell ref="H1298:M1298"/>
    <mergeCell ref="N1298:U1298"/>
    <mergeCell ref="V1298:W1298"/>
    <mergeCell ref="X1300:Z1300"/>
    <mergeCell ref="B1299:D1299"/>
    <mergeCell ref="E1299:G1299"/>
    <mergeCell ref="H1299:M1299"/>
    <mergeCell ref="N1299:U1299"/>
    <mergeCell ref="V1299:W1299"/>
    <mergeCell ref="X1299:Z1299"/>
    <mergeCell ref="B1300:D1300"/>
    <mergeCell ref="E1300:G1300"/>
    <mergeCell ref="H1300:M1300"/>
    <mergeCell ref="N1300:U1300"/>
    <mergeCell ref="V1300:W1300"/>
    <mergeCell ref="X1302:Z1302"/>
    <mergeCell ref="B1301:D1301"/>
    <mergeCell ref="E1301:G1301"/>
    <mergeCell ref="H1301:M1301"/>
    <mergeCell ref="N1301:U1301"/>
    <mergeCell ref="V1301:W1301"/>
    <mergeCell ref="X1301:Z1301"/>
    <mergeCell ref="B1302:D1302"/>
    <mergeCell ref="E1302:G1302"/>
    <mergeCell ref="H1302:M1302"/>
    <mergeCell ref="N1302:U1302"/>
    <mergeCell ref="V1302:W1302"/>
    <mergeCell ref="X1304:Z1304"/>
    <mergeCell ref="B1303:D1303"/>
    <mergeCell ref="E1303:G1303"/>
    <mergeCell ref="H1303:M1303"/>
    <mergeCell ref="N1303:U1303"/>
    <mergeCell ref="V1303:W1303"/>
    <mergeCell ref="X1303:Z1303"/>
    <mergeCell ref="B1304:D1304"/>
    <mergeCell ref="E1304:G1304"/>
    <mergeCell ref="H1304:M1304"/>
    <mergeCell ref="N1304:U1304"/>
    <mergeCell ref="V1304:W1304"/>
    <mergeCell ref="X1306:Z1306"/>
    <mergeCell ref="B1305:D1305"/>
    <mergeCell ref="E1305:G1305"/>
    <mergeCell ref="H1305:M1305"/>
    <mergeCell ref="N1305:U1305"/>
    <mergeCell ref="V1305:W1305"/>
    <mergeCell ref="X1305:Z1305"/>
    <mergeCell ref="B1306:D1306"/>
    <mergeCell ref="E1306:G1306"/>
    <mergeCell ref="H1306:M1306"/>
    <mergeCell ref="N1306:U1306"/>
    <mergeCell ref="V1306:W1306"/>
    <mergeCell ref="X1308:Z1308"/>
    <mergeCell ref="B1307:D1307"/>
    <mergeCell ref="E1307:G1307"/>
    <mergeCell ref="H1307:M1307"/>
    <mergeCell ref="N1307:U1307"/>
    <mergeCell ref="V1307:W1307"/>
    <mergeCell ref="X1307:Z1307"/>
    <mergeCell ref="B1308:D1308"/>
    <mergeCell ref="E1308:G1308"/>
    <mergeCell ref="H1308:M1308"/>
    <mergeCell ref="N1308:U1308"/>
    <mergeCell ref="V1308:W1308"/>
    <mergeCell ref="X1310:Z1310"/>
    <mergeCell ref="B1309:D1309"/>
    <mergeCell ref="E1309:G1309"/>
    <mergeCell ref="H1309:M1309"/>
    <mergeCell ref="N1309:U1309"/>
    <mergeCell ref="V1309:W1309"/>
    <mergeCell ref="X1309:Z1309"/>
    <mergeCell ref="B1310:D1310"/>
    <mergeCell ref="E1310:G1310"/>
    <mergeCell ref="H1310:M1310"/>
    <mergeCell ref="N1310:U1310"/>
    <mergeCell ref="V1310:W1310"/>
    <mergeCell ref="X1312:Z1312"/>
    <mergeCell ref="B1311:D1311"/>
    <mergeCell ref="E1311:G1311"/>
    <mergeCell ref="H1311:M1311"/>
    <mergeCell ref="N1311:U1311"/>
    <mergeCell ref="V1311:W1311"/>
    <mergeCell ref="X1311:Z1311"/>
    <mergeCell ref="B1312:D1312"/>
    <mergeCell ref="E1312:G1312"/>
    <mergeCell ref="H1312:M1312"/>
    <mergeCell ref="N1312:U1312"/>
    <mergeCell ref="V1312:W1312"/>
    <mergeCell ref="X1314:Z1314"/>
    <mergeCell ref="B1313:D1313"/>
    <mergeCell ref="E1313:G1313"/>
    <mergeCell ref="H1313:M1313"/>
    <mergeCell ref="N1313:U1313"/>
    <mergeCell ref="V1313:W1313"/>
    <mergeCell ref="X1313:Z1313"/>
    <mergeCell ref="B1314:D1314"/>
    <mergeCell ref="E1314:G1314"/>
    <mergeCell ref="H1314:M1314"/>
    <mergeCell ref="N1314:U1314"/>
    <mergeCell ref="V1314:W1314"/>
    <mergeCell ref="X1316:Z1316"/>
    <mergeCell ref="B1315:D1315"/>
    <mergeCell ref="E1315:G1315"/>
    <mergeCell ref="H1315:M1315"/>
    <mergeCell ref="N1315:U1315"/>
    <mergeCell ref="V1315:W1315"/>
    <mergeCell ref="X1315:Z1315"/>
    <mergeCell ref="B1316:D1316"/>
    <mergeCell ref="E1316:G1316"/>
    <mergeCell ref="H1316:M1316"/>
    <mergeCell ref="N1316:U1316"/>
    <mergeCell ref="V1316:W1316"/>
    <mergeCell ref="X1318:Z1318"/>
    <mergeCell ref="B1317:D1317"/>
    <mergeCell ref="E1317:G1317"/>
    <mergeCell ref="H1317:M1317"/>
    <mergeCell ref="N1317:U1317"/>
    <mergeCell ref="V1317:W1317"/>
    <mergeCell ref="X1317:Z1317"/>
    <mergeCell ref="B1318:D1318"/>
    <mergeCell ref="E1318:G1318"/>
    <mergeCell ref="H1318:M1318"/>
    <mergeCell ref="N1318:U1318"/>
    <mergeCell ref="V1318:W1318"/>
    <mergeCell ref="X1320:Z1320"/>
    <mergeCell ref="B1319:D1319"/>
    <mergeCell ref="E1319:G1319"/>
    <mergeCell ref="H1319:M1319"/>
    <mergeCell ref="N1319:U1319"/>
    <mergeCell ref="V1319:W1319"/>
    <mergeCell ref="X1319:Z1319"/>
    <mergeCell ref="B1320:D1320"/>
    <mergeCell ref="E1320:G1320"/>
    <mergeCell ref="H1320:M1320"/>
    <mergeCell ref="N1320:U1320"/>
    <mergeCell ref="V1320:W1320"/>
    <mergeCell ref="X1322:Z1322"/>
    <mergeCell ref="B1321:D1321"/>
    <mergeCell ref="E1321:G1321"/>
    <mergeCell ref="H1321:M1321"/>
    <mergeCell ref="N1321:U1321"/>
    <mergeCell ref="V1321:W1321"/>
    <mergeCell ref="X1321:Z1321"/>
    <mergeCell ref="B1322:D1322"/>
    <mergeCell ref="E1322:G1322"/>
    <mergeCell ref="H1322:M1322"/>
    <mergeCell ref="N1322:U1322"/>
    <mergeCell ref="V1322:W1322"/>
    <mergeCell ref="X1324:Z1324"/>
    <mergeCell ref="B1323:D1323"/>
    <mergeCell ref="E1323:G1323"/>
    <mergeCell ref="H1323:M1323"/>
    <mergeCell ref="N1323:U1323"/>
    <mergeCell ref="V1323:W1323"/>
    <mergeCell ref="X1323:Z1323"/>
    <mergeCell ref="B1324:D1324"/>
    <mergeCell ref="E1324:G1324"/>
    <mergeCell ref="H1324:M1324"/>
    <mergeCell ref="N1324:U1324"/>
    <mergeCell ref="V1324:W1324"/>
    <mergeCell ref="X1326:Z1326"/>
    <mergeCell ref="B1325:D1325"/>
    <mergeCell ref="E1325:G1325"/>
    <mergeCell ref="H1325:M1325"/>
    <mergeCell ref="N1325:U1325"/>
    <mergeCell ref="V1325:W1325"/>
    <mergeCell ref="X1325:Z1325"/>
    <mergeCell ref="B1326:D1326"/>
    <mergeCell ref="E1326:G1326"/>
    <mergeCell ref="H1326:M1326"/>
    <mergeCell ref="N1326:U1326"/>
    <mergeCell ref="V1326:W1326"/>
    <mergeCell ref="X1328:Z1328"/>
    <mergeCell ref="B1327:D1327"/>
    <mergeCell ref="E1327:G1327"/>
    <mergeCell ref="H1327:M1327"/>
    <mergeCell ref="N1327:U1327"/>
    <mergeCell ref="V1327:W1327"/>
    <mergeCell ref="X1327:Z1327"/>
    <mergeCell ref="B1328:D1328"/>
    <mergeCell ref="E1328:G1328"/>
    <mergeCell ref="H1328:M1328"/>
    <mergeCell ref="N1328:U1328"/>
    <mergeCell ref="V1328:W1328"/>
    <mergeCell ref="X1330:Z1330"/>
    <mergeCell ref="B1329:D1329"/>
    <mergeCell ref="E1329:G1329"/>
    <mergeCell ref="H1329:M1329"/>
    <mergeCell ref="N1329:U1329"/>
    <mergeCell ref="V1329:W1329"/>
    <mergeCell ref="X1329:Z1329"/>
    <mergeCell ref="B1330:D1330"/>
    <mergeCell ref="E1330:G1330"/>
    <mergeCell ref="H1330:M1330"/>
    <mergeCell ref="N1330:U1330"/>
    <mergeCell ref="V1330:W1330"/>
    <mergeCell ref="X1332:Z1332"/>
    <mergeCell ref="B1331:D1331"/>
    <mergeCell ref="E1331:G1331"/>
    <mergeCell ref="H1331:M1331"/>
    <mergeCell ref="N1331:U1331"/>
    <mergeCell ref="V1331:W1331"/>
    <mergeCell ref="X1331:Z1331"/>
    <mergeCell ref="B1332:D1332"/>
    <mergeCell ref="E1332:G1332"/>
    <mergeCell ref="H1332:M1332"/>
    <mergeCell ref="N1332:U1332"/>
    <mergeCell ref="V1332:W1332"/>
    <mergeCell ref="X1334:Z1334"/>
    <mergeCell ref="B1333:D1333"/>
    <mergeCell ref="E1333:G1333"/>
    <mergeCell ref="H1333:M1333"/>
    <mergeCell ref="N1333:U1333"/>
    <mergeCell ref="V1333:W1333"/>
    <mergeCell ref="X1333:Z1333"/>
    <mergeCell ref="B1334:D1334"/>
    <mergeCell ref="E1334:G1334"/>
    <mergeCell ref="H1334:M1334"/>
    <mergeCell ref="N1334:U1334"/>
    <mergeCell ref="V1334:W1334"/>
    <mergeCell ref="X1336:Z1336"/>
    <mergeCell ref="B1335:D1335"/>
    <mergeCell ref="E1335:G1335"/>
    <mergeCell ref="H1335:M1335"/>
    <mergeCell ref="N1335:U1335"/>
    <mergeCell ref="V1335:W1335"/>
    <mergeCell ref="X1335:Z1335"/>
    <mergeCell ref="B1336:D1336"/>
    <mergeCell ref="E1336:G1336"/>
    <mergeCell ref="H1336:M1336"/>
    <mergeCell ref="N1336:U1336"/>
    <mergeCell ref="V1336:W1336"/>
    <mergeCell ref="X1338:Z1338"/>
    <mergeCell ref="B1337:D1337"/>
    <mergeCell ref="E1337:G1337"/>
    <mergeCell ref="H1337:M1337"/>
    <mergeCell ref="N1337:U1337"/>
    <mergeCell ref="V1337:W1337"/>
    <mergeCell ref="X1337:Z1337"/>
    <mergeCell ref="B1338:D1338"/>
    <mergeCell ref="E1338:G1338"/>
    <mergeCell ref="H1338:M1338"/>
    <mergeCell ref="N1338:U1338"/>
    <mergeCell ref="V1338:W1338"/>
    <mergeCell ref="X1340:Z1340"/>
    <mergeCell ref="B1339:D1339"/>
    <mergeCell ref="E1339:G1339"/>
    <mergeCell ref="H1339:M1339"/>
    <mergeCell ref="N1339:U1339"/>
    <mergeCell ref="V1339:W1339"/>
    <mergeCell ref="X1339:Z1339"/>
    <mergeCell ref="B1340:D1340"/>
    <mergeCell ref="E1340:G1340"/>
    <mergeCell ref="H1340:M1340"/>
    <mergeCell ref="N1340:U1340"/>
    <mergeCell ref="V1340:W1340"/>
    <mergeCell ref="X1342:Z1342"/>
    <mergeCell ref="B1341:D1341"/>
    <mergeCell ref="E1341:G1341"/>
    <mergeCell ref="H1341:M1341"/>
    <mergeCell ref="N1341:U1341"/>
    <mergeCell ref="V1341:W1341"/>
    <mergeCell ref="X1341:Z1341"/>
    <mergeCell ref="B1342:D1342"/>
    <mergeCell ref="E1342:G1342"/>
    <mergeCell ref="H1342:M1342"/>
    <mergeCell ref="N1342:U1342"/>
    <mergeCell ref="V1342:W1342"/>
    <mergeCell ref="X1344:Z1344"/>
    <mergeCell ref="B1343:D1343"/>
    <mergeCell ref="E1343:G1343"/>
    <mergeCell ref="H1343:M1343"/>
    <mergeCell ref="N1343:U1343"/>
    <mergeCell ref="V1343:W1343"/>
    <mergeCell ref="X1343:Z1343"/>
    <mergeCell ref="B1344:D1344"/>
    <mergeCell ref="E1344:G1344"/>
    <mergeCell ref="H1344:M1344"/>
    <mergeCell ref="N1344:U1344"/>
    <mergeCell ref="V1344:W1344"/>
    <mergeCell ref="X1346:Z1346"/>
    <mergeCell ref="B1345:D1345"/>
    <mergeCell ref="E1345:G1345"/>
    <mergeCell ref="H1345:M1345"/>
    <mergeCell ref="N1345:U1345"/>
    <mergeCell ref="V1345:W1345"/>
    <mergeCell ref="X1345:Z1345"/>
    <mergeCell ref="B1346:D1346"/>
    <mergeCell ref="E1346:G1346"/>
    <mergeCell ref="H1346:M1346"/>
    <mergeCell ref="N1346:U1346"/>
    <mergeCell ref="V1346:W1346"/>
    <mergeCell ref="X1348:Z1348"/>
    <mergeCell ref="B1347:D1347"/>
    <mergeCell ref="E1347:G1347"/>
    <mergeCell ref="H1347:M1347"/>
    <mergeCell ref="N1347:U1347"/>
    <mergeCell ref="V1347:W1347"/>
    <mergeCell ref="X1347:Z1347"/>
    <mergeCell ref="B1348:D1348"/>
    <mergeCell ref="E1348:G1348"/>
    <mergeCell ref="H1348:M1348"/>
    <mergeCell ref="N1348:U1348"/>
    <mergeCell ref="V1348:W1348"/>
    <mergeCell ref="X1350:Z1350"/>
    <mergeCell ref="B1349:D1349"/>
    <mergeCell ref="E1349:G1349"/>
    <mergeCell ref="H1349:M1349"/>
    <mergeCell ref="N1349:U1349"/>
    <mergeCell ref="V1349:W1349"/>
    <mergeCell ref="X1349:Z1349"/>
    <mergeCell ref="B1350:D1350"/>
    <mergeCell ref="E1350:G1350"/>
    <mergeCell ref="H1350:M1350"/>
    <mergeCell ref="N1350:U1350"/>
    <mergeCell ref="V1350:W1350"/>
    <mergeCell ref="X1352:Z1352"/>
    <mergeCell ref="B1351:D1351"/>
    <mergeCell ref="E1351:G1351"/>
    <mergeCell ref="H1351:M1351"/>
    <mergeCell ref="N1351:U1351"/>
    <mergeCell ref="V1351:W1351"/>
    <mergeCell ref="X1351:Z1351"/>
    <mergeCell ref="B1352:D1352"/>
    <mergeCell ref="E1352:G1352"/>
    <mergeCell ref="H1352:M1352"/>
    <mergeCell ref="N1352:U1352"/>
    <mergeCell ref="V1352:W1352"/>
    <mergeCell ref="X1354:Z1354"/>
    <mergeCell ref="B1353:D1353"/>
    <mergeCell ref="E1353:G1353"/>
    <mergeCell ref="H1353:M1353"/>
    <mergeCell ref="N1353:U1353"/>
    <mergeCell ref="V1353:W1353"/>
    <mergeCell ref="X1353:Z1353"/>
    <mergeCell ref="B1354:D1354"/>
    <mergeCell ref="E1354:G1354"/>
    <mergeCell ref="H1354:M1354"/>
    <mergeCell ref="N1354:U1354"/>
    <mergeCell ref="V1354:W1354"/>
    <mergeCell ref="X1356:Z1356"/>
    <mergeCell ref="B1355:D1355"/>
    <mergeCell ref="E1355:G1355"/>
    <mergeCell ref="H1355:M1355"/>
    <mergeCell ref="N1355:U1355"/>
    <mergeCell ref="V1355:W1355"/>
    <mergeCell ref="X1355:Z1355"/>
    <mergeCell ref="B1356:D1356"/>
    <mergeCell ref="E1356:G1356"/>
    <mergeCell ref="H1356:M1356"/>
    <mergeCell ref="N1356:U1356"/>
    <mergeCell ref="V1356:W1356"/>
    <mergeCell ref="X1358:Z1358"/>
    <mergeCell ref="B1357:D1357"/>
    <mergeCell ref="E1357:G1357"/>
    <mergeCell ref="H1357:M1357"/>
    <mergeCell ref="N1357:U1357"/>
    <mergeCell ref="V1357:W1357"/>
    <mergeCell ref="X1357:Z1357"/>
    <mergeCell ref="B1358:D1358"/>
    <mergeCell ref="E1358:G1358"/>
    <mergeCell ref="H1358:M1358"/>
    <mergeCell ref="N1358:U1358"/>
    <mergeCell ref="V1358:W1358"/>
    <mergeCell ref="X1360:Z1360"/>
    <mergeCell ref="B1359:D1359"/>
    <mergeCell ref="E1359:G1359"/>
    <mergeCell ref="H1359:M1359"/>
    <mergeCell ref="N1359:U1359"/>
    <mergeCell ref="V1359:W1359"/>
    <mergeCell ref="X1359:Z1359"/>
    <mergeCell ref="B1360:D1360"/>
    <mergeCell ref="E1360:G1360"/>
    <mergeCell ref="H1360:M1360"/>
    <mergeCell ref="N1360:U1360"/>
    <mergeCell ref="V1360:W1360"/>
    <mergeCell ref="X1362:Z1362"/>
    <mergeCell ref="B1361:D1361"/>
    <mergeCell ref="E1361:G1361"/>
    <mergeCell ref="H1361:M1361"/>
    <mergeCell ref="N1361:U1361"/>
    <mergeCell ref="V1361:W1361"/>
    <mergeCell ref="X1361:Z1361"/>
    <mergeCell ref="B1362:D1362"/>
    <mergeCell ref="E1362:G1362"/>
    <mergeCell ref="H1362:M1362"/>
    <mergeCell ref="N1362:U1362"/>
    <mergeCell ref="V1362:W1362"/>
    <mergeCell ref="X1364:Z1364"/>
    <mergeCell ref="B1363:D1363"/>
    <mergeCell ref="E1363:G1363"/>
    <mergeCell ref="H1363:M1363"/>
    <mergeCell ref="N1363:U1363"/>
    <mergeCell ref="V1363:W1363"/>
    <mergeCell ref="X1363:Z1363"/>
    <mergeCell ref="B1364:D1364"/>
    <mergeCell ref="E1364:G1364"/>
    <mergeCell ref="H1364:M1364"/>
    <mergeCell ref="N1364:U1364"/>
    <mergeCell ref="V1364:W1364"/>
    <mergeCell ref="X1366:Z1366"/>
    <mergeCell ref="B1365:D1365"/>
    <mergeCell ref="E1365:G1365"/>
    <mergeCell ref="H1365:M1365"/>
    <mergeCell ref="N1365:U1365"/>
    <mergeCell ref="V1365:W1365"/>
    <mergeCell ref="X1365:Z1365"/>
    <mergeCell ref="B1366:D1366"/>
    <mergeCell ref="E1366:G1366"/>
    <mergeCell ref="H1366:M1366"/>
    <mergeCell ref="N1366:U1366"/>
    <mergeCell ref="V1366:W1366"/>
    <mergeCell ref="X1368:Z1368"/>
    <mergeCell ref="B1367:D1367"/>
    <mergeCell ref="E1367:G1367"/>
    <mergeCell ref="H1367:M1367"/>
    <mergeCell ref="N1367:U1367"/>
    <mergeCell ref="V1367:W1367"/>
    <mergeCell ref="X1367:Z1367"/>
    <mergeCell ref="B1368:D1368"/>
    <mergeCell ref="E1368:G1368"/>
    <mergeCell ref="H1368:M1368"/>
    <mergeCell ref="N1368:U1368"/>
    <mergeCell ref="V1368:W1368"/>
    <mergeCell ref="X1370:Z1370"/>
    <mergeCell ref="B1369:D1369"/>
    <mergeCell ref="E1369:G1369"/>
    <mergeCell ref="H1369:M1369"/>
    <mergeCell ref="N1369:U1369"/>
    <mergeCell ref="V1369:W1369"/>
    <mergeCell ref="X1369:Z1369"/>
    <mergeCell ref="B1370:D1370"/>
    <mergeCell ref="E1370:G1370"/>
    <mergeCell ref="H1370:M1370"/>
    <mergeCell ref="N1370:U1370"/>
    <mergeCell ref="V1370:W1370"/>
    <mergeCell ref="X1372:Z1372"/>
    <mergeCell ref="B1371:D1371"/>
    <mergeCell ref="E1371:G1371"/>
    <mergeCell ref="H1371:M1371"/>
    <mergeCell ref="N1371:U1371"/>
    <mergeCell ref="V1371:W1371"/>
    <mergeCell ref="X1371:Z1371"/>
    <mergeCell ref="B1372:D1372"/>
    <mergeCell ref="E1372:G1372"/>
    <mergeCell ref="H1372:M1372"/>
    <mergeCell ref="N1372:U1372"/>
    <mergeCell ref="V1372:W1372"/>
    <mergeCell ref="X1374:Z1374"/>
    <mergeCell ref="B1373:D1373"/>
    <mergeCell ref="E1373:G1373"/>
    <mergeCell ref="H1373:M1373"/>
    <mergeCell ref="N1373:U1373"/>
    <mergeCell ref="V1373:W1373"/>
    <mergeCell ref="X1373:Z1373"/>
    <mergeCell ref="B1374:D1374"/>
    <mergeCell ref="E1374:G1374"/>
    <mergeCell ref="H1374:M1374"/>
    <mergeCell ref="N1374:U1374"/>
    <mergeCell ref="V1374:W1374"/>
    <mergeCell ref="X1376:Z1376"/>
    <mergeCell ref="B1375:D1375"/>
    <mergeCell ref="E1375:G1375"/>
    <mergeCell ref="H1375:M1375"/>
    <mergeCell ref="N1375:U1375"/>
    <mergeCell ref="V1375:W1375"/>
    <mergeCell ref="X1375:Z1375"/>
    <mergeCell ref="B1376:D1376"/>
    <mergeCell ref="E1376:G1376"/>
    <mergeCell ref="H1376:M1376"/>
    <mergeCell ref="N1376:U1376"/>
    <mergeCell ref="V1376:W1376"/>
    <mergeCell ref="X1378:Z1378"/>
    <mergeCell ref="B1377:D1377"/>
    <mergeCell ref="E1377:G1377"/>
    <mergeCell ref="H1377:M1377"/>
    <mergeCell ref="N1377:U1377"/>
    <mergeCell ref="V1377:W1377"/>
    <mergeCell ref="X1377:Z1377"/>
    <mergeCell ref="B1378:D1378"/>
    <mergeCell ref="E1378:G1378"/>
    <mergeCell ref="H1378:M1378"/>
    <mergeCell ref="N1378:U1378"/>
    <mergeCell ref="V1378:W1378"/>
    <mergeCell ref="X1380:Z1380"/>
    <mergeCell ref="B1379:D1379"/>
    <mergeCell ref="E1379:G1379"/>
    <mergeCell ref="H1379:M1379"/>
    <mergeCell ref="N1379:U1379"/>
    <mergeCell ref="V1379:W1379"/>
    <mergeCell ref="X1379:Z1379"/>
    <mergeCell ref="B1380:D1380"/>
    <mergeCell ref="E1380:G1380"/>
    <mergeCell ref="H1380:M1380"/>
    <mergeCell ref="N1380:U1380"/>
    <mergeCell ref="V1380:W1380"/>
    <mergeCell ref="X1382:Z1382"/>
    <mergeCell ref="B1381:D1381"/>
    <mergeCell ref="E1381:G1381"/>
    <mergeCell ref="H1381:M1381"/>
    <mergeCell ref="N1381:U1381"/>
    <mergeCell ref="V1381:W1381"/>
    <mergeCell ref="X1381:Z1381"/>
    <mergeCell ref="B1382:D1382"/>
    <mergeCell ref="E1382:G1382"/>
    <mergeCell ref="H1382:M1382"/>
    <mergeCell ref="N1382:U1382"/>
    <mergeCell ref="V1382:W1382"/>
    <mergeCell ref="X1384:Z1384"/>
    <mergeCell ref="B1383:D1383"/>
    <mergeCell ref="E1383:G1383"/>
    <mergeCell ref="H1383:M1383"/>
    <mergeCell ref="N1383:U1383"/>
    <mergeCell ref="V1383:W1383"/>
    <mergeCell ref="X1383:Z1383"/>
    <mergeCell ref="B1384:D1384"/>
    <mergeCell ref="E1384:G1384"/>
    <mergeCell ref="H1384:M1384"/>
    <mergeCell ref="N1384:U1384"/>
    <mergeCell ref="V1384:W1384"/>
    <mergeCell ref="X1386:Z1386"/>
    <mergeCell ref="B1385:D1385"/>
    <mergeCell ref="E1385:G1385"/>
    <mergeCell ref="H1385:M1385"/>
    <mergeCell ref="N1385:U1385"/>
    <mergeCell ref="V1385:W1385"/>
    <mergeCell ref="X1385:Z1385"/>
    <mergeCell ref="B1386:D1386"/>
    <mergeCell ref="E1386:G1386"/>
    <mergeCell ref="H1386:M1386"/>
    <mergeCell ref="N1386:U1386"/>
    <mergeCell ref="V1386:W1386"/>
    <mergeCell ref="X1388:Z1388"/>
    <mergeCell ref="B1387:D1387"/>
    <mergeCell ref="E1387:G1387"/>
    <mergeCell ref="H1387:M1387"/>
    <mergeCell ref="N1387:U1387"/>
    <mergeCell ref="V1387:W1387"/>
    <mergeCell ref="X1387:Z1387"/>
    <mergeCell ref="B1388:D1388"/>
    <mergeCell ref="E1388:G1388"/>
    <mergeCell ref="H1388:M1388"/>
    <mergeCell ref="N1388:U1388"/>
    <mergeCell ref="V1388:W1388"/>
    <mergeCell ref="X1390:Z1390"/>
    <mergeCell ref="B1389:D1389"/>
    <mergeCell ref="E1389:G1389"/>
    <mergeCell ref="H1389:M1389"/>
    <mergeCell ref="N1389:U1389"/>
    <mergeCell ref="V1389:W1389"/>
    <mergeCell ref="X1389:Z1389"/>
    <mergeCell ref="B1390:D1390"/>
    <mergeCell ref="E1390:G1390"/>
    <mergeCell ref="H1390:M1390"/>
    <mergeCell ref="N1390:U1390"/>
    <mergeCell ref="V1390:W1390"/>
    <mergeCell ref="X1392:Z1392"/>
    <mergeCell ref="B1391:D1391"/>
    <mergeCell ref="E1391:G1391"/>
    <mergeCell ref="H1391:M1391"/>
    <mergeCell ref="N1391:U1391"/>
    <mergeCell ref="V1391:W1391"/>
    <mergeCell ref="X1391:Z1391"/>
    <mergeCell ref="B1392:D1392"/>
    <mergeCell ref="E1392:G1392"/>
    <mergeCell ref="H1392:M1392"/>
    <mergeCell ref="N1392:U1392"/>
    <mergeCell ref="V1392:W1392"/>
    <mergeCell ref="X1394:Z1394"/>
    <mergeCell ref="B1393:D1393"/>
    <mergeCell ref="E1393:G1393"/>
    <mergeCell ref="H1393:M1393"/>
    <mergeCell ref="N1393:U1393"/>
    <mergeCell ref="V1393:W1393"/>
    <mergeCell ref="X1393:Z1393"/>
    <mergeCell ref="B1394:D1394"/>
    <mergeCell ref="E1394:G1394"/>
    <mergeCell ref="H1394:M1394"/>
    <mergeCell ref="N1394:U1394"/>
    <mergeCell ref="V1394:W1394"/>
    <mergeCell ref="X1396:Z1396"/>
    <mergeCell ref="B1395:D1395"/>
    <mergeCell ref="E1395:G1395"/>
    <mergeCell ref="H1395:M1395"/>
    <mergeCell ref="N1395:U1395"/>
    <mergeCell ref="V1395:W1395"/>
    <mergeCell ref="X1395:Z1395"/>
    <mergeCell ref="B1396:D1396"/>
    <mergeCell ref="E1396:G1396"/>
    <mergeCell ref="H1396:M1396"/>
    <mergeCell ref="N1396:U1396"/>
    <mergeCell ref="V1396:W1396"/>
    <mergeCell ref="X1398:Z1398"/>
    <mergeCell ref="B1397:D1397"/>
    <mergeCell ref="E1397:G1397"/>
    <mergeCell ref="H1397:M1397"/>
    <mergeCell ref="N1397:U1397"/>
    <mergeCell ref="V1397:W1397"/>
    <mergeCell ref="X1397:Z1397"/>
    <mergeCell ref="B1398:D1398"/>
    <mergeCell ref="E1398:G1398"/>
    <mergeCell ref="H1398:M1398"/>
    <mergeCell ref="N1398:U1398"/>
    <mergeCell ref="V1398:W1398"/>
    <mergeCell ref="X1400:Z1400"/>
    <mergeCell ref="B1399:D1399"/>
    <mergeCell ref="E1399:G1399"/>
    <mergeCell ref="H1399:M1399"/>
    <mergeCell ref="N1399:U1399"/>
    <mergeCell ref="V1399:W1399"/>
    <mergeCell ref="X1399:Z1399"/>
    <mergeCell ref="B1400:D1400"/>
    <mergeCell ref="E1400:G1400"/>
    <mergeCell ref="H1400:M1400"/>
    <mergeCell ref="N1400:U1400"/>
    <mergeCell ref="V1400:W1400"/>
    <mergeCell ref="X1402:Z1402"/>
    <mergeCell ref="B1401:D1401"/>
    <mergeCell ref="E1401:G1401"/>
    <mergeCell ref="H1401:M1401"/>
    <mergeCell ref="N1401:U1401"/>
    <mergeCell ref="V1401:W1401"/>
    <mergeCell ref="X1401:Z1401"/>
    <mergeCell ref="B1402:D1402"/>
    <mergeCell ref="E1402:G1402"/>
    <mergeCell ref="H1402:M1402"/>
    <mergeCell ref="N1402:U1402"/>
    <mergeCell ref="V1402:W1402"/>
    <mergeCell ref="X1404:Z1404"/>
    <mergeCell ref="B1403:D1403"/>
    <mergeCell ref="E1403:G1403"/>
    <mergeCell ref="H1403:M1403"/>
    <mergeCell ref="N1403:U1403"/>
    <mergeCell ref="V1403:W1403"/>
    <mergeCell ref="X1403:Z1403"/>
    <mergeCell ref="B1404:D1404"/>
    <mergeCell ref="E1404:G1404"/>
    <mergeCell ref="H1404:M1404"/>
    <mergeCell ref="N1404:U1404"/>
    <mergeCell ref="V1404:W1404"/>
    <mergeCell ref="X1406:Z1406"/>
    <mergeCell ref="B1405:D1405"/>
    <mergeCell ref="E1405:G1405"/>
    <mergeCell ref="H1405:M1405"/>
    <mergeCell ref="N1405:U1405"/>
    <mergeCell ref="V1405:W1405"/>
    <mergeCell ref="X1405:Z1405"/>
    <mergeCell ref="B1406:D1406"/>
    <mergeCell ref="E1406:G1406"/>
    <mergeCell ref="H1406:M1406"/>
    <mergeCell ref="N1406:U1406"/>
    <mergeCell ref="V1406:W1406"/>
    <mergeCell ref="X1408:Z1408"/>
    <mergeCell ref="B1407:D1407"/>
    <mergeCell ref="E1407:G1407"/>
    <mergeCell ref="H1407:M1407"/>
    <mergeCell ref="N1407:U1407"/>
    <mergeCell ref="V1407:W1407"/>
    <mergeCell ref="X1407:Z1407"/>
    <mergeCell ref="B1408:D1408"/>
    <mergeCell ref="E1408:G1408"/>
    <mergeCell ref="H1408:M1408"/>
    <mergeCell ref="N1408:U1408"/>
    <mergeCell ref="V1408:W1408"/>
    <mergeCell ref="X1410:Z1410"/>
    <mergeCell ref="B1409:D1409"/>
    <mergeCell ref="E1409:G1409"/>
    <mergeCell ref="H1409:M1409"/>
    <mergeCell ref="N1409:U1409"/>
    <mergeCell ref="V1409:W1409"/>
    <mergeCell ref="X1409:Z1409"/>
    <mergeCell ref="B1410:D1410"/>
    <mergeCell ref="E1410:G1410"/>
    <mergeCell ref="H1410:M1410"/>
    <mergeCell ref="N1410:U1410"/>
    <mergeCell ref="V1410:W1410"/>
    <mergeCell ref="X1412:Z1412"/>
    <mergeCell ref="B1411:D1411"/>
    <mergeCell ref="E1411:G1411"/>
    <mergeCell ref="H1411:M1411"/>
    <mergeCell ref="N1411:U1411"/>
    <mergeCell ref="V1411:W1411"/>
    <mergeCell ref="X1411:Z1411"/>
    <mergeCell ref="B1412:D1412"/>
    <mergeCell ref="E1412:G1412"/>
    <mergeCell ref="H1412:M1412"/>
    <mergeCell ref="N1412:U1412"/>
    <mergeCell ref="V1412:W1412"/>
    <mergeCell ref="X1414:Z1414"/>
    <mergeCell ref="B1413:D1413"/>
    <mergeCell ref="E1413:G1413"/>
    <mergeCell ref="H1413:M1413"/>
    <mergeCell ref="N1413:U1413"/>
    <mergeCell ref="V1413:W1413"/>
    <mergeCell ref="X1413:Z1413"/>
    <mergeCell ref="B1414:D1414"/>
    <mergeCell ref="E1414:G1414"/>
    <mergeCell ref="H1414:M1414"/>
    <mergeCell ref="N1414:U1414"/>
    <mergeCell ref="V1414:W1414"/>
    <mergeCell ref="X1416:Z1416"/>
    <mergeCell ref="B1415:D1415"/>
    <mergeCell ref="E1415:G1415"/>
    <mergeCell ref="H1415:M1415"/>
    <mergeCell ref="N1415:U1415"/>
    <mergeCell ref="V1415:W1415"/>
    <mergeCell ref="X1415:Z1415"/>
    <mergeCell ref="B1416:D1416"/>
    <mergeCell ref="E1416:G1416"/>
    <mergeCell ref="H1416:M1416"/>
    <mergeCell ref="N1416:U1416"/>
    <mergeCell ref="V1416:W1416"/>
    <mergeCell ref="X1418:Z1418"/>
    <mergeCell ref="B1417:D1417"/>
    <mergeCell ref="E1417:G1417"/>
    <mergeCell ref="H1417:M1417"/>
    <mergeCell ref="N1417:U1417"/>
    <mergeCell ref="V1417:W1417"/>
    <mergeCell ref="X1417:Z1417"/>
    <mergeCell ref="B1418:D1418"/>
    <mergeCell ref="E1418:G1418"/>
    <mergeCell ref="H1418:M1418"/>
    <mergeCell ref="N1418:U1418"/>
    <mergeCell ref="V1418:W1418"/>
    <mergeCell ref="X1420:Z1420"/>
    <mergeCell ref="B1419:D1419"/>
    <mergeCell ref="E1419:G1419"/>
    <mergeCell ref="H1419:M1419"/>
    <mergeCell ref="N1419:U1419"/>
    <mergeCell ref="V1419:W1419"/>
    <mergeCell ref="X1419:Z1419"/>
    <mergeCell ref="B1420:D1420"/>
    <mergeCell ref="E1420:G1420"/>
    <mergeCell ref="H1420:M1420"/>
    <mergeCell ref="N1420:U1420"/>
    <mergeCell ref="V1420:W1420"/>
    <mergeCell ref="X1422:Z1422"/>
    <mergeCell ref="B1421:D1421"/>
    <mergeCell ref="E1421:G1421"/>
    <mergeCell ref="H1421:M1421"/>
    <mergeCell ref="N1421:U1421"/>
    <mergeCell ref="V1421:W1421"/>
    <mergeCell ref="X1421:Z1421"/>
    <mergeCell ref="B1422:D1422"/>
    <mergeCell ref="E1422:G1422"/>
    <mergeCell ref="H1422:M1422"/>
    <mergeCell ref="N1422:U1422"/>
    <mergeCell ref="V1422:W1422"/>
    <mergeCell ref="X1424:Z1424"/>
    <mergeCell ref="B1423:D1423"/>
    <mergeCell ref="E1423:G1423"/>
    <mergeCell ref="H1423:M1423"/>
    <mergeCell ref="N1423:U1423"/>
    <mergeCell ref="V1423:W1423"/>
    <mergeCell ref="X1423:Z1423"/>
    <mergeCell ref="B1424:D1424"/>
    <mergeCell ref="E1424:G1424"/>
    <mergeCell ref="H1424:M1424"/>
    <mergeCell ref="N1424:U1424"/>
    <mergeCell ref="V1424:W1424"/>
    <mergeCell ref="X1426:Z1426"/>
    <mergeCell ref="B1425:D1425"/>
    <mergeCell ref="E1425:G1425"/>
    <mergeCell ref="H1425:M1425"/>
    <mergeCell ref="N1425:U1425"/>
    <mergeCell ref="V1425:W1425"/>
    <mergeCell ref="X1425:Z1425"/>
    <mergeCell ref="B1426:D1426"/>
    <mergeCell ref="E1426:G1426"/>
    <mergeCell ref="H1426:M1426"/>
    <mergeCell ref="N1426:U1426"/>
    <mergeCell ref="V1426:W1426"/>
    <mergeCell ref="X1428:Z1428"/>
    <mergeCell ref="B1427:D1427"/>
    <mergeCell ref="E1427:G1427"/>
    <mergeCell ref="H1427:M1427"/>
    <mergeCell ref="N1427:U1427"/>
    <mergeCell ref="V1427:W1427"/>
    <mergeCell ref="X1427:Z1427"/>
    <mergeCell ref="B1428:D1428"/>
    <mergeCell ref="E1428:G1428"/>
    <mergeCell ref="H1428:M1428"/>
    <mergeCell ref="N1428:U1428"/>
    <mergeCell ref="V1428:W1428"/>
    <mergeCell ref="X1430:Z1430"/>
    <mergeCell ref="B1429:D1429"/>
    <mergeCell ref="E1429:G1429"/>
    <mergeCell ref="H1429:M1429"/>
    <mergeCell ref="N1429:U1429"/>
    <mergeCell ref="V1429:W1429"/>
    <mergeCell ref="X1429:Z1429"/>
    <mergeCell ref="B1430:D1430"/>
    <mergeCell ref="E1430:G1430"/>
    <mergeCell ref="H1430:M1430"/>
    <mergeCell ref="N1430:U1430"/>
    <mergeCell ref="V1430:W1430"/>
    <mergeCell ref="X1432:Z1432"/>
    <mergeCell ref="B1431:D1431"/>
    <mergeCell ref="E1431:G1431"/>
    <mergeCell ref="H1431:M1431"/>
    <mergeCell ref="N1431:U1431"/>
    <mergeCell ref="V1431:W1431"/>
    <mergeCell ref="X1431:Z1431"/>
    <mergeCell ref="B1432:D1432"/>
    <mergeCell ref="E1432:G1432"/>
    <mergeCell ref="H1432:M1432"/>
    <mergeCell ref="N1432:U1432"/>
    <mergeCell ref="V1432:W1432"/>
    <mergeCell ref="X1434:Z1434"/>
    <mergeCell ref="B1433:D1433"/>
    <mergeCell ref="E1433:G1433"/>
    <mergeCell ref="H1433:M1433"/>
    <mergeCell ref="N1433:U1433"/>
    <mergeCell ref="V1433:W1433"/>
    <mergeCell ref="X1433:Z1433"/>
    <mergeCell ref="B1434:D1434"/>
    <mergeCell ref="E1434:G1434"/>
    <mergeCell ref="H1434:M1434"/>
    <mergeCell ref="N1434:U1434"/>
    <mergeCell ref="V1434:W1434"/>
    <mergeCell ref="X1436:Z1436"/>
    <mergeCell ref="B1435:D1435"/>
    <mergeCell ref="E1435:G1435"/>
    <mergeCell ref="H1435:M1435"/>
    <mergeCell ref="N1435:U1435"/>
    <mergeCell ref="V1435:W1435"/>
    <mergeCell ref="X1435:Z1435"/>
    <mergeCell ref="B1436:D1436"/>
    <mergeCell ref="E1436:G1436"/>
    <mergeCell ref="H1436:M1436"/>
    <mergeCell ref="N1436:U1436"/>
    <mergeCell ref="V1436:W1436"/>
    <mergeCell ref="X1438:Z1438"/>
    <mergeCell ref="B1437:D1437"/>
    <mergeCell ref="E1437:G1437"/>
    <mergeCell ref="H1437:M1437"/>
    <mergeCell ref="N1437:U1437"/>
    <mergeCell ref="V1437:W1437"/>
    <mergeCell ref="X1437:Z1437"/>
    <mergeCell ref="B1438:D1438"/>
    <mergeCell ref="E1438:G1438"/>
    <mergeCell ref="H1438:M1438"/>
    <mergeCell ref="N1438:U1438"/>
    <mergeCell ref="V1438:W1438"/>
    <mergeCell ref="X1440:Z1440"/>
    <mergeCell ref="B1439:D1439"/>
    <mergeCell ref="E1439:G1439"/>
    <mergeCell ref="H1439:M1439"/>
    <mergeCell ref="N1439:U1439"/>
    <mergeCell ref="V1439:W1439"/>
    <mergeCell ref="X1439:Z1439"/>
    <mergeCell ref="B1440:D1440"/>
    <mergeCell ref="E1440:G1440"/>
    <mergeCell ref="H1440:M1440"/>
    <mergeCell ref="N1440:U1440"/>
    <mergeCell ref="V1440:W1440"/>
    <mergeCell ref="X1442:Z1442"/>
    <mergeCell ref="B1441:D1441"/>
    <mergeCell ref="E1441:G1441"/>
    <mergeCell ref="H1441:M1441"/>
    <mergeCell ref="N1441:U1441"/>
    <mergeCell ref="V1441:W1441"/>
    <mergeCell ref="X1441:Z1441"/>
    <mergeCell ref="B1442:D1442"/>
    <mergeCell ref="E1442:G1442"/>
    <mergeCell ref="H1442:M1442"/>
    <mergeCell ref="N1442:U1442"/>
    <mergeCell ref="V1442:W1442"/>
    <mergeCell ref="X1444:Z1444"/>
    <mergeCell ref="B1443:D1443"/>
    <mergeCell ref="E1443:G1443"/>
    <mergeCell ref="H1443:M1443"/>
    <mergeCell ref="N1443:U1443"/>
    <mergeCell ref="V1443:W1443"/>
    <mergeCell ref="X1443:Z1443"/>
    <mergeCell ref="B1444:D1444"/>
    <mergeCell ref="E1444:G1444"/>
    <mergeCell ref="H1444:M1444"/>
    <mergeCell ref="N1444:U1444"/>
    <mergeCell ref="V1444:W1444"/>
    <mergeCell ref="X1446:Z1446"/>
    <mergeCell ref="B1445:D1445"/>
    <mergeCell ref="E1445:G1445"/>
    <mergeCell ref="H1445:M1445"/>
    <mergeCell ref="N1445:U1445"/>
    <mergeCell ref="V1445:W1445"/>
    <mergeCell ref="X1445:Z1445"/>
    <mergeCell ref="B1446:D1446"/>
    <mergeCell ref="E1446:G1446"/>
    <mergeCell ref="H1446:M1446"/>
    <mergeCell ref="N1446:U1446"/>
    <mergeCell ref="V1446:W1446"/>
    <mergeCell ref="X1448:Z1448"/>
    <mergeCell ref="B1447:D1447"/>
    <mergeCell ref="E1447:G1447"/>
    <mergeCell ref="H1447:M1447"/>
    <mergeCell ref="N1447:U1447"/>
    <mergeCell ref="V1447:W1447"/>
    <mergeCell ref="X1447:Z1447"/>
    <mergeCell ref="B1448:D1448"/>
    <mergeCell ref="E1448:G1448"/>
    <mergeCell ref="H1448:M1448"/>
    <mergeCell ref="N1448:U1448"/>
    <mergeCell ref="V1448:W1448"/>
    <mergeCell ref="X1450:Z1450"/>
    <mergeCell ref="B1449:D1449"/>
    <mergeCell ref="E1449:G1449"/>
    <mergeCell ref="H1449:M1449"/>
    <mergeCell ref="N1449:U1449"/>
    <mergeCell ref="V1449:W1449"/>
    <mergeCell ref="X1449:Z1449"/>
    <mergeCell ref="B1450:D1450"/>
    <mergeCell ref="E1450:G1450"/>
    <mergeCell ref="H1450:M1450"/>
    <mergeCell ref="N1450:U1450"/>
    <mergeCell ref="V1450:W1450"/>
    <mergeCell ref="X1452:Z1452"/>
    <mergeCell ref="B1451:D1451"/>
    <mergeCell ref="E1451:G1451"/>
    <mergeCell ref="H1451:M1451"/>
    <mergeCell ref="N1451:U1451"/>
    <mergeCell ref="V1451:W1451"/>
    <mergeCell ref="X1451:Z1451"/>
    <mergeCell ref="B1452:D1452"/>
    <mergeCell ref="E1452:G1452"/>
    <mergeCell ref="H1452:M1452"/>
    <mergeCell ref="N1452:U1452"/>
    <mergeCell ref="V1452:W1452"/>
    <mergeCell ref="X1454:Z1454"/>
    <mergeCell ref="B1453:D1453"/>
    <mergeCell ref="E1453:G1453"/>
    <mergeCell ref="H1453:M1453"/>
    <mergeCell ref="N1453:U1453"/>
    <mergeCell ref="V1453:W1453"/>
    <mergeCell ref="X1453:Z1453"/>
    <mergeCell ref="B1454:D1454"/>
    <mergeCell ref="E1454:G1454"/>
    <mergeCell ref="H1454:M1454"/>
    <mergeCell ref="N1454:U1454"/>
    <mergeCell ref="V1454:W1454"/>
    <mergeCell ref="X1456:Z1456"/>
    <mergeCell ref="B1455:D1455"/>
    <mergeCell ref="E1455:G1455"/>
    <mergeCell ref="H1455:M1455"/>
    <mergeCell ref="N1455:U1455"/>
    <mergeCell ref="V1455:W1455"/>
    <mergeCell ref="X1455:Z1455"/>
    <mergeCell ref="B1456:D1456"/>
    <mergeCell ref="E1456:G1456"/>
    <mergeCell ref="H1456:M1456"/>
    <mergeCell ref="N1456:U1456"/>
    <mergeCell ref="V1456:W1456"/>
    <mergeCell ref="X1458:Z1458"/>
    <mergeCell ref="B1457:D1457"/>
    <mergeCell ref="E1457:G1457"/>
    <mergeCell ref="H1457:M1457"/>
    <mergeCell ref="N1457:U1457"/>
    <mergeCell ref="V1457:W1457"/>
    <mergeCell ref="X1457:Z1457"/>
    <mergeCell ref="B1458:D1458"/>
    <mergeCell ref="E1458:G1458"/>
    <mergeCell ref="H1458:M1458"/>
    <mergeCell ref="N1458:U1458"/>
    <mergeCell ref="V1458:W1458"/>
    <mergeCell ref="X1460:Z1460"/>
    <mergeCell ref="B1459:D1459"/>
    <mergeCell ref="E1459:G1459"/>
    <mergeCell ref="H1459:M1459"/>
    <mergeCell ref="N1459:U1459"/>
    <mergeCell ref="V1459:W1459"/>
    <mergeCell ref="X1459:Z1459"/>
    <mergeCell ref="B1460:D1460"/>
    <mergeCell ref="E1460:G1460"/>
    <mergeCell ref="H1460:M1460"/>
    <mergeCell ref="N1460:U1460"/>
    <mergeCell ref="V1460:W1460"/>
    <mergeCell ref="X1462:Z1462"/>
    <mergeCell ref="B1461:D1461"/>
    <mergeCell ref="E1461:G1461"/>
    <mergeCell ref="H1461:M1461"/>
    <mergeCell ref="N1461:U1461"/>
    <mergeCell ref="V1461:W1461"/>
    <mergeCell ref="X1461:Z1461"/>
    <mergeCell ref="B1462:D1462"/>
    <mergeCell ref="E1462:G1462"/>
    <mergeCell ref="H1462:M1462"/>
    <mergeCell ref="N1462:U1462"/>
    <mergeCell ref="V1462:W1462"/>
    <mergeCell ref="X1464:Z1464"/>
    <mergeCell ref="B1463:D1463"/>
    <mergeCell ref="E1463:G1463"/>
    <mergeCell ref="H1463:M1463"/>
    <mergeCell ref="N1463:U1463"/>
    <mergeCell ref="V1463:W1463"/>
    <mergeCell ref="X1463:Z1463"/>
    <mergeCell ref="B1464:D1464"/>
    <mergeCell ref="E1464:G1464"/>
    <mergeCell ref="H1464:M1464"/>
    <mergeCell ref="N1464:U1464"/>
    <mergeCell ref="V1464:W1464"/>
    <mergeCell ref="X1466:Z1466"/>
    <mergeCell ref="B1465:D1465"/>
    <mergeCell ref="E1465:G1465"/>
    <mergeCell ref="H1465:M1465"/>
    <mergeCell ref="N1465:U1465"/>
    <mergeCell ref="V1465:W1465"/>
    <mergeCell ref="X1465:Z1465"/>
    <mergeCell ref="B1466:D1466"/>
    <mergeCell ref="E1466:G1466"/>
    <mergeCell ref="H1466:M1466"/>
    <mergeCell ref="N1466:U1466"/>
    <mergeCell ref="V1466:W1466"/>
    <mergeCell ref="X1468:Z1468"/>
    <mergeCell ref="B1467:D1467"/>
    <mergeCell ref="E1467:G1467"/>
    <mergeCell ref="H1467:M1467"/>
    <mergeCell ref="N1467:U1467"/>
    <mergeCell ref="V1467:W1467"/>
    <mergeCell ref="X1467:Z1467"/>
    <mergeCell ref="B1468:D1468"/>
    <mergeCell ref="E1468:G1468"/>
    <mergeCell ref="H1468:M1468"/>
    <mergeCell ref="N1468:U1468"/>
    <mergeCell ref="V1468:W1468"/>
    <mergeCell ref="X1470:Z1470"/>
    <mergeCell ref="B1469:D1469"/>
    <mergeCell ref="E1469:G1469"/>
    <mergeCell ref="H1469:M1469"/>
    <mergeCell ref="N1469:U1469"/>
    <mergeCell ref="V1469:W1469"/>
    <mergeCell ref="X1469:Z1469"/>
    <mergeCell ref="B1470:D1470"/>
    <mergeCell ref="E1470:G1470"/>
    <mergeCell ref="H1470:M1470"/>
    <mergeCell ref="N1470:U1470"/>
    <mergeCell ref="V1470:W1470"/>
    <mergeCell ref="X1472:Z1472"/>
    <mergeCell ref="B1471:D1471"/>
    <mergeCell ref="E1471:G1471"/>
    <mergeCell ref="H1471:M1471"/>
    <mergeCell ref="N1471:U1471"/>
    <mergeCell ref="V1471:W1471"/>
    <mergeCell ref="X1471:Z1471"/>
    <mergeCell ref="B1472:D1472"/>
    <mergeCell ref="E1472:G1472"/>
    <mergeCell ref="H1472:M1472"/>
    <mergeCell ref="N1472:U1472"/>
    <mergeCell ref="V1472:W1472"/>
    <mergeCell ref="X1474:Z1474"/>
    <mergeCell ref="B1473:D1473"/>
    <mergeCell ref="E1473:G1473"/>
    <mergeCell ref="H1473:M1473"/>
    <mergeCell ref="N1473:U1473"/>
    <mergeCell ref="V1473:W1473"/>
    <mergeCell ref="X1473:Z1473"/>
    <mergeCell ref="B1474:D1474"/>
    <mergeCell ref="E1474:G1474"/>
    <mergeCell ref="H1474:M1474"/>
    <mergeCell ref="N1474:U1474"/>
    <mergeCell ref="V1474:W1474"/>
    <mergeCell ref="X1476:Z1476"/>
    <mergeCell ref="B1475:D1475"/>
    <mergeCell ref="E1475:G1475"/>
    <mergeCell ref="H1475:M1475"/>
    <mergeCell ref="N1475:U1475"/>
    <mergeCell ref="V1475:W1475"/>
    <mergeCell ref="X1475:Z1475"/>
    <mergeCell ref="B1476:D1476"/>
    <mergeCell ref="E1476:G1476"/>
    <mergeCell ref="H1476:M1476"/>
    <mergeCell ref="N1476:U1476"/>
    <mergeCell ref="V1476:W1476"/>
    <mergeCell ref="X1478:Z1478"/>
    <mergeCell ref="B1477:D1477"/>
    <mergeCell ref="E1477:G1477"/>
    <mergeCell ref="H1477:M1477"/>
    <mergeCell ref="N1477:U1477"/>
    <mergeCell ref="V1477:W1477"/>
    <mergeCell ref="X1477:Z1477"/>
    <mergeCell ref="B1478:D1478"/>
    <mergeCell ref="E1478:G1478"/>
    <mergeCell ref="H1478:M1478"/>
    <mergeCell ref="N1478:U1478"/>
    <mergeCell ref="V1478:W1478"/>
    <mergeCell ref="X1480:Z1480"/>
    <mergeCell ref="B1479:D1479"/>
    <mergeCell ref="E1479:G1479"/>
    <mergeCell ref="H1479:M1479"/>
    <mergeCell ref="N1479:U1479"/>
    <mergeCell ref="V1479:W1479"/>
    <mergeCell ref="X1479:Z1479"/>
    <mergeCell ref="B1480:D1480"/>
    <mergeCell ref="E1480:G1480"/>
    <mergeCell ref="H1480:M1480"/>
    <mergeCell ref="N1480:U1480"/>
    <mergeCell ref="V1480:W1480"/>
    <mergeCell ref="X1482:Z1482"/>
    <mergeCell ref="B1481:D1481"/>
    <mergeCell ref="E1481:G1481"/>
    <mergeCell ref="H1481:M1481"/>
    <mergeCell ref="N1481:U1481"/>
    <mergeCell ref="V1481:W1481"/>
    <mergeCell ref="X1481:Z1481"/>
    <mergeCell ref="B1482:D1482"/>
    <mergeCell ref="E1482:G1482"/>
    <mergeCell ref="H1482:M1482"/>
    <mergeCell ref="N1482:U1482"/>
    <mergeCell ref="V1482:W1482"/>
    <mergeCell ref="X1484:Z1484"/>
    <mergeCell ref="B1483:D1483"/>
    <mergeCell ref="E1483:G1483"/>
    <mergeCell ref="H1483:M1483"/>
    <mergeCell ref="N1483:U1483"/>
    <mergeCell ref="V1483:W1483"/>
    <mergeCell ref="X1483:Z1483"/>
    <mergeCell ref="B1484:D1484"/>
    <mergeCell ref="E1484:G1484"/>
    <mergeCell ref="H1484:M1484"/>
    <mergeCell ref="N1484:U1484"/>
    <mergeCell ref="V1484:W1484"/>
    <mergeCell ref="X1486:Z1486"/>
    <mergeCell ref="B1485:D1485"/>
    <mergeCell ref="E1485:G1485"/>
    <mergeCell ref="H1485:M1485"/>
    <mergeCell ref="N1485:U1485"/>
    <mergeCell ref="V1485:W1485"/>
    <mergeCell ref="X1485:Z1485"/>
    <mergeCell ref="B1486:D1486"/>
    <mergeCell ref="E1486:G1486"/>
    <mergeCell ref="H1486:M1486"/>
    <mergeCell ref="N1486:U1486"/>
    <mergeCell ref="V1486:W1486"/>
    <mergeCell ref="X1488:Z1488"/>
    <mergeCell ref="B1487:D1487"/>
    <mergeCell ref="E1487:G1487"/>
    <mergeCell ref="H1487:M1487"/>
    <mergeCell ref="N1487:U1487"/>
    <mergeCell ref="V1487:W1487"/>
    <mergeCell ref="X1487:Z1487"/>
    <mergeCell ref="B1488:D1488"/>
    <mergeCell ref="E1488:G1488"/>
    <mergeCell ref="H1488:M1488"/>
    <mergeCell ref="N1488:U1488"/>
    <mergeCell ref="V1488:W1488"/>
    <mergeCell ref="X1490:Z1490"/>
    <mergeCell ref="B1489:D1489"/>
    <mergeCell ref="E1489:G1489"/>
    <mergeCell ref="H1489:M1489"/>
    <mergeCell ref="N1489:U1489"/>
    <mergeCell ref="V1489:W1489"/>
    <mergeCell ref="X1489:Z1489"/>
    <mergeCell ref="B1490:D1490"/>
    <mergeCell ref="E1490:G1490"/>
    <mergeCell ref="H1490:M1490"/>
    <mergeCell ref="N1490:U1490"/>
    <mergeCell ref="V1490:W1490"/>
    <mergeCell ref="X1492:Z1492"/>
    <mergeCell ref="B1491:D1491"/>
    <mergeCell ref="E1491:G1491"/>
    <mergeCell ref="H1491:M1491"/>
    <mergeCell ref="N1491:U1491"/>
    <mergeCell ref="V1491:W1491"/>
    <mergeCell ref="X1491:Z1491"/>
    <mergeCell ref="B1492:D1492"/>
    <mergeCell ref="E1492:G1492"/>
    <mergeCell ref="H1492:M1492"/>
    <mergeCell ref="N1492:U1492"/>
    <mergeCell ref="V1492:W1492"/>
    <mergeCell ref="X1494:Z1494"/>
    <mergeCell ref="B1493:D1493"/>
    <mergeCell ref="E1493:G1493"/>
    <mergeCell ref="H1493:M1493"/>
    <mergeCell ref="N1493:U1493"/>
    <mergeCell ref="V1493:W1493"/>
    <mergeCell ref="X1493:Z1493"/>
    <mergeCell ref="B1494:D1494"/>
    <mergeCell ref="E1494:G1494"/>
    <mergeCell ref="H1494:M1494"/>
    <mergeCell ref="N1494:U1494"/>
    <mergeCell ref="V1494:W1494"/>
    <mergeCell ref="X1496:Z1496"/>
    <mergeCell ref="B1495:D1495"/>
    <mergeCell ref="E1495:G1495"/>
    <mergeCell ref="H1495:M1495"/>
    <mergeCell ref="N1495:U1495"/>
    <mergeCell ref="V1495:W1495"/>
    <mergeCell ref="X1495:Z1495"/>
    <mergeCell ref="B1496:D1496"/>
    <mergeCell ref="E1496:G1496"/>
    <mergeCell ref="H1496:M1496"/>
    <mergeCell ref="N1496:U1496"/>
    <mergeCell ref="V1496:W1496"/>
    <mergeCell ref="X1498:Z1498"/>
    <mergeCell ref="B1497:D1497"/>
    <mergeCell ref="E1497:G1497"/>
    <mergeCell ref="H1497:M1497"/>
    <mergeCell ref="N1497:U1497"/>
    <mergeCell ref="V1497:W1497"/>
    <mergeCell ref="X1497:Z1497"/>
    <mergeCell ref="B1498:D1498"/>
    <mergeCell ref="E1498:G1498"/>
    <mergeCell ref="H1498:M1498"/>
    <mergeCell ref="N1498:U1498"/>
    <mergeCell ref="V1498:W1498"/>
    <mergeCell ref="X1500:Z1500"/>
    <mergeCell ref="B1499:D1499"/>
    <mergeCell ref="E1499:G1499"/>
    <mergeCell ref="H1499:M1499"/>
    <mergeCell ref="N1499:U1499"/>
    <mergeCell ref="V1499:W1499"/>
    <mergeCell ref="X1499:Z1499"/>
    <mergeCell ref="B1500:D1500"/>
    <mergeCell ref="E1500:G1500"/>
    <mergeCell ref="H1500:M1500"/>
    <mergeCell ref="N1500:U1500"/>
    <mergeCell ref="V1500:W1500"/>
    <mergeCell ref="X1502:Z1502"/>
    <mergeCell ref="B1501:D1501"/>
    <mergeCell ref="E1501:G1501"/>
    <mergeCell ref="H1501:M1501"/>
    <mergeCell ref="N1501:U1501"/>
    <mergeCell ref="V1501:W1501"/>
    <mergeCell ref="X1501:Z1501"/>
    <mergeCell ref="B1502:D1502"/>
    <mergeCell ref="E1502:G1502"/>
    <mergeCell ref="H1502:M1502"/>
    <mergeCell ref="N1502:U1502"/>
    <mergeCell ref="V1502:W1502"/>
    <mergeCell ref="X1504:Z1504"/>
    <mergeCell ref="B1503:D1503"/>
    <mergeCell ref="E1503:G1503"/>
    <mergeCell ref="H1503:M1503"/>
    <mergeCell ref="N1503:U1503"/>
    <mergeCell ref="V1503:W1503"/>
    <mergeCell ref="X1503:Z1503"/>
    <mergeCell ref="B1504:D1504"/>
    <mergeCell ref="E1504:G1504"/>
    <mergeCell ref="H1504:M1504"/>
    <mergeCell ref="N1504:U1504"/>
    <mergeCell ref="V1504:W1504"/>
    <mergeCell ref="X1506:Z1506"/>
    <mergeCell ref="B1505:D1505"/>
    <mergeCell ref="E1505:G1505"/>
    <mergeCell ref="H1505:M1505"/>
    <mergeCell ref="N1505:U1505"/>
    <mergeCell ref="V1505:W1505"/>
    <mergeCell ref="X1505:Z1505"/>
    <mergeCell ref="B1506:D1506"/>
    <mergeCell ref="E1506:G1506"/>
    <mergeCell ref="H1506:M1506"/>
    <mergeCell ref="N1506:U1506"/>
    <mergeCell ref="V1506:W1506"/>
    <mergeCell ref="X1508:Z1508"/>
    <mergeCell ref="B1507:D1507"/>
    <mergeCell ref="E1507:G1507"/>
    <mergeCell ref="H1507:M1507"/>
    <mergeCell ref="N1507:U1507"/>
    <mergeCell ref="V1507:W1507"/>
    <mergeCell ref="X1507:Z1507"/>
    <mergeCell ref="B1508:D1508"/>
    <mergeCell ref="E1508:G1508"/>
    <mergeCell ref="H1508:M1508"/>
    <mergeCell ref="N1508:U1508"/>
    <mergeCell ref="V1508:W1508"/>
    <mergeCell ref="X1510:Z1510"/>
    <mergeCell ref="B1509:D1509"/>
    <mergeCell ref="E1509:G1509"/>
    <mergeCell ref="H1509:M1509"/>
    <mergeCell ref="N1509:U1509"/>
    <mergeCell ref="V1509:W1509"/>
    <mergeCell ref="X1509:Z1509"/>
    <mergeCell ref="B1510:D1510"/>
    <mergeCell ref="E1510:G1510"/>
    <mergeCell ref="H1510:M1510"/>
    <mergeCell ref="N1510:U1510"/>
    <mergeCell ref="V1510:W1510"/>
    <mergeCell ref="X1512:Z1512"/>
    <mergeCell ref="B1511:D1511"/>
    <mergeCell ref="E1511:G1511"/>
    <mergeCell ref="H1511:M1511"/>
    <mergeCell ref="N1511:U1511"/>
    <mergeCell ref="V1511:W1511"/>
    <mergeCell ref="X1511:Z1511"/>
    <mergeCell ref="B1512:D1512"/>
    <mergeCell ref="E1512:G1512"/>
    <mergeCell ref="H1512:M1512"/>
    <mergeCell ref="N1512:U1512"/>
    <mergeCell ref="V1512:W1512"/>
    <mergeCell ref="X1514:Z1514"/>
    <mergeCell ref="B1513:D1513"/>
    <mergeCell ref="E1513:G1513"/>
    <mergeCell ref="H1513:M1513"/>
    <mergeCell ref="N1513:U1513"/>
    <mergeCell ref="V1513:W1513"/>
    <mergeCell ref="X1513:Z1513"/>
    <mergeCell ref="B1514:D1514"/>
    <mergeCell ref="E1514:G1514"/>
    <mergeCell ref="H1514:M1514"/>
    <mergeCell ref="N1514:U1514"/>
    <mergeCell ref="V1514:W1514"/>
    <mergeCell ref="X1516:Z1516"/>
    <mergeCell ref="B1515:D1515"/>
    <mergeCell ref="E1515:G1515"/>
    <mergeCell ref="H1515:M1515"/>
    <mergeCell ref="N1515:U1515"/>
    <mergeCell ref="V1515:W1515"/>
    <mergeCell ref="X1515:Z1515"/>
    <mergeCell ref="B1516:D1516"/>
    <mergeCell ref="E1516:G1516"/>
    <mergeCell ref="H1516:M1516"/>
    <mergeCell ref="N1516:U1516"/>
    <mergeCell ref="V1516:W1516"/>
    <mergeCell ref="X1518:Z1518"/>
    <mergeCell ref="B1517:D1517"/>
    <mergeCell ref="E1517:G1517"/>
    <mergeCell ref="H1517:M1517"/>
    <mergeCell ref="N1517:U1517"/>
    <mergeCell ref="V1517:W1517"/>
    <mergeCell ref="X1517:Z1517"/>
    <mergeCell ref="B1518:D1518"/>
    <mergeCell ref="E1518:G1518"/>
    <mergeCell ref="H1518:M1518"/>
    <mergeCell ref="N1518:U1518"/>
    <mergeCell ref="V1518:W1518"/>
    <mergeCell ref="X1520:Z1520"/>
    <mergeCell ref="B1519:D1519"/>
    <mergeCell ref="E1519:G1519"/>
    <mergeCell ref="H1519:M1519"/>
    <mergeCell ref="N1519:U1519"/>
    <mergeCell ref="V1519:W1519"/>
    <mergeCell ref="X1519:Z1519"/>
    <mergeCell ref="B1520:D1520"/>
    <mergeCell ref="E1520:G1520"/>
    <mergeCell ref="H1520:M1520"/>
    <mergeCell ref="N1520:U1520"/>
    <mergeCell ref="V1520:W1520"/>
    <mergeCell ref="X1522:Z1522"/>
    <mergeCell ref="B1521:D1521"/>
    <mergeCell ref="E1521:G1521"/>
    <mergeCell ref="H1521:M1521"/>
    <mergeCell ref="N1521:U1521"/>
    <mergeCell ref="V1521:W1521"/>
    <mergeCell ref="X1521:Z1521"/>
    <mergeCell ref="B1522:D1522"/>
    <mergeCell ref="E1522:G1522"/>
    <mergeCell ref="H1522:M1522"/>
    <mergeCell ref="N1522:U1522"/>
    <mergeCell ref="V1522:W1522"/>
    <mergeCell ref="X1524:Z1524"/>
    <mergeCell ref="B1523:D1523"/>
    <mergeCell ref="E1523:G1523"/>
    <mergeCell ref="H1523:M1523"/>
    <mergeCell ref="N1523:U1523"/>
    <mergeCell ref="V1523:W1523"/>
    <mergeCell ref="X1523:Z1523"/>
    <mergeCell ref="B1524:D1524"/>
    <mergeCell ref="E1524:G1524"/>
    <mergeCell ref="H1524:M1524"/>
    <mergeCell ref="N1524:U1524"/>
    <mergeCell ref="V1524:W1524"/>
    <mergeCell ref="X1526:Z1526"/>
    <mergeCell ref="B1525:D1525"/>
    <mergeCell ref="E1525:G1525"/>
    <mergeCell ref="H1525:M1525"/>
    <mergeCell ref="N1525:U1525"/>
    <mergeCell ref="V1525:W1525"/>
    <mergeCell ref="X1525:Z1525"/>
    <mergeCell ref="B1526:D1526"/>
    <mergeCell ref="E1526:G1526"/>
    <mergeCell ref="H1526:M1526"/>
    <mergeCell ref="N1526:U1526"/>
    <mergeCell ref="V1526:W1526"/>
    <mergeCell ref="X1528:Z1528"/>
    <mergeCell ref="B1527:D1527"/>
    <mergeCell ref="E1527:G1527"/>
    <mergeCell ref="H1527:M1527"/>
    <mergeCell ref="N1527:U1527"/>
    <mergeCell ref="V1527:W1527"/>
    <mergeCell ref="X1527:Z1527"/>
    <mergeCell ref="B1528:D1528"/>
    <mergeCell ref="E1528:G1528"/>
    <mergeCell ref="H1528:M1528"/>
    <mergeCell ref="N1528:U1528"/>
    <mergeCell ref="V1528:W1528"/>
    <mergeCell ref="X1530:Z1530"/>
    <mergeCell ref="B1529:D1529"/>
    <mergeCell ref="E1529:G1529"/>
    <mergeCell ref="H1529:M1529"/>
    <mergeCell ref="N1529:U1529"/>
    <mergeCell ref="V1529:W1529"/>
    <mergeCell ref="X1529:Z1529"/>
    <mergeCell ref="B1530:D1530"/>
    <mergeCell ref="E1530:G1530"/>
    <mergeCell ref="H1530:M1530"/>
    <mergeCell ref="N1530:U1530"/>
    <mergeCell ref="V1530:W1530"/>
    <mergeCell ref="X1532:Z1532"/>
    <mergeCell ref="B1531:D1531"/>
    <mergeCell ref="E1531:G1531"/>
    <mergeCell ref="H1531:M1531"/>
    <mergeCell ref="N1531:U1531"/>
    <mergeCell ref="V1531:W1531"/>
    <mergeCell ref="X1531:Z1531"/>
    <mergeCell ref="B1532:D1532"/>
    <mergeCell ref="E1532:G1532"/>
    <mergeCell ref="H1532:M1532"/>
    <mergeCell ref="N1532:U1532"/>
    <mergeCell ref="V1532:W1532"/>
    <mergeCell ref="X1534:Z1534"/>
    <mergeCell ref="B1533:D1533"/>
    <mergeCell ref="E1533:G1533"/>
    <mergeCell ref="H1533:M1533"/>
    <mergeCell ref="N1533:U1533"/>
    <mergeCell ref="V1533:W1533"/>
    <mergeCell ref="X1533:Z1533"/>
    <mergeCell ref="B1534:D1534"/>
    <mergeCell ref="E1534:G1534"/>
    <mergeCell ref="H1534:M1534"/>
    <mergeCell ref="N1534:U1534"/>
    <mergeCell ref="V1534:W1534"/>
    <mergeCell ref="X1536:Z1536"/>
    <mergeCell ref="B1535:D1535"/>
    <mergeCell ref="E1535:G1535"/>
    <mergeCell ref="H1535:M1535"/>
    <mergeCell ref="N1535:U1535"/>
    <mergeCell ref="V1535:W1535"/>
    <mergeCell ref="X1535:Z1535"/>
    <mergeCell ref="B1536:D1536"/>
    <mergeCell ref="E1536:G1536"/>
    <mergeCell ref="H1536:M1536"/>
    <mergeCell ref="N1536:U1536"/>
    <mergeCell ref="V1536:W1536"/>
    <mergeCell ref="X1538:Z1538"/>
    <mergeCell ref="B1537:D1537"/>
    <mergeCell ref="E1537:G1537"/>
    <mergeCell ref="H1537:M1537"/>
    <mergeCell ref="N1537:U1537"/>
    <mergeCell ref="V1537:W1537"/>
    <mergeCell ref="X1537:Z1537"/>
    <mergeCell ref="B1538:D1538"/>
    <mergeCell ref="E1538:G1538"/>
    <mergeCell ref="H1538:M1538"/>
    <mergeCell ref="N1538:U1538"/>
    <mergeCell ref="V1538:W1538"/>
    <mergeCell ref="X1540:Z1540"/>
    <mergeCell ref="B1539:D1539"/>
    <mergeCell ref="E1539:G1539"/>
    <mergeCell ref="H1539:M1539"/>
    <mergeCell ref="N1539:U1539"/>
    <mergeCell ref="V1539:W1539"/>
    <mergeCell ref="X1539:Z1539"/>
    <mergeCell ref="B1540:D1540"/>
    <mergeCell ref="E1540:G1540"/>
    <mergeCell ref="H1540:M1540"/>
    <mergeCell ref="N1540:U1540"/>
    <mergeCell ref="V1540:W1540"/>
    <mergeCell ref="X1542:Z1542"/>
    <mergeCell ref="B1541:D1541"/>
    <mergeCell ref="E1541:G1541"/>
    <mergeCell ref="H1541:M1541"/>
    <mergeCell ref="N1541:U1541"/>
    <mergeCell ref="V1541:W1541"/>
    <mergeCell ref="X1541:Z1541"/>
    <mergeCell ref="B1542:D1542"/>
    <mergeCell ref="E1542:G1542"/>
    <mergeCell ref="H1542:M1542"/>
    <mergeCell ref="N1542:U1542"/>
    <mergeCell ref="V1542:W1542"/>
    <mergeCell ref="X1544:Z1544"/>
    <mergeCell ref="B1543:D1543"/>
    <mergeCell ref="E1543:G1543"/>
    <mergeCell ref="H1543:M1543"/>
    <mergeCell ref="N1543:U1543"/>
    <mergeCell ref="V1543:W1543"/>
    <mergeCell ref="X1543:Z1543"/>
    <mergeCell ref="B1544:D1544"/>
    <mergeCell ref="E1544:G1544"/>
    <mergeCell ref="H1544:M1544"/>
    <mergeCell ref="N1544:U1544"/>
    <mergeCell ref="V1544:W1544"/>
    <mergeCell ref="X1546:Z1546"/>
    <mergeCell ref="B1545:D1545"/>
    <mergeCell ref="E1545:G1545"/>
    <mergeCell ref="H1545:M1545"/>
    <mergeCell ref="N1545:U1545"/>
    <mergeCell ref="V1545:W1545"/>
    <mergeCell ref="X1545:Z1545"/>
    <mergeCell ref="B1546:D1546"/>
    <mergeCell ref="E1546:G1546"/>
    <mergeCell ref="H1546:M1546"/>
    <mergeCell ref="N1546:U1546"/>
    <mergeCell ref="V1546:W1546"/>
    <mergeCell ref="X1548:Z1548"/>
    <mergeCell ref="B1547:D1547"/>
    <mergeCell ref="E1547:G1547"/>
    <mergeCell ref="H1547:M1547"/>
    <mergeCell ref="N1547:U1547"/>
    <mergeCell ref="V1547:W1547"/>
    <mergeCell ref="X1547:Z1547"/>
    <mergeCell ref="B1548:D1548"/>
    <mergeCell ref="E1548:G1548"/>
    <mergeCell ref="H1548:M1548"/>
    <mergeCell ref="N1548:U1548"/>
    <mergeCell ref="V1548:W1548"/>
    <mergeCell ref="X1550:Z1550"/>
    <mergeCell ref="B1549:D1549"/>
    <mergeCell ref="E1549:G1549"/>
    <mergeCell ref="H1549:M1549"/>
    <mergeCell ref="N1549:U1549"/>
    <mergeCell ref="V1549:W1549"/>
    <mergeCell ref="X1549:Z1549"/>
    <mergeCell ref="B1550:D1550"/>
    <mergeCell ref="E1550:G1550"/>
    <mergeCell ref="H1550:M1550"/>
    <mergeCell ref="N1550:U1550"/>
    <mergeCell ref="V1550:W1550"/>
    <mergeCell ref="X1552:Z1552"/>
    <mergeCell ref="B1551:D1551"/>
    <mergeCell ref="E1551:G1551"/>
    <mergeCell ref="H1551:M1551"/>
    <mergeCell ref="N1551:U1551"/>
    <mergeCell ref="V1551:W1551"/>
    <mergeCell ref="X1551:Z1551"/>
    <mergeCell ref="B1552:D1552"/>
    <mergeCell ref="E1552:G1552"/>
    <mergeCell ref="H1552:M1552"/>
    <mergeCell ref="N1552:U1552"/>
    <mergeCell ref="V1552:W1552"/>
    <mergeCell ref="X1554:Z1554"/>
    <mergeCell ref="B1553:D1553"/>
    <mergeCell ref="E1553:G1553"/>
    <mergeCell ref="H1553:M1553"/>
    <mergeCell ref="N1553:U1553"/>
    <mergeCell ref="V1553:W1553"/>
    <mergeCell ref="X1553:Z1553"/>
    <mergeCell ref="B1554:D1554"/>
    <mergeCell ref="E1554:G1554"/>
    <mergeCell ref="H1554:M1554"/>
    <mergeCell ref="N1554:U1554"/>
    <mergeCell ref="V1554:W1554"/>
    <mergeCell ref="X1556:Z1556"/>
    <mergeCell ref="B1555:D1555"/>
    <mergeCell ref="E1555:G1555"/>
    <mergeCell ref="H1555:M1555"/>
    <mergeCell ref="N1555:U1555"/>
    <mergeCell ref="V1555:W1555"/>
    <mergeCell ref="X1555:Z1555"/>
    <mergeCell ref="B1556:D1556"/>
    <mergeCell ref="E1556:G1556"/>
    <mergeCell ref="H1556:M1556"/>
    <mergeCell ref="N1556:U1556"/>
    <mergeCell ref="V1556:W1556"/>
    <mergeCell ref="X1558:Z1558"/>
    <mergeCell ref="B1557:D1557"/>
    <mergeCell ref="E1557:G1557"/>
    <mergeCell ref="H1557:M1557"/>
    <mergeCell ref="N1557:U1557"/>
    <mergeCell ref="V1557:W1557"/>
    <mergeCell ref="X1557:Z1557"/>
    <mergeCell ref="B1558:D1558"/>
    <mergeCell ref="E1558:G1558"/>
    <mergeCell ref="H1558:M1558"/>
    <mergeCell ref="N1558:U1558"/>
    <mergeCell ref="V1558:W1558"/>
    <mergeCell ref="X1560:Z1560"/>
    <mergeCell ref="B1559:D1559"/>
    <mergeCell ref="E1559:G1559"/>
    <mergeCell ref="H1559:M1559"/>
    <mergeCell ref="N1559:U1559"/>
    <mergeCell ref="V1559:W1559"/>
    <mergeCell ref="X1559:Z1559"/>
    <mergeCell ref="B1560:D1560"/>
    <mergeCell ref="E1560:G1560"/>
    <mergeCell ref="H1560:M1560"/>
    <mergeCell ref="N1560:U1560"/>
    <mergeCell ref="V1560:W1560"/>
    <mergeCell ref="X1562:Z1562"/>
    <mergeCell ref="B1561:D1561"/>
    <mergeCell ref="E1561:G1561"/>
    <mergeCell ref="H1561:M1561"/>
    <mergeCell ref="N1561:U1561"/>
    <mergeCell ref="V1561:W1561"/>
    <mergeCell ref="X1561:Z1561"/>
    <mergeCell ref="B1562:D1562"/>
    <mergeCell ref="E1562:G1562"/>
    <mergeCell ref="H1562:M1562"/>
    <mergeCell ref="N1562:U1562"/>
    <mergeCell ref="V1562:W1562"/>
    <mergeCell ref="X1564:Z1564"/>
    <mergeCell ref="B1563:D1563"/>
    <mergeCell ref="E1563:G1563"/>
    <mergeCell ref="H1563:M1563"/>
    <mergeCell ref="N1563:U1563"/>
    <mergeCell ref="V1563:W1563"/>
    <mergeCell ref="X1563:Z1563"/>
    <mergeCell ref="B1564:D1564"/>
    <mergeCell ref="E1564:G1564"/>
    <mergeCell ref="H1564:M1564"/>
    <mergeCell ref="N1564:U1564"/>
    <mergeCell ref="V1564:W1564"/>
    <mergeCell ref="X1566:Z1566"/>
    <mergeCell ref="B1565:D1565"/>
    <mergeCell ref="E1565:G1565"/>
    <mergeCell ref="H1565:M1565"/>
    <mergeCell ref="N1565:U1565"/>
    <mergeCell ref="V1565:W1565"/>
    <mergeCell ref="X1565:Z1565"/>
    <mergeCell ref="B1566:D1566"/>
    <mergeCell ref="E1566:G1566"/>
    <mergeCell ref="H1566:M1566"/>
    <mergeCell ref="N1566:U1566"/>
    <mergeCell ref="V1566:W1566"/>
    <mergeCell ref="X1568:Z1568"/>
    <mergeCell ref="B1567:D1567"/>
    <mergeCell ref="E1567:G1567"/>
    <mergeCell ref="H1567:M1567"/>
    <mergeCell ref="N1567:U1567"/>
    <mergeCell ref="V1567:W1567"/>
    <mergeCell ref="X1567:Z1567"/>
    <mergeCell ref="B1568:D1568"/>
    <mergeCell ref="E1568:G1568"/>
    <mergeCell ref="H1568:M1568"/>
    <mergeCell ref="N1568:U1568"/>
    <mergeCell ref="V1568:W1568"/>
    <mergeCell ref="X1570:Z1570"/>
    <mergeCell ref="B1569:D1569"/>
    <mergeCell ref="E1569:G1569"/>
    <mergeCell ref="H1569:M1569"/>
    <mergeCell ref="N1569:U1569"/>
    <mergeCell ref="V1569:W1569"/>
    <mergeCell ref="X1569:Z1569"/>
    <mergeCell ref="B1570:D1570"/>
    <mergeCell ref="E1570:G1570"/>
    <mergeCell ref="H1570:M1570"/>
    <mergeCell ref="N1570:U1570"/>
    <mergeCell ref="V1570:W1570"/>
    <mergeCell ref="X1572:Z1572"/>
    <mergeCell ref="B1571:D1571"/>
    <mergeCell ref="E1571:G1571"/>
    <mergeCell ref="H1571:M1571"/>
    <mergeCell ref="N1571:U1571"/>
    <mergeCell ref="V1571:W1571"/>
    <mergeCell ref="X1571:Z1571"/>
    <mergeCell ref="B1572:D1572"/>
    <mergeCell ref="E1572:G1572"/>
    <mergeCell ref="H1572:M1572"/>
    <mergeCell ref="N1572:U1572"/>
    <mergeCell ref="V1572:W1572"/>
    <mergeCell ref="X1574:Z1574"/>
    <mergeCell ref="B1573:D1573"/>
    <mergeCell ref="E1573:G1573"/>
    <mergeCell ref="H1573:M1573"/>
    <mergeCell ref="N1573:U1573"/>
    <mergeCell ref="V1573:W1573"/>
    <mergeCell ref="X1573:Z1573"/>
    <mergeCell ref="B1574:D1574"/>
    <mergeCell ref="E1574:G1574"/>
    <mergeCell ref="H1574:M1574"/>
    <mergeCell ref="N1574:U1574"/>
    <mergeCell ref="V1574:W1574"/>
    <mergeCell ref="X1576:Z1576"/>
    <mergeCell ref="B1575:D1575"/>
    <mergeCell ref="E1575:G1575"/>
    <mergeCell ref="H1575:M1575"/>
    <mergeCell ref="N1575:U1575"/>
    <mergeCell ref="V1575:W1575"/>
    <mergeCell ref="X1575:Z1575"/>
    <mergeCell ref="B1576:D1576"/>
    <mergeCell ref="E1576:G1576"/>
    <mergeCell ref="H1576:M1576"/>
    <mergeCell ref="N1576:U1576"/>
    <mergeCell ref="V1576:W1576"/>
    <mergeCell ref="X1578:Z1578"/>
    <mergeCell ref="B1577:D1577"/>
    <mergeCell ref="E1577:G1577"/>
    <mergeCell ref="H1577:M1577"/>
    <mergeCell ref="N1577:U1577"/>
    <mergeCell ref="V1577:W1577"/>
    <mergeCell ref="X1577:Z1577"/>
    <mergeCell ref="B1578:D1578"/>
    <mergeCell ref="E1578:G1578"/>
    <mergeCell ref="H1578:M1578"/>
    <mergeCell ref="N1578:U1578"/>
    <mergeCell ref="V1578:W1578"/>
    <mergeCell ref="X1580:Z1580"/>
    <mergeCell ref="B1579:D1579"/>
    <mergeCell ref="E1579:G1579"/>
    <mergeCell ref="H1579:M1579"/>
    <mergeCell ref="N1579:U1579"/>
    <mergeCell ref="V1579:W1579"/>
    <mergeCell ref="X1579:Z1579"/>
    <mergeCell ref="B1580:D1580"/>
    <mergeCell ref="E1580:G1580"/>
    <mergeCell ref="H1580:M1580"/>
    <mergeCell ref="N1580:U1580"/>
    <mergeCell ref="V1580:W1580"/>
    <mergeCell ref="X1582:Z1582"/>
    <mergeCell ref="B1581:D1581"/>
    <mergeCell ref="E1581:G1581"/>
    <mergeCell ref="H1581:M1581"/>
    <mergeCell ref="N1581:U1581"/>
    <mergeCell ref="V1581:W1581"/>
    <mergeCell ref="X1581:Z1581"/>
    <mergeCell ref="B1582:D1582"/>
    <mergeCell ref="E1582:G1582"/>
    <mergeCell ref="H1582:M1582"/>
    <mergeCell ref="N1582:U1582"/>
    <mergeCell ref="V1582:W1582"/>
    <mergeCell ref="X1584:Z1584"/>
    <mergeCell ref="B1583:D1583"/>
    <mergeCell ref="E1583:G1583"/>
    <mergeCell ref="H1583:M1583"/>
    <mergeCell ref="N1583:U1583"/>
    <mergeCell ref="V1583:W1583"/>
    <mergeCell ref="X1583:Z1583"/>
    <mergeCell ref="B1584:D1584"/>
    <mergeCell ref="E1584:G1584"/>
    <mergeCell ref="H1584:M1584"/>
    <mergeCell ref="N1584:U1584"/>
    <mergeCell ref="V1584:W1584"/>
    <mergeCell ref="X1586:Z1586"/>
    <mergeCell ref="B1585:D1585"/>
    <mergeCell ref="E1585:G1585"/>
    <mergeCell ref="H1585:M1585"/>
    <mergeCell ref="N1585:U1585"/>
    <mergeCell ref="V1585:W1585"/>
    <mergeCell ref="X1585:Z1585"/>
    <mergeCell ref="B1586:D1586"/>
    <mergeCell ref="E1586:G1586"/>
    <mergeCell ref="H1586:M1586"/>
    <mergeCell ref="N1586:U1586"/>
    <mergeCell ref="V1586:W1586"/>
    <mergeCell ref="X1588:Z1588"/>
    <mergeCell ref="B1587:D1587"/>
    <mergeCell ref="E1587:G1587"/>
    <mergeCell ref="H1587:M1587"/>
    <mergeCell ref="N1587:U1587"/>
    <mergeCell ref="V1587:W1587"/>
    <mergeCell ref="X1587:Z1587"/>
    <mergeCell ref="B1588:D1588"/>
    <mergeCell ref="E1588:G1588"/>
    <mergeCell ref="H1588:M1588"/>
    <mergeCell ref="N1588:U1588"/>
    <mergeCell ref="V1588:W1588"/>
    <mergeCell ref="X1590:Z1590"/>
    <mergeCell ref="B1589:D1589"/>
    <mergeCell ref="E1589:G1589"/>
    <mergeCell ref="H1589:M1589"/>
    <mergeCell ref="N1589:U1589"/>
    <mergeCell ref="V1589:W1589"/>
    <mergeCell ref="X1589:Z1589"/>
    <mergeCell ref="B1590:D1590"/>
    <mergeCell ref="E1590:G1590"/>
    <mergeCell ref="H1590:M1590"/>
    <mergeCell ref="N1590:U1590"/>
    <mergeCell ref="V1590:W1590"/>
    <mergeCell ref="X1592:Z1592"/>
    <mergeCell ref="B1591:D1591"/>
    <mergeCell ref="E1591:G1591"/>
    <mergeCell ref="H1591:M1591"/>
    <mergeCell ref="N1591:U1591"/>
    <mergeCell ref="V1591:W1591"/>
    <mergeCell ref="X1591:Z1591"/>
    <mergeCell ref="B1592:D1592"/>
    <mergeCell ref="E1592:G1592"/>
    <mergeCell ref="H1592:M1592"/>
    <mergeCell ref="N1592:U1592"/>
    <mergeCell ref="V1592:W1592"/>
    <mergeCell ref="X1594:Z1594"/>
    <mergeCell ref="B1593:D1593"/>
    <mergeCell ref="E1593:G1593"/>
    <mergeCell ref="H1593:M1593"/>
    <mergeCell ref="N1593:U1593"/>
    <mergeCell ref="V1593:W1593"/>
    <mergeCell ref="X1593:Z1593"/>
    <mergeCell ref="B1594:D1594"/>
    <mergeCell ref="E1594:G1594"/>
    <mergeCell ref="H1594:M1594"/>
    <mergeCell ref="N1594:U1594"/>
    <mergeCell ref="V1594:W1594"/>
    <mergeCell ref="X1596:Z1596"/>
    <mergeCell ref="B1595:D1595"/>
    <mergeCell ref="E1595:G1595"/>
    <mergeCell ref="H1595:M1595"/>
    <mergeCell ref="N1595:U1595"/>
    <mergeCell ref="V1595:W1595"/>
    <mergeCell ref="X1595:Z1595"/>
    <mergeCell ref="B1596:D1596"/>
    <mergeCell ref="E1596:G1596"/>
    <mergeCell ref="H1596:M1596"/>
    <mergeCell ref="N1596:U1596"/>
    <mergeCell ref="V1596:W1596"/>
    <mergeCell ref="X1598:Z1598"/>
    <mergeCell ref="B1597:D1597"/>
    <mergeCell ref="E1597:G1597"/>
    <mergeCell ref="H1597:M1597"/>
    <mergeCell ref="N1597:U1597"/>
    <mergeCell ref="V1597:W1597"/>
    <mergeCell ref="X1597:Z1597"/>
    <mergeCell ref="B1598:D1598"/>
    <mergeCell ref="E1598:G1598"/>
    <mergeCell ref="H1598:M1598"/>
    <mergeCell ref="N1598:U1598"/>
    <mergeCell ref="V1598:W1598"/>
    <mergeCell ref="X1600:Z1600"/>
    <mergeCell ref="B1599:D1599"/>
    <mergeCell ref="E1599:G1599"/>
    <mergeCell ref="H1599:M1599"/>
    <mergeCell ref="N1599:U1599"/>
    <mergeCell ref="V1599:W1599"/>
    <mergeCell ref="X1599:Z1599"/>
    <mergeCell ref="B1600:D1600"/>
    <mergeCell ref="E1600:G1600"/>
    <mergeCell ref="H1600:M1600"/>
    <mergeCell ref="N1600:U1600"/>
    <mergeCell ref="V1600:W1600"/>
    <mergeCell ref="X1602:Z1602"/>
    <mergeCell ref="B1601:D1601"/>
    <mergeCell ref="E1601:G1601"/>
    <mergeCell ref="H1601:M1601"/>
    <mergeCell ref="N1601:U1601"/>
    <mergeCell ref="V1601:W1601"/>
    <mergeCell ref="X1601:Z1601"/>
    <mergeCell ref="B1602:D1602"/>
    <mergeCell ref="E1602:G1602"/>
    <mergeCell ref="H1602:M1602"/>
    <mergeCell ref="N1602:U1602"/>
    <mergeCell ref="V1602:W1602"/>
    <mergeCell ref="X1604:Z1604"/>
    <mergeCell ref="B1603:D1603"/>
    <mergeCell ref="E1603:G1603"/>
    <mergeCell ref="H1603:M1603"/>
    <mergeCell ref="N1603:U1603"/>
    <mergeCell ref="V1603:W1603"/>
    <mergeCell ref="X1603:Z1603"/>
    <mergeCell ref="B1604:D1604"/>
    <mergeCell ref="E1604:G1604"/>
    <mergeCell ref="H1604:M1604"/>
    <mergeCell ref="N1604:U1604"/>
    <mergeCell ref="V1604:W1604"/>
    <mergeCell ref="X1606:Z1606"/>
    <mergeCell ref="B1605:D1605"/>
    <mergeCell ref="E1605:G1605"/>
    <mergeCell ref="H1605:M1605"/>
    <mergeCell ref="N1605:U1605"/>
    <mergeCell ref="V1605:W1605"/>
    <mergeCell ref="X1605:Z1605"/>
    <mergeCell ref="B1606:D1606"/>
    <mergeCell ref="E1606:G1606"/>
    <mergeCell ref="H1606:M1606"/>
    <mergeCell ref="N1606:U1606"/>
    <mergeCell ref="V1606:W1606"/>
    <mergeCell ref="X1608:Z1608"/>
    <mergeCell ref="B1607:D1607"/>
    <mergeCell ref="E1607:G1607"/>
    <mergeCell ref="H1607:M1607"/>
    <mergeCell ref="N1607:U1607"/>
    <mergeCell ref="V1607:W1607"/>
    <mergeCell ref="X1607:Z1607"/>
    <mergeCell ref="B1608:D1608"/>
    <mergeCell ref="E1608:G1608"/>
    <mergeCell ref="H1608:M1608"/>
    <mergeCell ref="N1608:U1608"/>
    <mergeCell ref="V1608:W1608"/>
    <mergeCell ref="X1610:Z1610"/>
    <mergeCell ref="B1609:D1609"/>
    <mergeCell ref="E1609:G1609"/>
    <mergeCell ref="H1609:M1609"/>
    <mergeCell ref="N1609:U1609"/>
    <mergeCell ref="V1609:W1609"/>
    <mergeCell ref="X1609:Z1609"/>
    <mergeCell ref="B1610:D1610"/>
    <mergeCell ref="E1610:G1610"/>
    <mergeCell ref="H1610:M1610"/>
    <mergeCell ref="N1610:U1610"/>
    <mergeCell ref="V1610:W1610"/>
    <mergeCell ref="X1612:Z1612"/>
    <mergeCell ref="B1611:D1611"/>
    <mergeCell ref="E1611:G1611"/>
    <mergeCell ref="H1611:M1611"/>
    <mergeCell ref="N1611:U1611"/>
    <mergeCell ref="V1611:W1611"/>
    <mergeCell ref="X1611:Z1611"/>
    <mergeCell ref="B1612:D1612"/>
    <mergeCell ref="E1612:G1612"/>
    <mergeCell ref="H1612:M1612"/>
    <mergeCell ref="N1612:U1612"/>
    <mergeCell ref="V1612:W1612"/>
    <mergeCell ref="X1614:Z1614"/>
    <mergeCell ref="B1613:D1613"/>
    <mergeCell ref="E1613:G1613"/>
    <mergeCell ref="H1613:M1613"/>
    <mergeCell ref="N1613:U1613"/>
    <mergeCell ref="V1613:W1613"/>
    <mergeCell ref="X1613:Z1613"/>
    <mergeCell ref="B1614:D1614"/>
    <mergeCell ref="E1614:G1614"/>
    <mergeCell ref="H1614:M1614"/>
    <mergeCell ref="N1614:U1614"/>
    <mergeCell ref="V1614:W1614"/>
    <mergeCell ref="X1616:Z1616"/>
    <mergeCell ref="B1615:D1615"/>
    <mergeCell ref="E1615:G1615"/>
    <mergeCell ref="H1615:M1615"/>
    <mergeCell ref="N1615:U1615"/>
    <mergeCell ref="V1615:W1615"/>
    <mergeCell ref="X1615:Z1615"/>
    <mergeCell ref="B1616:D1616"/>
    <mergeCell ref="E1616:G1616"/>
    <mergeCell ref="H1616:M1616"/>
    <mergeCell ref="N1616:U1616"/>
    <mergeCell ref="V1616:W1616"/>
    <mergeCell ref="X1618:Z1618"/>
    <mergeCell ref="B1617:D1617"/>
    <mergeCell ref="E1617:G1617"/>
    <mergeCell ref="H1617:M1617"/>
    <mergeCell ref="N1617:U1617"/>
    <mergeCell ref="V1617:W1617"/>
    <mergeCell ref="X1617:Z1617"/>
    <mergeCell ref="B1618:D1618"/>
    <mergeCell ref="E1618:G1618"/>
    <mergeCell ref="H1618:M1618"/>
    <mergeCell ref="N1618:U1618"/>
    <mergeCell ref="V1618:W1618"/>
    <mergeCell ref="X1620:Z1620"/>
    <mergeCell ref="B1619:D1619"/>
    <mergeCell ref="E1619:G1619"/>
    <mergeCell ref="H1619:M1619"/>
    <mergeCell ref="N1619:U1619"/>
    <mergeCell ref="V1619:W1619"/>
    <mergeCell ref="X1619:Z1619"/>
    <mergeCell ref="B1620:D1620"/>
    <mergeCell ref="E1620:G1620"/>
    <mergeCell ref="H1620:M1620"/>
    <mergeCell ref="N1620:U1620"/>
    <mergeCell ref="V1620:W1620"/>
    <mergeCell ref="X1622:Z1622"/>
    <mergeCell ref="B1621:D1621"/>
    <mergeCell ref="E1621:G1621"/>
    <mergeCell ref="H1621:M1621"/>
    <mergeCell ref="N1621:U1621"/>
    <mergeCell ref="V1621:W1621"/>
    <mergeCell ref="X1621:Z1621"/>
    <mergeCell ref="B1622:D1622"/>
    <mergeCell ref="E1622:G1622"/>
    <mergeCell ref="H1622:M1622"/>
    <mergeCell ref="N1622:U1622"/>
    <mergeCell ref="V1622:W1622"/>
    <mergeCell ref="X1624:Z1624"/>
    <mergeCell ref="B1623:D1623"/>
    <mergeCell ref="E1623:G1623"/>
    <mergeCell ref="H1623:M1623"/>
    <mergeCell ref="N1623:U1623"/>
    <mergeCell ref="V1623:W1623"/>
    <mergeCell ref="X1623:Z1623"/>
    <mergeCell ref="B1624:D1624"/>
    <mergeCell ref="E1624:G1624"/>
    <mergeCell ref="H1624:M1624"/>
    <mergeCell ref="N1624:U1624"/>
    <mergeCell ref="V1624:W1624"/>
    <mergeCell ref="X1626:Z1626"/>
    <mergeCell ref="B1625:D1625"/>
    <mergeCell ref="E1625:G1625"/>
    <mergeCell ref="H1625:M1625"/>
    <mergeCell ref="N1625:U1625"/>
    <mergeCell ref="V1625:W1625"/>
    <mergeCell ref="X1625:Z1625"/>
    <mergeCell ref="B1626:D1626"/>
    <mergeCell ref="E1626:G1626"/>
    <mergeCell ref="H1626:M1626"/>
    <mergeCell ref="N1626:U1626"/>
    <mergeCell ref="V1626:W1626"/>
    <mergeCell ref="X1628:Z1628"/>
    <mergeCell ref="B1627:D1627"/>
    <mergeCell ref="E1627:G1627"/>
    <mergeCell ref="H1627:M1627"/>
    <mergeCell ref="N1627:U1627"/>
    <mergeCell ref="V1627:W1627"/>
    <mergeCell ref="X1627:Z1627"/>
    <mergeCell ref="B1628:D1628"/>
    <mergeCell ref="E1628:G1628"/>
    <mergeCell ref="H1628:M1628"/>
    <mergeCell ref="N1628:U1628"/>
    <mergeCell ref="V1628:W1628"/>
    <mergeCell ref="X1630:Z1630"/>
    <mergeCell ref="B1629:D1629"/>
    <mergeCell ref="E1629:G1629"/>
    <mergeCell ref="H1629:M1629"/>
    <mergeCell ref="N1629:U1629"/>
    <mergeCell ref="V1629:W1629"/>
    <mergeCell ref="X1629:Z1629"/>
    <mergeCell ref="B1630:D1630"/>
    <mergeCell ref="E1630:G1630"/>
    <mergeCell ref="H1630:M1630"/>
    <mergeCell ref="N1630:U1630"/>
    <mergeCell ref="V1630:W1630"/>
    <mergeCell ref="X1632:Z1632"/>
    <mergeCell ref="B1631:D1631"/>
    <mergeCell ref="E1631:G1631"/>
    <mergeCell ref="H1631:M1631"/>
    <mergeCell ref="N1631:U1631"/>
    <mergeCell ref="V1631:W1631"/>
    <mergeCell ref="X1631:Z1631"/>
    <mergeCell ref="B1632:D1632"/>
    <mergeCell ref="E1632:G1632"/>
    <mergeCell ref="H1632:M1632"/>
    <mergeCell ref="N1632:U1632"/>
    <mergeCell ref="V1632:W1632"/>
    <mergeCell ref="X1634:Z1634"/>
    <mergeCell ref="B1633:D1633"/>
    <mergeCell ref="E1633:G1633"/>
    <mergeCell ref="H1633:M1633"/>
    <mergeCell ref="N1633:U1633"/>
    <mergeCell ref="V1633:W1633"/>
    <mergeCell ref="X1633:Z1633"/>
    <mergeCell ref="B1634:D1634"/>
    <mergeCell ref="E1634:G1634"/>
    <mergeCell ref="H1634:M1634"/>
    <mergeCell ref="N1634:U1634"/>
    <mergeCell ref="V1634:W1634"/>
    <mergeCell ref="X1636:Z1636"/>
    <mergeCell ref="B1635:D1635"/>
    <mergeCell ref="E1635:G1635"/>
    <mergeCell ref="H1635:M1635"/>
    <mergeCell ref="N1635:U1635"/>
    <mergeCell ref="V1635:W1635"/>
    <mergeCell ref="X1635:Z1635"/>
    <mergeCell ref="B1636:D1636"/>
    <mergeCell ref="E1636:G1636"/>
    <mergeCell ref="H1636:M1636"/>
    <mergeCell ref="N1636:U1636"/>
    <mergeCell ref="V1636:W1636"/>
    <mergeCell ref="X1638:Z1638"/>
    <mergeCell ref="B1637:D1637"/>
    <mergeCell ref="E1637:G1637"/>
    <mergeCell ref="H1637:M1637"/>
    <mergeCell ref="N1637:U1637"/>
    <mergeCell ref="V1637:W1637"/>
    <mergeCell ref="X1637:Z1637"/>
    <mergeCell ref="B1638:D1638"/>
    <mergeCell ref="E1638:G1638"/>
    <mergeCell ref="H1638:M1638"/>
    <mergeCell ref="N1638:U1638"/>
    <mergeCell ref="V1638:W1638"/>
    <mergeCell ref="X1640:Z1640"/>
    <mergeCell ref="B1639:D1639"/>
    <mergeCell ref="E1639:G1639"/>
    <mergeCell ref="H1639:M1639"/>
    <mergeCell ref="N1639:U1639"/>
    <mergeCell ref="V1639:W1639"/>
    <mergeCell ref="X1639:Z1639"/>
    <mergeCell ref="B1640:D1640"/>
    <mergeCell ref="E1640:G1640"/>
    <mergeCell ref="H1640:M1640"/>
    <mergeCell ref="N1640:U1640"/>
    <mergeCell ref="V1640:W1640"/>
    <mergeCell ref="X1642:Z1642"/>
    <mergeCell ref="B1641:D1641"/>
    <mergeCell ref="E1641:G1641"/>
    <mergeCell ref="H1641:M1641"/>
    <mergeCell ref="N1641:U1641"/>
    <mergeCell ref="V1641:W1641"/>
    <mergeCell ref="X1641:Z1641"/>
    <mergeCell ref="B1642:D1642"/>
    <mergeCell ref="E1642:G1642"/>
    <mergeCell ref="H1642:M1642"/>
    <mergeCell ref="N1642:U1642"/>
    <mergeCell ref="V1642:W1642"/>
    <mergeCell ref="X1644:Z1644"/>
    <mergeCell ref="B1643:D1643"/>
    <mergeCell ref="E1643:G1643"/>
    <mergeCell ref="H1643:M1643"/>
    <mergeCell ref="N1643:U1643"/>
    <mergeCell ref="V1643:W1643"/>
    <mergeCell ref="X1643:Z1643"/>
    <mergeCell ref="B1644:D1644"/>
    <mergeCell ref="E1644:G1644"/>
    <mergeCell ref="H1644:M1644"/>
    <mergeCell ref="N1644:U1644"/>
    <mergeCell ref="V1644:W1644"/>
    <mergeCell ref="X1646:Z1646"/>
    <mergeCell ref="B1645:D1645"/>
    <mergeCell ref="E1645:G1645"/>
    <mergeCell ref="H1645:M1645"/>
    <mergeCell ref="N1645:U1645"/>
    <mergeCell ref="V1645:W1645"/>
    <mergeCell ref="X1645:Z1645"/>
    <mergeCell ref="B1646:D1646"/>
    <mergeCell ref="E1646:G1646"/>
    <mergeCell ref="H1646:M1646"/>
    <mergeCell ref="N1646:U1646"/>
    <mergeCell ref="V1646:W1646"/>
    <mergeCell ref="X1648:Z1648"/>
    <mergeCell ref="B1647:D1647"/>
    <mergeCell ref="E1647:G1647"/>
    <mergeCell ref="H1647:M1647"/>
    <mergeCell ref="N1647:U1647"/>
    <mergeCell ref="V1647:W1647"/>
    <mergeCell ref="X1647:Z1647"/>
    <mergeCell ref="B1648:D1648"/>
    <mergeCell ref="E1648:G1648"/>
    <mergeCell ref="H1648:M1648"/>
    <mergeCell ref="N1648:U1648"/>
    <mergeCell ref="V1648:W1648"/>
    <mergeCell ref="X1650:Z1650"/>
    <mergeCell ref="B1649:D1649"/>
    <mergeCell ref="E1649:G1649"/>
    <mergeCell ref="H1649:M1649"/>
    <mergeCell ref="N1649:U1649"/>
    <mergeCell ref="V1649:W1649"/>
    <mergeCell ref="X1649:Z1649"/>
    <mergeCell ref="B1650:D1650"/>
    <mergeCell ref="E1650:G1650"/>
    <mergeCell ref="H1650:M1650"/>
    <mergeCell ref="N1650:U1650"/>
    <mergeCell ref="V1650:W1650"/>
    <mergeCell ref="X1652:Z1652"/>
    <mergeCell ref="B1651:D1651"/>
    <mergeCell ref="E1651:G1651"/>
    <mergeCell ref="H1651:M1651"/>
    <mergeCell ref="N1651:U1651"/>
    <mergeCell ref="V1651:W1651"/>
    <mergeCell ref="X1651:Z1651"/>
    <mergeCell ref="B1652:D1652"/>
    <mergeCell ref="E1652:G1652"/>
    <mergeCell ref="H1652:M1652"/>
    <mergeCell ref="N1652:U1652"/>
    <mergeCell ref="V1652:W1652"/>
    <mergeCell ref="X1654:Z1654"/>
    <mergeCell ref="B1653:D1653"/>
    <mergeCell ref="E1653:G1653"/>
    <mergeCell ref="H1653:M1653"/>
    <mergeCell ref="N1653:U1653"/>
    <mergeCell ref="V1653:W1653"/>
    <mergeCell ref="X1653:Z1653"/>
    <mergeCell ref="B1654:D1654"/>
    <mergeCell ref="E1654:G1654"/>
    <mergeCell ref="H1654:M1654"/>
    <mergeCell ref="N1654:U1654"/>
    <mergeCell ref="V1654:W1654"/>
    <mergeCell ref="X1656:Z1656"/>
    <mergeCell ref="B1655:D1655"/>
    <mergeCell ref="E1655:G1655"/>
    <mergeCell ref="H1655:M1655"/>
    <mergeCell ref="N1655:U1655"/>
    <mergeCell ref="V1655:W1655"/>
    <mergeCell ref="X1655:Z1655"/>
    <mergeCell ref="B1656:D1656"/>
    <mergeCell ref="E1656:G1656"/>
    <mergeCell ref="H1656:M1656"/>
    <mergeCell ref="N1656:U1656"/>
    <mergeCell ref="V1656:W1656"/>
    <mergeCell ref="X1658:Z1658"/>
    <mergeCell ref="B1657:D1657"/>
    <mergeCell ref="E1657:G1657"/>
    <mergeCell ref="H1657:M1657"/>
    <mergeCell ref="N1657:U1657"/>
    <mergeCell ref="V1657:W1657"/>
    <mergeCell ref="X1657:Z1657"/>
    <mergeCell ref="B1658:D1658"/>
    <mergeCell ref="E1658:G1658"/>
    <mergeCell ref="H1658:M1658"/>
    <mergeCell ref="N1658:U1658"/>
    <mergeCell ref="V1658:W1658"/>
    <mergeCell ref="X1660:Z1660"/>
    <mergeCell ref="B1659:D1659"/>
    <mergeCell ref="E1659:G1659"/>
    <mergeCell ref="H1659:M1659"/>
    <mergeCell ref="N1659:U1659"/>
    <mergeCell ref="V1659:W1659"/>
    <mergeCell ref="X1659:Z1659"/>
    <mergeCell ref="B1660:D1660"/>
    <mergeCell ref="E1660:G1660"/>
    <mergeCell ref="H1660:M1660"/>
    <mergeCell ref="N1660:U1660"/>
    <mergeCell ref="V1660:W1660"/>
    <mergeCell ref="X1662:Z1662"/>
    <mergeCell ref="B1661:D1661"/>
    <mergeCell ref="E1661:G1661"/>
    <mergeCell ref="H1661:M1661"/>
    <mergeCell ref="N1661:U1661"/>
    <mergeCell ref="V1661:W1661"/>
    <mergeCell ref="X1661:Z1661"/>
    <mergeCell ref="B1662:D1662"/>
    <mergeCell ref="E1662:G1662"/>
    <mergeCell ref="H1662:M1662"/>
    <mergeCell ref="N1662:U1662"/>
    <mergeCell ref="V1662:W1662"/>
    <mergeCell ref="X1664:Z1664"/>
    <mergeCell ref="B1663:D1663"/>
    <mergeCell ref="E1663:G1663"/>
    <mergeCell ref="H1663:M1663"/>
    <mergeCell ref="N1663:U1663"/>
    <mergeCell ref="V1663:W1663"/>
    <mergeCell ref="X1663:Z1663"/>
    <mergeCell ref="B1664:D1664"/>
    <mergeCell ref="E1664:G1664"/>
    <mergeCell ref="H1664:M1664"/>
    <mergeCell ref="N1664:U1664"/>
    <mergeCell ref="V1664:W1664"/>
    <mergeCell ref="X1666:Z1666"/>
    <mergeCell ref="B1665:D1665"/>
    <mergeCell ref="E1665:G1665"/>
    <mergeCell ref="H1665:M1665"/>
    <mergeCell ref="N1665:U1665"/>
    <mergeCell ref="V1665:W1665"/>
    <mergeCell ref="X1665:Z1665"/>
    <mergeCell ref="B1666:D1666"/>
    <mergeCell ref="E1666:G1666"/>
    <mergeCell ref="H1666:M1666"/>
    <mergeCell ref="N1666:U1666"/>
    <mergeCell ref="V1666:W1666"/>
    <mergeCell ref="X1668:Z1668"/>
    <mergeCell ref="B1667:D1667"/>
    <mergeCell ref="E1667:G1667"/>
    <mergeCell ref="H1667:M1667"/>
    <mergeCell ref="N1667:U1667"/>
    <mergeCell ref="V1667:W1667"/>
    <mergeCell ref="X1667:Z1667"/>
    <mergeCell ref="B1668:D1668"/>
    <mergeCell ref="E1668:G1668"/>
    <mergeCell ref="H1668:M1668"/>
    <mergeCell ref="N1668:U1668"/>
    <mergeCell ref="V1668:W1668"/>
    <mergeCell ref="X1670:Z1670"/>
    <mergeCell ref="B1669:D1669"/>
    <mergeCell ref="E1669:G1669"/>
    <mergeCell ref="H1669:M1669"/>
    <mergeCell ref="N1669:U1669"/>
    <mergeCell ref="V1669:W1669"/>
    <mergeCell ref="X1669:Z1669"/>
    <mergeCell ref="B1670:D1670"/>
    <mergeCell ref="E1670:G1670"/>
    <mergeCell ref="H1670:M1670"/>
    <mergeCell ref="N1670:U1670"/>
    <mergeCell ref="V1670:W1670"/>
    <mergeCell ref="X1672:Z1672"/>
    <mergeCell ref="B1671:D1671"/>
    <mergeCell ref="E1671:G1671"/>
    <mergeCell ref="H1671:M1671"/>
    <mergeCell ref="N1671:U1671"/>
    <mergeCell ref="V1671:W1671"/>
    <mergeCell ref="X1671:Z1671"/>
    <mergeCell ref="B1672:D1672"/>
    <mergeCell ref="E1672:G1672"/>
    <mergeCell ref="H1672:M1672"/>
    <mergeCell ref="N1672:U1672"/>
    <mergeCell ref="V1672:W1672"/>
    <mergeCell ref="X1674:Z1674"/>
    <mergeCell ref="B1673:D1673"/>
    <mergeCell ref="E1673:G1673"/>
    <mergeCell ref="H1673:M1673"/>
    <mergeCell ref="N1673:U1673"/>
    <mergeCell ref="V1673:W1673"/>
    <mergeCell ref="X1673:Z1673"/>
    <mergeCell ref="B1674:D1674"/>
    <mergeCell ref="E1674:G1674"/>
    <mergeCell ref="H1674:M1674"/>
    <mergeCell ref="N1674:U1674"/>
    <mergeCell ref="V1674:W1674"/>
    <mergeCell ref="X1676:Z1676"/>
    <mergeCell ref="B1675:D1675"/>
    <mergeCell ref="E1675:G1675"/>
    <mergeCell ref="H1675:M1675"/>
    <mergeCell ref="N1675:U1675"/>
    <mergeCell ref="V1675:W1675"/>
    <mergeCell ref="X1675:Z1675"/>
    <mergeCell ref="B1676:D1676"/>
    <mergeCell ref="E1676:G1676"/>
    <mergeCell ref="H1676:M1676"/>
    <mergeCell ref="N1676:U1676"/>
    <mergeCell ref="V1676:W1676"/>
    <mergeCell ref="X1678:Z1678"/>
    <mergeCell ref="B1677:D1677"/>
    <mergeCell ref="E1677:G1677"/>
    <mergeCell ref="H1677:M1677"/>
    <mergeCell ref="N1677:U1677"/>
    <mergeCell ref="V1677:W1677"/>
    <mergeCell ref="X1677:Z1677"/>
    <mergeCell ref="B1678:D1678"/>
    <mergeCell ref="E1678:G1678"/>
    <mergeCell ref="H1678:M1678"/>
    <mergeCell ref="N1678:U1678"/>
    <mergeCell ref="V1678:W1678"/>
    <mergeCell ref="X1680:Z1680"/>
    <mergeCell ref="B1679:D1679"/>
    <mergeCell ref="E1679:G1679"/>
    <mergeCell ref="H1679:M1679"/>
    <mergeCell ref="N1679:U1679"/>
    <mergeCell ref="V1679:W1679"/>
    <mergeCell ref="X1679:Z1679"/>
    <mergeCell ref="B1680:D1680"/>
    <mergeCell ref="E1680:G1680"/>
    <mergeCell ref="H1680:M1680"/>
    <mergeCell ref="N1680:U1680"/>
    <mergeCell ref="V1680:W1680"/>
    <mergeCell ref="X1682:Z1682"/>
    <mergeCell ref="B1681:D1681"/>
    <mergeCell ref="E1681:G1681"/>
    <mergeCell ref="H1681:M1681"/>
    <mergeCell ref="N1681:U1681"/>
    <mergeCell ref="V1681:W1681"/>
    <mergeCell ref="X1681:Z1681"/>
    <mergeCell ref="B1682:D1682"/>
    <mergeCell ref="E1682:G1682"/>
    <mergeCell ref="H1682:M1682"/>
    <mergeCell ref="N1682:U1682"/>
    <mergeCell ref="V1682:W1682"/>
    <mergeCell ref="X1684:Z1684"/>
    <mergeCell ref="B1683:D1683"/>
    <mergeCell ref="E1683:G1683"/>
    <mergeCell ref="H1683:M1683"/>
    <mergeCell ref="N1683:U1683"/>
    <mergeCell ref="V1683:W1683"/>
    <mergeCell ref="X1683:Z1683"/>
    <mergeCell ref="B1684:D1684"/>
    <mergeCell ref="E1684:G1684"/>
    <mergeCell ref="H1684:M1684"/>
    <mergeCell ref="N1684:U1684"/>
    <mergeCell ref="V1684:W1684"/>
    <mergeCell ref="X1686:Z1686"/>
    <mergeCell ref="B1685:D1685"/>
    <mergeCell ref="E1685:G1685"/>
    <mergeCell ref="H1685:M1685"/>
    <mergeCell ref="N1685:U1685"/>
    <mergeCell ref="V1685:W1685"/>
    <mergeCell ref="X1685:Z1685"/>
    <mergeCell ref="B1686:D1686"/>
    <mergeCell ref="E1686:G1686"/>
    <mergeCell ref="H1686:M1686"/>
    <mergeCell ref="N1686:U1686"/>
    <mergeCell ref="V1686:W1686"/>
    <mergeCell ref="X1688:Z1688"/>
    <mergeCell ref="B1687:D1687"/>
    <mergeCell ref="E1687:G1687"/>
    <mergeCell ref="H1687:M1687"/>
    <mergeCell ref="N1687:U1687"/>
    <mergeCell ref="V1687:W1687"/>
    <mergeCell ref="X1687:Z1687"/>
    <mergeCell ref="B1688:D1688"/>
    <mergeCell ref="E1688:G1688"/>
    <mergeCell ref="H1688:M1688"/>
    <mergeCell ref="N1688:U1688"/>
    <mergeCell ref="V1688:W1688"/>
    <mergeCell ref="X1690:Z1690"/>
    <mergeCell ref="B1689:D1689"/>
    <mergeCell ref="E1689:G1689"/>
    <mergeCell ref="H1689:M1689"/>
    <mergeCell ref="N1689:U1689"/>
    <mergeCell ref="V1689:W1689"/>
    <mergeCell ref="X1689:Z1689"/>
    <mergeCell ref="B1690:D1690"/>
    <mergeCell ref="E1690:G1690"/>
    <mergeCell ref="H1690:M1690"/>
    <mergeCell ref="N1690:U1690"/>
    <mergeCell ref="V1690:W1690"/>
    <mergeCell ref="X1692:Z1692"/>
    <mergeCell ref="B1691:D1691"/>
    <mergeCell ref="E1691:G1691"/>
    <mergeCell ref="H1691:M1691"/>
    <mergeCell ref="N1691:U1691"/>
    <mergeCell ref="V1691:W1691"/>
    <mergeCell ref="X1691:Z1691"/>
    <mergeCell ref="B1692:D1692"/>
    <mergeCell ref="E1692:G1692"/>
    <mergeCell ref="H1692:M1692"/>
    <mergeCell ref="N1692:U1692"/>
    <mergeCell ref="V1692:W1692"/>
    <mergeCell ref="X1694:Z1694"/>
    <mergeCell ref="B1693:D1693"/>
    <mergeCell ref="E1693:G1693"/>
    <mergeCell ref="H1693:M1693"/>
    <mergeCell ref="N1693:U1693"/>
    <mergeCell ref="V1693:W1693"/>
    <mergeCell ref="X1693:Z1693"/>
    <mergeCell ref="B1694:D1694"/>
    <mergeCell ref="E1694:G1694"/>
    <mergeCell ref="H1694:M1694"/>
    <mergeCell ref="N1694:U1694"/>
    <mergeCell ref="V1694:W1694"/>
    <mergeCell ref="X1696:Z1696"/>
    <mergeCell ref="B1695:D1695"/>
    <mergeCell ref="E1695:G1695"/>
    <mergeCell ref="H1695:M1695"/>
    <mergeCell ref="N1695:U1695"/>
    <mergeCell ref="V1695:W1695"/>
    <mergeCell ref="X1695:Z1695"/>
    <mergeCell ref="B1696:D1696"/>
    <mergeCell ref="E1696:G1696"/>
    <mergeCell ref="H1696:M1696"/>
    <mergeCell ref="N1696:U1696"/>
    <mergeCell ref="V1696:W1696"/>
    <mergeCell ref="X1698:Z1698"/>
    <mergeCell ref="B1697:D1697"/>
    <mergeCell ref="E1697:G1697"/>
    <mergeCell ref="H1697:M1697"/>
    <mergeCell ref="N1697:U1697"/>
    <mergeCell ref="V1697:W1697"/>
    <mergeCell ref="X1697:Z1697"/>
    <mergeCell ref="B1698:D1698"/>
    <mergeCell ref="E1698:G1698"/>
    <mergeCell ref="H1698:M1698"/>
    <mergeCell ref="N1698:U1698"/>
    <mergeCell ref="V1698:W1698"/>
    <mergeCell ref="X1700:Z1700"/>
    <mergeCell ref="B1699:D1699"/>
    <mergeCell ref="E1699:G1699"/>
    <mergeCell ref="H1699:M1699"/>
    <mergeCell ref="N1699:U1699"/>
    <mergeCell ref="V1699:W1699"/>
    <mergeCell ref="X1699:Z1699"/>
    <mergeCell ref="B1700:D1700"/>
    <mergeCell ref="E1700:G1700"/>
    <mergeCell ref="H1700:M1700"/>
    <mergeCell ref="N1700:U1700"/>
    <mergeCell ref="V1700:W1700"/>
    <mergeCell ref="X1702:Z1702"/>
    <mergeCell ref="B1701:D1701"/>
    <mergeCell ref="E1701:G1701"/>
    <mergeCell ref="H1701:M1701"/>
    <mergeCell ref="N1701:U1701"/>
    <mergeCell ref="V1701:W1701"/>
    <mergeCell ref="X1701:Z1701"/>
    <mergeCell ref="B1702:D1702"/>
    <mergeCell ref="E1702:G1702"/>
    <mergeCell ref="H1702:M1702"/>
    <mergeCell ref="N1702:U1702"/>
    <mergeCell ref="V1702:W1702"/>
    <mergeCell ref="X1704:Z1704"/>
    <mergeCell ref="B1703:D1703"/>
    <mergeCell ref="E1703:G1703"/>
    <mergeCell ref="H1703:M1703"/>
    <mergeCell ref="N1703:U1703"/>
    <mergeCell ref="V1703:W1703"/>
    <mergeCell ref="X1703:Z1703"/>
    <mergeCell ref="B1704:D1704"/>
    <mergeCell ref="E1704:G1704"/>
    <mergeCell ref="H1704:M1704"/>
    <mergeCell ref="N1704:U1704"/>
    <mergeCell ref="V1704:W1704"/>
    <mergeCell ref="X1706:Z1706"/>
    <mergeCell ref="B1705:D1705"/>
    <mergeCell ref="E1705:G1705"/>
    <mergeCell ref="H1705:M1705"/>
    <mergeCell ref="N1705:U1705"/>
    <mergeCell ref="V1705:W1705"/>
    <mergeCell ref="X1705:Z1705"/>
    <mergeCell ref="B1706:D1706"/>
    <mergeCell ref="E1706:G1706"/>
    <mergeCell ref="H1706:M1706"/>
    <mergeCell ref="N1706:U1706"/>
    <mergeCell ref="V1706:W1706"/>
    <mergeCell ref="X1708:Z1708"/>
    <mergeCell ref="B1707:D1707"/>
    <mergeCell ref="E1707:G1707"/>
    <mergeCell ref="H1707:M1707"/>
    <mergeCell ref="N1707:U1707"/>
    <mergeCell ref="V1707:W1707"/>
    <mergeCell ref="X1707:Z1707"/>
    <mergeCell ref="B1708:D1708"/>
    <mergeCell ref="E1708:G1708"/>
    <mergeCell ref="H1708:M1708"/>
    <mergeCell ref="N1708:U1708"/>
    <mergeCell ref="V1708:W1708"/>
    <mergeCell ref="X1710:Z1710"/>
    <mergeCell ref="B1709:D1709"/>
    <mergeCell ref="E1709:G1709"/>
    <mergeCell ref="H1709:M1709"/>
    <mergeCell ref="N1709:U1709"/>
    <mergeCell ref="V1709:W1709"/>
    <mergeCell ref="X1709:Z1709"/>
    <mergeCell ref="B1710:D1710"/>
    <mergeCell ref="E1710:G1710"/>
    <mergeCell ref="H1710:M1710"/>
    <mergeCell ref="N1710:U1710"/>
    <mergeCell ref="V1710:W1710"/>
    <mergeCell ref="X1712:Z1712"/>
    <mergeCell ref="B1711:D1711"/>
    <mergeCell ref="E1711:G1711"/>
    <mergeCell ref="H1711:M1711"/>
    <mergeCell ref="N1711:U1711"/>
    <mergeCell ref="V1711:W1711"/>
    <mergeCell ref="X1711:Z1711"/>
    <mergeCell ref="B1712:D1712"/>
    <mergeCell ref="E1712:G1712"/>
    <mergeCell ref="H1712:M1712"/>
    <mergeCell ref="N1712:U1712"/>
    <mergeCell ref="V1712:W1712"/>
    <mergeCell ref="X1714:Z1714"/>
    <mergeCell ref="B1713:D1713"/>
    <mergeCell ref="E1713:G1713"/>
    <mergeCell ref="H1713:M1713"/>
    <mergeCell ref="N1713:U1713"/>
    <mergeCell ref="V1713:W1713"/>
    <mergeCell ref="X1713:Z1713"/>
    <mergeCell ref="B1714:D1714"/>
    <mergeCell ref="E1714:G1714"/>
    <mergeCell ref="H1714:M1714"/>
    <mergeCell ref="N1714:U1714"/>
    <mergeCell ref="V1714:W1714"/>
    <mergeCell ref="X1716:Z1716"/>
    <mergeCell ref="B1715:D1715"/>
    <mergeCell ref="E1715:G1715"/>
    <mergeCell ref="H1715:M1715"/>
    <mergeCell ref="N1715:U1715"/>
    <mergeCell ref="V1715:W1715"/>
    <mergeCell ref="X1715:Z1715"/>
    <mergeCell ref="B1716:D1716"/>
    <mergeCell ref="E1716:G1716"/>
    <mergeCell ref="H1716:M1716"/>
    <mergeCell ref="N1716:U1716"/>
    <mergeCell ref="V1716:W1716"/>
    <mergeCell ref="X1718:Z1718"/>
    <mergeCell ref="B1717:D1717"/>
    <mergeCell ref="E1717:G1717"/>
    <mergeCell ref="H1717:M1717"/>
    <mergeCell ref="N1717:U1717"/>
    <mergeCell ref="V1717:W1717"/>
    <mergeCell ref="X1717:Z1717"/>
    <mergeCell ref="B1718:D1718"/>
    <mergeCell ref="E1718:G1718"/>
    <mergeCell ref="H1718:M1718"/>
    <mergeCell ref="N1718:U1718"/>
    <mergeCell ref="V1718:W1718"/>
    <mergeCell ref="X1720:Z1720"/>
    <mergeCell ref="B1719:D1719"/>
    <mergeCell ref="E1719:G1719"/>
    <mergeCell ref="H1719:M1719"/>
    <mergeCell ref="N1719:U1719"/>
    <mergeCell ref="V1719:W1719"/>
    <mergeCell ref="X1719:Z1719"/>
    <mergeCell ref="B1720:D1720"/>
    <mergeCell ref="E1720:G1720"/>
    <mergeCell ref="H1720:M1720"/>
    <mergeCell ref="N1720:U1720"/>
    <mergeCell ref="V1720:W1720"/>
    <mergeCell ref="X1722:Z1722"/>
    <mergeCell ref="B1721:D1721"/>
    <mergeCell ref="E1721:G1721"/>
    <mergeCell ref="H1721:M1721"/>
    <mergeCell ref="N1721:U1721"/>
    <mergeCell ref="V1721:W1721"/>
    <mergeCell ref="X1721:Z1721"/>
    <mergeCell ref="B1722:D1722"/>
    <mergeCell ref="E1722:G1722"/>
    <mergeCell ref="H1722:M1722"/>
    <mergeCell ref="N1722:U1722"/>
    <mergeCell ref="V1722:W1722"/>
    <mergeCell ref="X1724:Z1724"/>
    <mergeCell ref="B1723:D1723"/>
    <mergeCell ref="E1723:G1723"/>
    <mergeCell ref="H1723:M1723"/>
    <mergeCell ref="N1723:U1723"/>
    <mergeCell ref="V1723:W1723"/>
    <mergeCell ref="X1723:Z1723"/>
    <mergeCell ref="B1724:D1724"/>
    <mergeCell ref="E1724:G1724"/>
    <mergeCell ref="H1724:M1724"/>
    <mergeCell ref="N1724:U1724"/>
    <mergeCell ref="V1724:W1724"/>
    <mergeCell ref="X1726:Z1726"/>
    <mergeCell ref="B1725:D1725"/>
    <mergeCell ref="E1725:G1725"/>
    <mergeCell ref="H1725:M1725"/>
    <mergeCell ref="N1725:U1725"/>
    <mergeCell ref="V1725:W1725"/>
    <mergeCell ref="X1725:Z1725"/>
    <mergeCell ref="B1726:D1726"/>
    <mergeCell ref="E1726:G1726"/>
    <mergeCell ref="H1726:M1726"/>
    <mergeCell ref="N1726:U1726"/>
    <mergeCell ref="V1726:W1726"/>
    <mergeCell ref="X1728:Z1728"/>
    <mergeCell ref="B1727:D1727"/>
    <mergeCell ref="E1727:G1727"/>
    <mergeCell ref="H1727:M1727"/>
    <mergeCell ref="N1727:U1727"/>
    <mergeCell ref="V1727:W1727"/>
    <mergeCell ref="X1727:Z1727"/>
    <mergeCell ref="B1728:D1728"/>
    <mergeCell ref="E1728:G1728"/>
    <mergeCell ref="H1728:M1728"/>
    <mergeCell ref="N1728:U1728"/>
    <mergeCell ref="V1728:W1728"/>
    <mergeCell ref="X1730:Z1730"/>
    <mergeCell ref="B1729:D1729"/>
    <mergeCell ref="E1729:G1729"/>
    <mergeCell ref="H1729:M1729"/>
    <mergeCell ref="N1729:U1729"/>
    <mergeCell ref="V1729:W1729"/>
    <mergeCell ref="X1729:Z1729"/>
    <mergeCell ref="B1730:D1730"/>
    <mergeCell ref="E1730:G1730"/>
    <mergeCell ref="H1730:M1730"/>
    <mergeCell ref="N1730:U1730"/>
    <mergeCell ref="V1730:W1730"/>
    <mergeCell ref="X1732:Z1732"/>
    <mergeCell ref="B1731:D1731"/>
    <mergeCell ref="E1731:G1731"/>
    <mergeCell ref="H1731:M1731"/>
    <mergeCell ref="N1731:U1731"/>
    <mergeCell ref="V1731:W1731"/>
    <mergeCell ref="X1731:Z1731"/>
    <mergeCell ref="B1732:D1732"/>
    <mergeCell ref="E1732:G1732"/>
    <mergeCell ref="H1732:M1732"/>
    <mergeCell ref="N1732:U1732"/>
    <mergeCell ref="V1732:W1732"/>
    <mergeCell ref="X1734:Z1734"/>
    <mergeCell ref="B1733:D1733"/>
    <mergeCell ref="E1733:G1733"/>
    <mergeCell ref="H1733:M1733"/>
    <mergeCell ref="N1733:U1733"/>
    <mergeCell ref="V1733:W1733"/>
    <mergeCell ref="X1733:Z1733"/>
    <mergeCell ref="B1734:D1734"/>
    <mergeCell ref="E1734:G1734"/>
    <mergeCell ref="H1734:M1734"/>
    <mergeCell ref="N1734:U1734"/>
    <mergeCell ref="V1734:W1734"/>
    <mergeCell ref="X1736:Z1736"/>
    <mergeCell ref="B1735:D1735"/>
    <mergeCell ref="E1735:G1735"/>
    <mergeCell ref="H1735:M1735"/>
    <mergeCell ref="N1735:U1735"/>
    <mergeCell ref="V1735:W1735"/>
    <mergeCell ref="X1735:Z1735"/>
    <mergeCell ref="B1736:D1736"/>
    <mergeCell ref="E1736:G1736"/>
    <mergeCell ref="H1736:M1736"/>
    <mergeCell ref="N1736:U1736"/>
    <mergeCell ref="V1736:W1736"/>
    <mergeCell ref="X1738:Z1738"/>
    <mergeCell ref="B1737:D1737"/>
    <mergeCell ref="E1737:G1737"/>
    <mergeCell ref="H1737:M1737"/>
    <mergeCell ref="N1737:U1737"/>
    <mergeCell ref="V1737:W1737"/>
    <mergeCell ref="X1737:Z1737"/>
    <mergeCell ref="B1738:D1738"/>
    <mergeCell ref="E1738:G1738"/>
    <mergeCell ref="H1738:M1738"/>
    <mergeCell ref="N1738:U1738"/>
    <mergeCell ref="V1738:W1738"/>
    <mergeCell ref="X1740:Z1740"/>
    <mergeCell ref="B1739:D1739"/>
    <mergeCell ref="E1739:G1739"/>
    <mergeCell ref="H1739:M1739"/>
    <mergeCell ref="N1739:U1739"/>
    <mergeCell ref="V1739:W1739"/>
    <mergeCell ref="X1739:Z1739"/>
    <mergeCell ref="B1740:D1740"/>
    <mergeCell ref="E1740:G1740"/>
    <mergeCell ref="H1740:M1740"/>
    <mergeCell ref="N1740:U1740"/>
    <mergeCell ref="V1740:W1740"/>
    <mergeCell ref="X1742:Z1742"/>
    <mergeCell ref="B1741:D1741"/>
    <mergeCell ref="E1741:G1741"/>
    <mergeCell ref="H1741:M1741"/>
    <mergeCell ref="N1741:U1741"/>
    <mergeCell ref="V1741:W1741"/>
    <mergeCell ref="X1741:Z1741"/>
    <mergeCell ref="B1742:D1742"/>
    <mergeCell ref="E1742:G1742"/>
    <mergeCell ref="H1742:M1742"/>
    <mergeCell ref="N1742:U1742"/>
    <mergeCell ref="V1742:W1742"/>
    <mergeCell ref="X1744:Z1744"/>
    <mergeCell ref="B1743:D1743"/>
    <mergeCell ref="E1743:G1743"/>
    <mergeCell ref="H1743:M1743"/>
    <mergeCell ref="N1743:U1743"/>
    <mergeCell ref="V1743:W1743"/>
    <mergeCell ref="X1743:Z1743"/>
    <mergeCell ref="B1744:D1744"/>
    <mergeCell ref="E1744:G1744"/>
    <mergeCell ref="H1744:M1744"/>
    <mergeCell ref="N1744:U1744"/>
    <mergeCell ref="V1744:W1744"/>
    <mergeCell ref="X1746:Z1746"/>
    <mergeCell ref="B1745:D1745"/>
    <mergeCell ref="E1745:G1745"/>
    <mergeCell ref="H1745:M1745"/>
    <mergeCell ref="N1745:U1745"/>
    <mergeCell ref="V1745:W1745"/>
    <mergeCell ref="X1745:Z1745"/>
    <mergeCell ref="B1746:D1746"/>
    <mergeCell ref="E1746:G1746"/>
    <mergeCell ref="H1746:M1746"/>
    <mergeCell ref="N1746:U1746"/>
    <mergeCell ref="V1746:W1746"/>
    <mergeCell ref="X1748:Z1748"/>
    <mergeCell ref="B1747:D1747"/>
    <mergeCell ref="E1747:G1747"/>
    <mergeCell ref="H1747:M1747"/>
    <mergeCell ref="N1747:U1747"/>
    <mergeCell ref="V1747:W1747"/>
    <mergeCell ref="X1747:Z1747"/>
    <mergeCell ref="B1748:D1748"/>
    <mergeCell ref="E1748:G1748"/>
    <mergeCell ref="H1748:M1748"/>
    <mergeCell ref="N1748:U1748"/>
    <mergeCell ref="V1748:W1748"/>
    <mergeCell ref="X1750:Z1750"/>
    <mergeCell ref="B1749:D1749"/>
    <mergeCell ref="E1749:G1749"/>
    <mergeCell ref="H1749:M1749"/>
    <mergeCell ref="N1749:U1749"/>
    <mergeCell ref="V1749:W1749"/>
    <mergeCell ref="X1749:Z1749"/>
    <mergeCell ref="B1750:D1750"/>
    <mergeCell ref="E1750:G1750"/>
    <mergeCell ref="H1750:M1750"/>
    <mergeCell ref="N1750:U1750"/>
    <mergeCell ref="V1750:W1750"/>
    <mergeCell ref="X1752:Z1752"/>
    <mergeCell ref="B1751:D1751"/>
    <mergeCell ref="E1751:G1751"/>
    <mergeCell ref="H1751:M1751"/>
    <mergeCell ref="N1751:U1751"/>
    <mergeCell ref="V1751:W1751"/>
    <mergeCell ref="X1751:Z1751"/>
    <mergeCell ref="B1752:D1752"/>
    <mergeCell ref="E1752:G1752"/>
    <mergeCell ref="H1752:M1752"/>
    <mergeCell ref="N1752:U1752"/>
    <mergeCell ref="V1752:W1752"/>
    <mergeCell ref="X1754:Z1754"/>
    <mergeCell ref="B1753:D1753"/>
    <mergeCell ref="E1753:G1753"/>
    <mergeCell ref="H1753:M1753"/>
    <mergeCell ref="N1753:U1753"/>
    <mergeCell ref="V1753:W1753"/>
    <mergeCell ref="X1753:Z1753"/>
    <mergeCell ref="B1754:D1754"/>
    <mergeCell ref="E1754:G1754"/>
    <mergeCell ref="H1754:M1754"/>
    <mergeCell ref="N1754:U1754"/>
    <mergeCell ref="V1754:W1754"/>
    <mergeCell ref="X1756:Z1756"/>
    <mergeCell ref="B1755:D1755"/>
    <mergeCell ref="E1755:G1755"/>
    <mergeCell ref="H1755:M1755"/>
    <mergeCell ref="N1755:U1755"/>
    <mergeCell ref="V1755:W1755"/>
    <mergeCell ref="X1755:Z1755"/>
    <mergeCell ref="B1756:D1756"/>
    <mergeCell ref="E1756:G1756"/>
    <mergeCell ref="H1756:M1756"/>
    <mergeCell ref="N1756:U1756"/>
    <mergeCell ref="V1756:W1756"/>
    <mergeCell ref="X1758:Z1758"/>
    <mergeCell ref="B1757:D1757"/>
    <mergeCell ref="E1757:G1757"/>
    <mergeCell ref="H1757:M1757"/>
    <mergeCell ref="N1757:U1757"/>
    <mergeCell ref="V1757:W1757"/>
    <mergeCell ref="X1757:Z1757"/>
    <mergeCell ref="B1758:D1758"/>
    <mergeCell ref="E1758:G1758"/>
    <mergeCell ref="H1758:M1758"/>
    <mergeCell ref="N1758:U1758"/>
    <mergeCell ref="V1758:W1758"/>
    <mergeCell ref="X1760:Z1760"/>
    <mergeCell ref="B1759:D1759"/>
    <mergeCell ref="E1759:G1759"/>
    <mergeCell ref="H1759:M1759"/>
    <mergeCell ref="N1759:U1759"/>
    <mergeCell ref="V1759:W1759"/>
    <mergeCell ref="X1759:Z1759"/>
    <mergeCell ref="B1760:D1760"/>
    <mergeCell ref="E1760:G1760"/>
    <mergeCell ref="H1760:M1760"/>
    <mergeCell ref="N1760:U1760"/>
    <mergeCell ref="V1760:W1760"/>
    <mergeCell ref="X1762:Z1762"/>
    <mergeCell ref="B1761:D1761"/>
    <mergeCell ref="E1761:G1761"/>
    <mergeCell ref="H1761:M1761"/>
    <mergeCell ref="N1761:U1761"/>
    <mergeCell ref="V1761:W1761"/>
    <mergeCell ref="X1761:Z1761"/>
    <mergeCell ref="B1762:D1762"/>
    <mergeCell ref="E1762:G1762"/>
    <mergeCell ref="H1762:M1762"/>
    <mergeCell ref="N1762:U1762"/>
    <mergeCell ref="V1762:W1762"/>
    <mergeCell ref="X1764:Z1764"/>
    <mergeCell ref="B1763:D1763"/>
    <mergeCell ref="E1763:G1763"/>
    <mergeCell ref="H1763:M1763"/>
    <mergeCell ref="N1763:U1763"/>
    <mergeCell ref="V1763:W1763"/>
    <mergeCell ref="X1763:Z1763"/>
    <mergeCell ref="B1764:D1764"/>
    <mergeCell ref="E1764:G1764"/>
    <mergeCell ref="H1764:M1764"/>
    <mergeCell ref="N1764:U1764"/>
    <mergeCell ref="V1764:W1764"/>
    <mergeCell ref="X1766:Z1766"/>
    <mergeCell ref="B1765:D1765"/>
    <mergeCell ref="E1765:G1765"/>
    <mergeCell ref="H1765:M1765"/>
    <mergeCell ref="N1765:U1765"/>
    <mergeCell ref="V1765:W1765"/>
    <mergeCell ref="X1765:Z1765"/>
    <mergeCell ref="B1766:D1766"/>
    <mergeCell ref="E1766:G1766"/>
    <mergeCell ref="H1766:M1766"/>
    <mergeCell ref="N1766:U1766"/>
    <mergeCell ref="V1766:W1766"/>
    <mergeCell ref="X1768:Z1768"/>
    <mergeCell ref="B1767:D1767"/>
    <mergeCell ref="E1767:G1767"/>
    <mergeCell ref="H1767:M1767"/>
    <mergeCell ref="N1767:U1767"/>
    <mergeCell ref="V1767:W1767"/>
    <mergeCell ref="X1767:Z1767"/>
    <mergeCell ref="B1768:D1768"/>
    <mergeCell ref="E1768:G1768"/>
    <mergeCell ref="H1768:M1768"/>
    <mergeCell ref="N1768:U1768"/>
    <mergeCell ref="V1768:W1768"/>
    <mergeCell ref="X1770:Z1770"/>
    <mergeCell ref="B1769:D1769"/>
    <mergeCell ref="E1769:G1769"/>
    <mergeCell ref="H1769:M1769"/>
    <mergeCell ref="N1769:U1769"/>
    <mergeCell ref="V1769:W1769"/>
    <mergeCell ref="X1769:Z1769"/>
    <mergeCell ref="B1770:D1770"/>
    <mergeCell ref="E1770:G1770"/>
    <mergeCell ref="H1770:M1770"/>
    <mergeCell ref="N1770:U1770"/>
    <mergeCell ref="V1770:W1770"/>
    <mergeCell ref="X1772:Z1772"/>
    <mergeCell ref="B1771:D1771"/>
    <mergeCell ref="E1771:G1771"/>
    <mergeCell ref="H1771:M1771"/>
    <mergeCell ref="N1771:U1771"/>
    <mergeCell ref="V1771:W1771"/>
    <mergeCell ref="X1771:Z1771"/>
    <mergeCell ref="B1772:D1772"/>
    <mergeCell ref="E1772:G1772"/>
    <mergeCell ref="H1772:M1772"/>
    <mergeCell ref="N1772:U1772"/>
    <mergeCell ref="V1772:W1772"/>
    <mergeCell ref="X1774:Z1774"/>
    <mergeCell ref="B1773:D1773"/>
    <mergeCell ref="E1773:G1773"/>
    <mergeCell ref="H1773:M1773"/>
    <mergeCell ref="N1773:U1773"/>
    <mergeCell ref="V1773:W1773"/>
    <mergeCell ref="X1773:Z1773"/>
    <mergeCell ref="B1774:D1774"/>
    <mergeCell ref="E1774:G1774"/>
    <mergeCell ref="H1774:M1774"/>
    <mergeCell ref="N1774:U1774"/>
    <mergeCell ref="V1774:W1774"/>
    <mergeCell ref="X1776:Z1776"/>
    <mergeCell ref="B1775:D1775"/>
    <mergeCell ref="E1775:G1775"/>
    <mergeCell ref="H1775:M1775"/>
    <mergeCell ref="N1775:U1775"/>
    <mergeCell ref="V1775:W1775"/>
    <mergeCell ref="X1775:Z1775"/>
    <mergeCell ref="B1776:D1776"/>
    <mergeCell ref="E1776:G1776"/>
    <mergeCell ref="H1776:M1776"/>
    <mergeCell ref="N1776:U1776"/>
    <mergeCell ref="V1776:W1776"/>
    <mergeCell ref="X1778:Z1778"/>
    <mergeCell ref="B1777:D1777"/>
    <mergeCell ref="E1777:G1777"/>
    <mergeCell ref="H1777:M1777"/>
    <mergeCell ref="N1777:U1777"/>
    <mergeCell ref="V1777:W1777"/>
    <mergeCell ref="X1777:Z1777"/>
    <mergeCell ref="B1778:D1778"/>
    <mergeCell ref="E1778:G1778"/>
    <mergeCell ref="H1778:M1778"/>
    <mergeCell ref="N1778:U1778"/>
    <mergeCell ref="V1778:W1778"/>
    <mergeCell ref="X1780:Z1780"/>
    <mergeCell ref="B1779:D1779"/>
    <mergeCell ref="E1779:G1779"/>
    <mergeCell ref="H1779:M1779"/>
    <mergeCell ref="N1779:U1779"/>
    <mergeCell ref="V1779:W1779"/>
    <mergeCell ref="X1779:Z1779"/>
    <mergeCell ref="B1780:D1780"/>
    <mergeCell ref="E1780:G1780"/>
    <mergeCell ref="H1780:M1780"/>
    <mergeCell ref="N1780:U1780"/>
    <mergeCell ref="V1780:W1780"/>
    <mergeCell ref="X1782:Z1782"/>
    <mergeCell ref="B1781:D1781"/>
    <mergeCell ref="E1781:G1781"/>
    <mergeCell ref="H1781:M1781"/>
    <mergeCell ref="N1781:U1781"/>
    <mergeCell ref="V1781:W1781"/>
    <mergeCell ref="X1781:Z1781"/>
    <mergeCell ref="B1782:D1782"/>
    <mergeCell ref="E1782:G1782"/>
    <mergeCell ref="H1782:M1782"/>
    <mergeCell ref="N1782:U1782"/>
    <mergeCell ref="V1782:W1782"/>
    <mergeCell ref="X1784:Z1784"/>
    <mergeCell ref="B1783:D1783"/>
    <mergeCell ref="E1783:G1783"/>
    <mergeCell ref="H1783:M1783"/>
    <mergeCell ref="N1783:U1783"/>
    <mergeCell ref="V1783:W1783"/>
    <mergeCell ref="X1783:Z1783"/>
    <mergeCell ref="B1784:D1784"/>
    <mergeCell ref="E1784:G1784"/>
    <mergeCell ref="H1784:M1784"/>
    <mergeCell ref="N1784:U1784"/>
    <mergeCell ref="V1784:W1784"/>
    <mergeCell ref="X1786:Z1786"/>
    <mergeCell ref="B1785:D1785"/>
    <mergeCell ref="E1785:G1785"/>
    <mergeCell ref="H1785:M1785"/>
    <mergeCell ref="N1785:U1785"/>
    <mergeCell ref="V1785:W1785"/>
    <mergeCell ref="X1785:Z1785"/>
    <mergeCell ref="B1786:D1786"/>
    <mergeCell ref="E1786:G1786"/>
    <mergeCell ref="H1786:M1786"/>
    <mergeCell ref="N1786:U1786"/>
    <mergeCell ref="V1786:W1786"/>
    <mergeCell ref="X1788:Z1788"/>
    <mergeCell ref="B1787:D1787"/>
    <mergeCell ref="E1787:G1787"/>
    <mergeCell ref="H1787:M1787"/>
    <mergeCell ref="N1787:U1787"/>
    <mergeCell ref="V1787:W1787"/>
    <mergeCell ref="X1787:Z1787"/>
    <mergeCell ref="B1788:D1788"/>
    <mergeCell ref="E1788:G1788"/>
    <mergeCell ref="H1788:M1788"/>
    <mergeCell ref="N1788:U1788"/>
    <mergeCell ref="V1788:W1788"/>
    <mergeCell ref="X1790:Z1790"/>
    <mergeCell ref="B1789:D1789"/>
    <mergeCell ref="E1789:G1789"/>
    <mergeCell ref="H1789:M1789"/>
    <mergeCell ref="N1789:U1789"/>
    <mergeCell ref="V1789:W1789"/>
    <mergeCell ref="X1789:Z1789"/>
    <mergeCell ref="B1790:D1790"/>
    <mergeCell ref="E1790:G1790"/>
    <mergeCell ref="H1790:M1790"/>
    <mergeCell ref="N1790:U1790"/>
    <mergeCell ref="V1790:W1790"/>
    <mergeCell ref="X1792:Z1792"/>
    <mergeCell ref="B1791:D1791"/>
    <mergeCell ref="E1791:G1791"/>
    <mergeCell ref="H1791:M1791"/>
    <mergeCell ref="N1791:U1791"/>
    <mergeCell ref="V1791:W1791"/>
    <mergeCell ref="X1791:Z1791"/>
    <mergeCell ref="B1792:D1792"/>
    <mergeCell ref="E1792:G1792"/>
    <mergeCell ref="H1792:M1792"/>
    <mergeCell ref="N1792:U1792"/>
    <mergeCell ref="V1792:W1792"/>
    <mergeCell ref="X1794:Z1794"/>
    <mergeCell ref="B1793:D1793"/>
    <mergeCell ref="E1793:G1793"/>
    <mergeCell ref="H1793:M1793"/>
    <mergeCell ref="N1793:U1793"/>
    <mergeCell ref="V1793:W1793"/>
    <mergeCell ref="X1793:Z1793"/>
    <mergeCell ref="B1794:D1794"/>
    <mergeCell ref="E1794:G1794"/>
    <mergeCell ref="H1794:M1794"/>
    <mergeCell ref="N1794:U1794"/>
    <mergeCell ref="V1794:W1794"/>
    <mergeCell ref="X1796:Z1796"/>
    <mergeCell ref="B1795:D1795"/>
    <mergeCell ref="E1795:G1795"/>
    <mergeCell ref="H1795:M1795"/>
    <mergeCell ref="N1795:U1795"/>
    <mergeCell ref="V1795:W1795"/>
    <mergeCell ref="X1795:Z1795"/>
    <mergeCell ref="B1796:D1796"/>
    <mergeCell ref="E1796:G1796"/>
    <mergeCell ref="H1796:M1796"/>
    <mergeCell ref="N1796:U1796"/>
    <mergeCell ref="V1796:W1796"/>
    <mergeCell ref="X1798:Z1798"/>
    <mergeCell ref="B1797:D1797"/>
    <mergeCell ref="E1797:G1797"/>
    <mergeCell ref="H1797:M1797"/>
    <mergeCell ref="N1797:U1797"/>
    <mergeCell ref="V1797:W1797"/>
    <mergeCell ref="X1797:Z1797"/>
    <mergeCell ref="B1798:D1798"/>
    <mergeCell ref="E1798:G1798"/>
    <mergeCell ref="H1798:M1798"/>
    <mergeCell ref="N1798:U1798"/>
    <mergeCell ref="V1798:W1798"/>
    <mergeCell ref="X1800:Z1800"/>
    <mergeCell ref="B1799:D1799"/>
    <mergeCell ref="E1799:G1799"/>
    <mergeCell ref="H1799:M1799"/>
    <mergeCell ref="N1799:U1799"/>
    <mergeCell ref="V1799:W1799"/>
    <mergeCell ref="X1799:Z1799"/>
    <mergeCell ref="B1800:D1800"/>
    <mergeCell ref="E1800:G1800"/>
    <mergeCell ref="H1800:M1800"/>
    <mergeCell ref="N1800:U1800"/>
    <mergeCell ref="V1800:W1800"/>
    <mergeCell ref="X1802:Z1802"/>
    <mergeCell ref="B1801:D1801"/>
    <mergeCell ref="E1801:G1801"/>
    <mergeCell ref="H1801:M1801"/>
    <mergeCell ref="N1801:U1801"/>
    <mergeCell ref="V1801:W1801"/>
    <mergeCell ref="X1801:Z1801"/>
    <mergeCell ref="B1802:D1802"/>
    <mergeCell ref="E1802:G1802"/>
    <mergeCell ref="H1802:M1802"/>
    <mergeCell ref="N1802:U1802"/>
    <mergeCell ref="V1802:W1802"/>
    <mergeCell ref="X1804:Z1804"/>
    <mergeCell ref="B1803:D1803"/>
    <mergeCell ref="E1803:G1803"/>
    <mergeCell ref="H1803:M1803"/>
    <mergeCell ref="N1803:U1803"/>
    <mergeCell ref="V1803:W1803"/>
    <mergeCell ref="X1803:Z1803"/>
    <mergeCell ref="B1804:D1804"/>
    <mergeCell ref="E1804:G1804"/>
    <mergeCell ref="H1804:M1804"/>
    <mergeCell ref="N1804:U1804"/>
    <mergeCell ref="V1804:W1804"/>
    <mergeCell ref="X1806:Z1806"/>
    <mergeCell ref="B1805:D1805"/>
    <mergeCell ref="E1805:G1805"/>
    <mergeCell ref="H1805:M1805"/>
    <mergeCell ref="N1805:U1805"/>
    <mergeCell ref="V1805:W1805"/>
    <mergeCell ref="X1805:Z1805"/>
    <mergeCell ref="B1806:D1806"/>
    <mergeCell ref="E1806:G1806"/>
    <mergeCell ref="H1806:M1806"/>
    <mergeCell ref="N1806:U1806"/>
    <mergeCell ref="V1806:W1806"/>
    <mergeCell ref="X1808:Z1808"/>
    <mergeCell ref="B1807:D1807"/>
    <mergeCell ref="E1807:G1807"/>
    <mergeCell ref="H1807:M1807"/>
    <mergeCell ref="N1807:U1807"/>
    <mergeCell ref="V1807:W1807"/>
    <mergeCell ref="X1807:Z1807"/>
    <mergeCell ref="B1808:D1808"/>
    <mergeCell ref="E1808:G1808"/>
    <mergeCell ref="H1808:M1808"/>
    <mergeCell ref="N1808:U1808"/>
    <mergeCell ref="V1808:W1808"/>
    <mergeCell ref="X1810:Z1810"/>
    <mergeCell ref="B1809:D1809"/>
    <mergeCell ref="E1809:G1809"/>
    <mergeCell ref="H1809:M1809"/>
    <mergeCell ref="N1809:U1809"/>
    <mergeCell ref="V1809:W1809"/>
    <mergeCell ref="X1809:Z1809"/>
    <mergeCell ref="B1810:D1810"/>
    <mergeCell ref="E1810:G1810"/>
    <mergeCell ref="H1810:M1810"/>
    <mergeCell ref="N1810:U1810"/>
    <mergeCell ref="V1810:W1810"/>
    <mergeCell ref="X1812:Z1812"/>
    <mergeCell ref="B1811:D1811"/>
    <mergeCell ref="E1811:G1811"/>
    <mergeCell ref="H1811:M1811"/>
    <mergeCell ref="N1811:U1811"/>
    <mergeCell ref="V1811:W1811"/>
    <mergeCell ref="X1811:Z1811"/>
    <mergeCell ref="B1812:D1812"/>
    <mergeCell ref="E1812:G1812"/>
    <mergeCell ref="H1812:M1812"/>
    <mergeCell ref="N1812:U1812"/>
    <mergeCell ref="V1812:W1812"/>
    <mergeCell ref="X1814:Z1814"/>
    <mergeCell ref="B1813:D1813"/>
    <mergeCell ref="E1813:G1813"/>
    <mergeCell ref="H1813:M1813"/>
    <mergeCell ref="N1813:U1813"/>
    <mergeCell ref="V1813:W1813"/>
    <mergeCell ref="X1813:Z1813"/>
    <mergeCell ref="B1814:D1814"/>
    <mergeCell ref="E1814:G1814"/>
    <mergeCell ref="H1814:M1814"/>
    <mergeCell ref="N1814:U1814"/>
    <mergeCell ref="V1814:W1814"/>
    <mergeCell ref="X1816:Z1816"/>
    <mergeCell ref="B1815:D1815"/>
    <mergeCell ref="E1815:G1815"/>
    <mergeCell ref="H1815:M1815"/>
    <mergeCell ref="N1815:U1815"/>
    <mergeCell ref="V1815:W1815"/>
    <mergeCell ref="X1815:Z1815"/>
    <mergeCell ref="B1816:D1816"/>
    <mergeCell ref="E1816:G1816"/>
    <mergeCell ref="H1816:M1816"/>
    <mergeCell ref="N1816:U1816"/>
    <mergeCell ref="V1816:W1816"/>
    <mergeCell ref="X1818:Z1818"/>
    <mergeCell ref="B1817:D1817"/>
    <mergeCell ref="E1817:G1817"/>
    <mergeCell ref="H1817:M1817"/>
    <mergeCell ref="N1817:U1817"/>
    <mergeCell ref="V1817:W1817"/>
    <mergeCell ref="X1817:Z1817"/>
    <mergeCell ref="B1818:D1818"/>
    <mergeCell ref="E1818:G1818"/>
    <mergeCell ref="H1818:M1818"/>
    <mergeCell ref="N1818:U1818"/>
    <mergeCell ref="V1818:W1818"/>
    <mergeCell ref="X1820:Z1820"/>
    <mergeCell ref="B1819:D1819"/>
    <mergeCell ref="E1819:G1819"/>
    <mergeCell ref="H1819:M1819"/>
    <mergeCell ref="N1819:U1819"/>
    <mergeCell ref="V1819:W1819"/>
    <mergeCell ref="X1819:Z1819"/>
    <mergeCell ref="B1820:D1820"/>
    <mergeCell ref="E1820:G1820"/>
    <mergeCell ref="H1820:M1820"/>
    <mergeCell ref="N1820:U1820"/>
    <mergeCell ref="V1820:W1820"/>
    <mergeCell ref="X1822:Z1822"/>
    <mergeCell ref="B1821:D1821"/>
    <mergeCell ref="E1821:G1821"/>
    <mergeCell ref="H1821:M1821"/>
    <mergeCell ref="N1821:U1821"/>
    <mergeCell ref="V1821:W1821"/>
    <mergeCell ref="X1821:Z1821"/>
    <mergeCell ref="B1822:D1822"/>
    <mergeCell ref="E1822:G1822"/>
    <mergeCell ref="H1822:M1822"/>
    <mergeCell ref="N1822:U1822"/>
    <mergeCell ref="V1822:W1822"/>
    <mergeCell ref="X1824:Z1824"/>
    <mergeCell ref="B1823:D1823"/>
    <mergeCell ref="E1823:G1823"/>
    <mergeCell ref="H1823:M1823"/>
    <mergeCell ref="N1823:U1823"/>
    <mergeCell ref="V1823:W1823"/>
    <mergeCell ref="X1823:Z1823"/>
    <mergeCell ref="B1824:D1824"/>
    <mergeCell ref="E1824:G1824"/>
    <mergeCell ref="H1824:M1824"/>
    <mergeCell ref="N1824:U1824"/>
    <mergeCell ref="V1824:W1824"/>
    <mergeCell ref="X1826:Z1826"/>
    <mergeCell ref="B1825:D1825"/>
    <mergeCell ref="E1825:G1825"/>
    <mergeCell ref="H1825:M1825"/>
    <mergeCell ref="N1825:U1825"/>
    <mergeCell ref="V1825:W1825"/>
    <mergeCell ref="X1825:Z1825"/>
    <mergeCell ref="B1826:D1826"/>
    <mergeCell ref="E1826:G1826"/>
    <mergeCell ref="H1826:M1826"/>
    <mergeCell ref="N1826:U1826"/>
    <mergeCell ref="V1826:W1826"/>
    <mergeCell ref="X1828:Z1828"/>
    <mergeCell ref="B1827:D1827"/>
    <mergeCell ref="E1827:G1827"/>
    <mergeCell ref="H1827:M1827"/>
    <mergeCell ref="N1827:U1827"/>
    <mergeCell ref="V1827:W1827"/>
    <mergeCell ref="X1827:Z1827"/>
    <mergeCell ref="B1828:D1828"/>
    <mergeCell ref="E1828:G1828"/>
    <mergeCell ref="H1828:M1828"/>
    <mergeCell ref="N1828:U1828"/>
    <mergeCell ref="V1828:W1828"/>
    <mergeCell ref="X1830:Z1830"/>
    <mergeCell ref="B1829:D1829"/>
    <mergeCell ref="E1829:G1829"/>
    <mergeCell ref="H1829:M1829"/>
    <mergeCell ref="N1829:U1829"/>
    <mergeCell ref="V1829:W1829"/>
    <mergeCell ref="X1829:Z1829"/>
    <mergeCell ref="B1830:D1830"/>
    <mergeCell ref="E1830:G1830"/>
    <mergeCell ref="H1830:M1830"/>
    <mergeCell ref="N1830:U1830"/>
    <mergeCell ref="V1830:W1830"/>
    <mergeCell ref="X1832:Z1832"/>
    <mergeCell ref="B1831:D1831"/>
    <mergeCell ref="E1831:G1831"/>
    <mergeCell ref="H1831:M1831"/>
    <mergeCell ref="N1831:U1831"/>
    <mergeCell ref="V1831:W1831"/>
    <mergeCell ref="X1831:Z1831"/>
    <mergeCell ref="B1832:D1832"/>
    <mergeCell ref="E1832:G1832"/>
    <mergeCell ref="H1832:M1832"/>
    <mergeCell ref="N1832:U1832"/>
    <mergeCell ref="V1832:W1832"/>
    <mergeCell ref="X1834:Z1834"/>
    <mergeCell ref="B1833:D1833"/>
    <mergeCell ref="E1833:G1833"/>
    <mergeCell ref="H1833:M1833"/>
    <mergeCell ref="N1833:U1833"/>
    <mergeCell ref="V1833:W1833"/>
    <mergeCell ref="X1833:Z1833"/>
    <mergeCell ref="B1834:D1834"/>
    <mergeCell ref="E1834:G1834"/>
    <mergeCell ref="H1834:M1834"/>
    <mergeCell ref="N1834:U1834"/>
    <mergeCell ref="V1834:W1834"/>
    <mergeCell ref="X1836:Z1836"/>
    <mergeCell ref="B1835:D1835"/>
    <mergeCell ref="E1835:G1835"/>
    <mergeCell ref="H1835:M1835"/>
    <mergeCell ref="N1835:U1835"/>
    <mergeCell ref="V1835:W1835"/>
    <mergeCell ref="X1835:Z1835"/>
    <mergeCell ref="B1836:D1836"/>
    <mergeCell ref="E1836:G1836"/>
    <mergeCell ref="H1836:M1836"/>
    <mergeCell ref="N1836:U1836"/>
    <mergeCell ref="V1836:W1836"/>
    <mergeCell ref="X1838:Z1838"/>
    <mergeCell ref="B1837:D1837"/>
    <mergeCell ref="E1837:G1837"/>
    <mergeCell ref="H1837:M1837"/>
    <mergeCell ref="N1837:U1837"/>
    <mergeCell ref="V1837:W1837"/>
    <mergeCell ref="X1837:Z1837"/>
    <mergeCell ref="B1838:D1838"/>
    <mergeCell ref="E1838:G1838"/>
    <mergeCell ref="H1838:M1838"/>
    <mergeCell ref="N1838:U1838"/>
    <mergeCell ref="V1838:W1838"/>
    <mergeCell ref="X1840:Z1840"/>
    <mergeCell ref="B1839:D1839"/>
    <mergeCell ref="E1839:G1839"/>
    <mergeCell ref="H1839:M1839"/>
    <mergeCell ref="N1839:U1839"/>
    <mergeCell ref="V1839:W1839"/>
    <mergeCell ref="X1839:Z1839"/>
    <mergeCell ref="B1840:D1840"/>
    <mergeCell ref="E1840:G1840"/>
    <mergeCell ref="H1840:M1840"/>
    <mergeCell ref="N1840:U1840"/>
    <mergeCell ref="V1840:W1840"/>
    <mergeCell ref="X1842:Z1842"/>
    <mergeCell ref="B1841:D1841"/>
    <mergeCell ref="E1841:G1841"/>
    <mergeCell ref="H1841:M1841"/>
    <mergeCell ref="N1841:U1841"/>
    <mergeCell ref="V1841:W1841"/>
    <mergeCell ref="X1841:Z1841"/>
    <mergeCell ref="B1842:D1842"/>
    <mergeCell ref="E1842:G1842"/>
    <mergeCell ref="H1842:M1842"/>
    <mergeCell ref="N1842:U1842"/>
    <mergeCell ref="V1842:W1842"/>
    <mergeCell ref="X1844:Z1844"/>
    <mergeCell ref="B1843:D1843"/>
    <mergeCell ref="E1843:G1843"/>
    <mergeCell ref="H1843:M1843"/>
    <mergeCell ref="N1843:U1843"/>
    <mergeCell ref="V1843:W1843"/>
    <mergeCell ref="X1843:Z1843"/>
    <mergeCell ref="B1844:D1844"/>
    <mergeCell ref="E1844:G1844"/>
    <mergeCell ref="H1844:M1844"/>
    <mergeCell ref="N1844:U1844"/>
    <mergeCell ref="V1844:W1844"/>
    <mergeCell ref="X1846:Z1846"/>
    <mergeCell ref="B1845:D1845"/>
    <mergeCell ref="E1845:G1845"/>
    <mergeCell ref="H1845:M1845"/>
    <mergeCell ref="N1845:U1845"/>
    <mergeCell ref="V1845:W1845"/>
    <mergeCell ref="X1845:Z1845"/>
    <mergeCell ref="B1846:D1846"/>
    <mergeCell ref="E1846:G1846"/>
    <mergeCell ref="H1846:M1846"/>
    <mergeCell ref="N1846:U1846"/>
    <mergeCell ref="V1846:W1846"/>
    <mergeCell ref="X1848:Z1848"/>
    <mergeCell ref="B1847:D1847"/>
    <mergeCell ref="E1847:G1847"/>
    <mergeCell ref="H1847:M1847"/>
    <mergeCell ref="N1847:U1847"/>
    <mergeCell ref="V1847:W1847"/>
    <mergeCell ref="X1847:Z1847"/>
    <mergeCell ref="B1848:D1848"/>
    <mergeCell ref="E1848:G1848"/>
    <mergeCell ref="H1848:M1848"/>
    <mergeCell ref="N1848:U1848"/>
    <mergeCell ref="V1848:W1848"/>
    <mergeCell ref="X1850:Z1850"/>
    <mergeCell ref="B1849:D1849"/>
    <mergeCell ref="E1849:G1849"/>
    <mergeCell ref="H1849:M1849"/>
    <mergeCell ref="N1849:U1849"/>
    <mergeCell ref="V1849:W1849"/>
    <mergeCell ref="X1849:Z1849"/>
    <mergeCell ref="B1850:D1850"/>
    <mergeCell ref="E1850:G1850"/>
    <mergeCell ref="H1850:M1850"/>
    <mergeCell ref="N1850:U1850"/>
    <mergeCell ref="V1850:W1850"/>
    <mergeCell ref="X1852:Z1852"/>
    <mergeCell ref="B1851:D1851"/>
    <mergeCell ref="E1851:G1851"/>
    <mergeCell ref="H1851:M1851"/>
    <mergeCell ref="N1851:U1851"/>
    <mergeCell ref="V1851:W1851"/>
    <mergeCell ref="X1851:Z1851"/>
    <mergeCell ref="B1852:D1852"/>
    <mergeCell ref="E1852:G1852"/>
    <mergeCell ref="H1852:M1852"/>
    <mergeCell ref="N1852:U1852"/>
    <mergeCell ref="V1852:W1852"/>
    <mergeCell ref="X1854:Z1854"/>
    <mergeCell ref="B1853:D1853"/>
    <mergeCell ref="E1853:G1853"/>
    <mergeCell ref="H1853:M1853"/>
    <mergeCell ref="N1853:U1853"/>
    <mergeCell ref="V1853:W1853"/>
    <mergeCell ref="X1853:Z1853"/>
    <mergeCell ref="B1854:D1854"/>
    <mergeCell ref="E1854:G1854"/>
    <mergeCell ref="H1854:M1854"/>
    <mergeCell ref="N1854:U1854"/>
    <mergeCell ref="V1854:W1854"/>
    <mergeCell ref="X1856:Z1856"/>
    <mergeCell ref="B1855:D1855"/>
    <mergeCell ref="E1855:G1855"/>
    <mergeCell ref="H1855:M1855"/>
    <mergeCell ref="N1855:U1855"/>
    <mergeCell ref="V1855:W1855"/>
    <mergeCell ref="X1855:Z1855"/>
    <mergeCell ref="B1856:D1856"/>
    <mergeCell ref="E1856:G1856"/>
    <mergeCell ref="H1856:M1856"/>
    <mergeCell ref="N1856:U1856"/>
    <mergeCell ref="V1856:W1856"/>
    <mergeCell ref="X1858:Z1858"/>
    <mergeCell ref="B1857:D1857"/>
    <mergeCell ref="E1857:G1857"/>
    <mergeCell ref="H1857:M1857"/>
    <mergeCell ref="N1857:U1857"/>
    <mergeCell ref="V1857:W1857"/>
    <mergeCell ref="X1857:Z1857"/>
    <mergeCell ref="B1858:D1858"/>
    <mergeCell ref="E1858:G1858"/>
    <mergeCell ref="H1858:M1858"/>
    <mergeCell ref="N1858:U1858"/>
    <mergeCell ref="V1858:W1858"/>
    <mergeCell ref="X1860:Z1860"/>
    <mergeCell ref="B1859:D1859"/>
    <mergeCell ref="E1859:G1859"/>
    <mergeCell ref="H1859:M1859"/>
    <mergeCell ref="N1859:U1859"/>
    <mergeCell ref="V1859:W1859"/>
    <mergeCell ref="X1859:Z1859"/>
    <mergeCell ref="B1860:D1860"/>
    <mergeCell ref="E1860:G1860"/>
    <mergeCell ref="H1860:M1860"/>
    <mergeCell ref="N1860:U1860"/>
    <mergeCell ref="V1860:W1860"/>
    <mergeCell ref="X1862:Z1862"/>
    <mergeCell ref="B1861:D1861"/>
    <mergeCell ref="E1861:G1861"/>
    <mergeCell ref="H1861:M1861"/>
    <mergeCell ref="N1861:U1861"/>
    <mergeCell ref="V1861:W1861"/>
    <mergeCell ref="X1861:Z1861"/>
    <mergeCell ref="B1862:D1862"/>
    <mergeCell ref="E1862:G1862"/>
    <mergeCell ref="H1862:M1862"/>
    <mergeCell ref="N1862:U1862"/>
    <mergeCell ref="V1862:W1862"/>
    <mergeCell ref="X1864:Z1864"/>
    <mergeCell ref="B1863:D1863"/>
    <mergeCell ref="E1863:G1863"/>
    <mergeCell ref="H1863:M1863"/>
    <mergeCell ref="N1863:U1863"/>
    <mergeCell ref="V1863:W1863"/>
    <mergeCell ref="X1863:Z1863"/>
    <mergeCell ref="B1864:D1864"/>
    <mergeCell ref="E1864:G1864"/>
    <mergeCell ref="H1864:M1864"/>
    <mergeCell ref="N1864:U1864"/>
    <mergeCell ref="V1864:W1864"/>
    <mergeCell ref="X1866:Z1866"/>
    <mergeCell ref="B1865:D1865"/>
    <mergeCell ref="E1865:G1865"/>
    <mergeCell ref="H1865:M1865"/>
    <mergeCell ref="N1865:U1865"/>
    <mergeCell ref="V1865:W1865"/>
    <mergeCell ref="X1865:Z1865"/>
    <mergeCell ref="B1866:D1866"/>
    <mergeCell ref="E1866:G1866"/>
    <mergeCell ref="H1866:M1866"/>
    <mergeCell ref="N1866:U1866"/>
    <mergeCell ref="V1866:W1866"/>
    <mergeCell ref="X1868:Z1868"/>
    <mergeCell ref="B1867:D1867"/>
    <mergeCell ref="E1867:G1867"/>
    <mergeCell ref="H1867:M1867"/>
    <mergeCell ref="N1867:U1867"/>
    <mergeCell ref="V1867:W1867"/>
    <mergeCell ref="X1867:Z1867"/>
    <mergeCell ref="B1868:D1868"/>
    <mergeCell ref="E1868:G1868"/>
    <mergeCell ref="H1868:M1868"/>
    <mergeCell ref="N1868:U1868"/>
    <mergeCell ref="V1868:W1868"/>
    <mergeCell ref="X1870:Z1870"/>
    <mergeCell ref="B1869:D1869"/>
    <mergeCell ref="E1869:G1869"/>
    <mergeCell ref="H1869:M1869"/>
    <mergeCell ref="N1869:U1869"/>
    <mergeCell ref="V1869:W1869"/>
    <mergeCell ref="X1869:Z1869"/>
    <mergeCell ref="B1870:D1870"/>
    <mergeCell ref="E1870:G1870"/>
    <mergeCell ref="H1870:M1870"/>
    <mergeCell ref="N1870:U1870"/>
    <mergeCell ref="V1870:W1870"/>
    <mergeCell ref="X1872:Z1872"/>
    <mergeCell ref="B1871:D1871"/>
    <mergeCell ref="E1871:G1871"/>
    <mergeCell ref="H1871:M1871"/>
    <mergeCell ref="N1871:U1871"/>
    <mergeCell ref="V1871:W1871"/>
    <mergeCell ref="X1871:Z1871"/>
    <mergeCell ref="B1872:D1872"/>
    <mergeCell ref="E1872:G1872"/>
    <mergeCell ref="H1872:M1872"/>
    <mergeCell ref="N1872:U1872"/>
    <mergeCell ref="V1872:W1872"/>
    <mergeCell ref="X1874:Z1874"/>
    <mergeCell ref="B1873:D1873"/>
    <mergeCell ref="E1873:G1873"/>
    <mergeCell ref="H1873:M1873"/>
    <mergeCell ref="N1873:U1873"/>
    <mergeCell ref="V1873:W1873"/>
    <mergeCell ref="X1873:Z1873"/>
    <mergeCell ref="B1874:D1874"/>
    <mergeCell ref="E1874:G1874"/>
    <mergeCell ref="H1874:M1874"/>
    <mergeCell ref="N1874:U1874"/>
    <mergeCell ref="V1874:W1874"/>
    <mergeCell ref="X1876:Z1876"/>
    <mergeCell ref="B1875:D1875"/>
    <mergeCell ref="E1875:G1875"/>
    <mergeCell ref="H1875:M1875"/>
    <mergeCell ref="N1875:U1875"/>
    <mergeCell ref="V1875:W1875"/>
    <mergeCell ref="X1875:Z1875"/>
    <mergeCell ref="B1876:D1876"/>
    <mergeCell ref="E1876:G1876"/>
    <mergeCell ref="H1876:M1876"/>
    <mergeCell ref="N1876:U1876"/>
    <mergeCell ref="V1876:W1876"/>
    <mergeCell ref="X1878:Z1878"/>
    <mergeCell ref="B1877:D1877"/>
    <mergeCell ref="E1877:G1877"/>
    <mergeCell ref="H1877:M1877"/>
    <mergeCell ref="N1877:U1877"/>
    <mergeCell ref="V1877:W1877"/>
    <mergeCell ref="X1877:Z1877"/>
    <mergeCell ref="B1878:D1878"/>
    <mergeCell ref="E1878:G1878"/>
    <mergeCell ref="H1878:M1878"/>
    <mergeCell ref="N1878:U1878"/>
    <mergeCell ref="V1878:W1878"/>
    <mergeCell ref="X1880:Z1880"/>
    <mergeCell ref="B1879:D1879"/>
    <mergeCell ref="E1879:G1879"/>
    <mergeCell ref="H1879:M1879"/>
    <mergeCell ref="N1879:U1879"/>
    <mergeCell ref="V1879:W1879"/>
    <mergeCell ref="X1879:Z1879"/>
    <mergeCell ref="B1880:D1880"/>
    <mergeCell ref="E1880:G1880"/>
    <mergeCell ref="H1880:M1880"/>
    <mergeCell ref="N1880:U1880"/>
    <mergeCell ref="V1880:W1880"/>
    <mergeCell ref="X1882:Z1882"/>
    <mergeCell ref="B1881:D1881"/>
    <mergeCell ref="E1881:G1881"/>
    <mergeCell ref="H1881:M1881"/>
    <mergeCell ref="N1881:U1881"/>
    <mergeCell ref="V1881:W1881"/>
    <mergeCell ref="X1881:Z1881"/>
    <mergeCell ref="B1882:D1882"/>
    <mergeCell ref="E1882:G1882"/>
    <mergeCell ref="H1882:M1882"/>
    <mergeCell ref="N1882:U1882"/>
    <mergeCell ref="V1882:W1882"/>
    <mergeCell ref="X1884:Z1884"/>
    <mergeCell ref="B1883:D1883"/>
    <mergeCell ref="E1883:G1883"/>
    <mergeCell ref="H1883:M1883"/>
    <mergeCell ref="N1883:U1883"/>
    <mergeCell ref="V1883:W1883"/>
    <mergeCell ref="X1883:Z1883"/>
    <mergeCell ref="B1884:D1884"/>
    <mergeCell ref="E1884:G1884"/>
    <mergeCell ref="H1884:M1884"/>
    <mergeCell ref="N1884:U1884"/>
    <mergeCell ref="V1884:W1884"/>
    <mergeCell ref="X1886:Z1886"/>
    <mergeCell ref="B1885:D1885"/>
    <mergeCell ref="E1885:G1885"/>
    <mergeCell ref="H1885:M1885"/>
    <mergeCell ref="N1885:U1885"/>
    <mergeCell ref="V1885:W1885"/>
    <mergeCell ref="X1885:Z1885"/>
    <mergeCell ref="B1886:D1886"/>
    <mergeCell ref="E1886:G1886"/>
    <mergeCell ref="H1886:M1886"/>
    <mergeCell ref="N1886:U1886"/>
    <mergeCell ref="V1886:W1886"/>
    <mergeCell ref="X1888:Z1888"/>
    <mergeCell ref="B1887:D1887"/>
    <mergeCell ref="E1887:G1887"/>
    <mergeCell ref="H1887:M1887"/>
    <mergeCell ref="N1887:U1887"/>
    <mergeCell ref="V1887:W1887"/>
    <mergeCell ref="X1887:Z1887"/>
    <mergeCell ref="B1888:D1888"/>
    <mergeCell ref="E1888:G1888"/>
    <mergeCell ref="H1888:M1888"/>
    <mergeCell ref="N1888:U1888"/>
    <mergeCell ref="V1888:W1888"/>
    <mergeCell ref="X1890:Z1890"/>
    <mergeCell ref="B1889:D1889"/>
    <mergeCell ref="E1889:G1889"/>
    <mergeCell ref="H1889:M1889"/>
    <mergeCell ref="N1889:U1889"/>
    <mergeCell ref="V1889:W1889"/>
    <mergeCell ref="X1889:Z1889"/>
    <mergeCell ref="B1890:D1890"/>
    <mergeCell ref="E1890:G1890"/>
    <mergeCell ref="H1890:M1890"/>
    <mergeCell ref="N1890:U1890"/>
    <mergeCell ref="V1890:W1890"/>
    <mergeCell ref="X1892:Z1892"/>
    <mergeCell ref="B1891:D1891"/>
    <mergeCell ref="E1891:G1891"/>
    <mergeCell ref="H1891:M1891"/>
    <mergeCell ref="N1891:U1891"/>
    <mergeCell ref="V1891:W1891"/>
    <mergeCell ref="X1891:Z1891"/>
    <mergeCell ref="B1892:D1892"/>
    <mergeCell ref="E1892:G1892"/>
    <mergeCell ref="H1892:M1892"/>
    <mergeCell ref="N1892:U1892"/>
    <mergeCell ref="V1892:W1892"/>
    <mergeCell ref="X1894:Z1894"/>
    <mergeCell ref="B1893:D1893"/>
    <mergeCell ref="E1893:G1893"/>
    <mergeCell ref="H1893:M1893"/>
    <mergeCell ref="N1893:U1893"/>
    <mergeCell ref="V1893:W1893"/>
    <mergeCell ref="X1893:Z1893"/>
    <mergeCell ref="B1894:D1894"/>
    <mergeCell ref="E1894:G1894"/>
    <mergeCell ref="H1894:M1894"/>
    <mergeCell ref="N1894:U1894"/>
    <mergeCell ref="V1894:W1894"/>
    <mergeCell ref="X1896:Z1896"/>
    <mergeCell ref="B1895:D1895"/>
    <mergeCell ref="E1895:G1895"/>
    <mergeCell ref="H1895:M1895"/>
    <mergeCell ref="N1895:U1895"/>
    <mergeCell ref="V1895:W1895"/>
    <mergeCell ref="X1895:Z1895"/>
    <mergeCell ref="B1896:D1896"/>
    <mergeCell ref="E1896:G1896"/>
    <mergeCell ref="H1896:M1896"/>
    <mergeCell ref="N1896:U1896"/>
    <mergeCell ref="V1896:W1896"/>
    <mergeCell ref="X1898:Z1898"/>
    <mergeCell ref="B1897:D1897"/>
    <mergeCell ref="E1897:G1897"/>
    <mergeCell ref="H1897:M1897"/>
    <mergeCell ref="N1897:U1897"/>
    <mergeCell ref="V1897:W1897"/>
    <mergeCell ref="X1897:Z1897"/>
    <mergeCell ref="B1898:D1898"/>
    <mergeCell ref="E1898:G1898"/>
    <mergeCell ref="H1898:M1898"/>
    <mergeCell ref="N1898:U1898"/>
    <mergeCell ref="V1898:W1898"/>
    <mergeCell ref="X1900:Z1900"/>
    <mergeCell ref="B1899:D1899"/>
    <mergeCell ref="E1899:G1899"/>
    <mergeCell ref="H1899:M1899"/>
    <mergeCell ref="N1899:U1899"/>
    <mergeCell ref="V1899:W1899"/>
    <mergeCell ref="X1899:Z1899"/>
    <mergeCell ref="B1900:D1900"/>
    <mergeCell ref="E1900:G1900"/>
    <mergeCell ref="H1900:M1900"/>
    <mergeCell ref="N1900:U1900"/>
    <mergeCell ref="V1900:W1900"/>
    <mergeCell ref="X1902:Z1902"/>
    <mergeCell ref="B1901:D1901"/>
    <mergeCell ref="E1901:G1901"/>
    <mergeCell ref="H1901:M1901"/>
    <mergeCell ref="N1901:U1901"/>
    <mergeCell ref="V1901:W1901"/>
    <mergeCell ref="X1901:Z1901"/>
    <mergeCell ref="B1902:D1902"/>
    <mergeCell ref="E1902:G1902"/>
    <mergeCell ref="H1902:M1902"/>
    <mergeCell ref="N1902:U1902"/>
    <mergeCell ref="V1902:W1902"/>
    <mergeCell ref="X1904:Z1904"/>
    <mergeCell ref="B1903:D1903"/>
    <mergeCell ref="E1903:G1903"/>
    <mergeCell ref="H1903:M1903"/>
    <mergeCell ref="N1903:U1903"/>
    <mergeCell ref="V1903:W1903"/>
    <mergeCell ref="X1903:Z1903"/>
    <mergeCell ref="B1904:D1904"/>
    <mergeCell ref="E1904:G1904"/>
    <mergeCell ref="H1904:M1904"/>
    <mergeCell ref="N1904:U1904"/>
    <mergeCell ref="V1904:W1904"/>
    <mergeCell ref="X1906:Z1906"/>
    <mergeCell ref="B1905:D1905"/>
    <mergeCell ref="E1905:G1905"/>
    <mergeCell ref="H1905:M1905"/>
    <mergeCell ref="N1905:U1905"/>
    <mergeCell ref="V1905:W1905"/>
    <mergeCell ref="X1905:Z1905"/>
    <mergeCell ref="B1906:D1906"/>
    <mergeCell ref="E1906:G1906"/>
    <mergeCell ref="H1906:M1906"/>
    <mergeCell ref="N1906:U1906"/>
    <mergeCell ref="V1906:W1906"/>
    <mergeCell ref="X1908:Z1908"/>
    <mergeCell ref="B1907:D1907"/>
    <mergeCell ref="E1907:G1907"/>
    <mergeCell ref="H1907:M1907"/>
    <mergeCell ref="N1907:U1907"/>
    <mergeCell ref="V1907:W1907"/>
    <mergeCell ref="X1907:Z1907"/>
    <mergeCell ref="B1908:D1908"/>
    <mergeCell ref="E1908:G1908"/>
    <mergeCell ref="H1908:M1908"/>
    <mergeCell ref="N1908:U1908"/>
    <mergeCell ref="V1908:W1908"/>
    <mergeCell ref="X1910:Z1910"/>
    <mergeCell ref="B1909:D1909"/>
    <mergeCell ref="E1909:G1909"/>
    <mergeCell ref="H1909:M1909"/>
    <mergeCell ref="N1909:U1909"/>
    <mergeCell ref="V1909:W1909"/>
    <mergeCell ref="X1909:Z1909"/>
    <mergeCell ref="B1910:D1910"/>
    <mergeCell ref="E1910:G1910"/>
    <mergeCell ref="H1910:M1910"/>
    <mergeCell ref="N1910:U1910"/>
    <mergeCell ref="V1910:W1910"/>
    <mergeCell ref="X1912:Z1912"/>
    <mergeCell ref="B1911:D1911"/>
    <mergeCell ref="E1911:G1911"/>
    <mergeCell ref="H1911:M1911"/>
    <mergeCell ref="N1911:U1911"/>
    <mergeCell ref="V1911:W1911"/>
    <mergeCell ref="X1911:Z1911"/>
    <mergeCell ref="B1912:D1912"/>
    <mergeCell ref="E1912:G1912"/>
    <mergeCell ref="H1912:M1912"/>
    <mergeCell ref="N1912:U1912"/>
    <mergeCell ref="V1912:W1912"/>
    <mergeCell ref="X1914:Z1914"/>
    <mergeCell ref="B1913:D1913"/>
    <mergeCell ref="E1913:G1913"/>
    <mergeCell ref="H1913:M1913"/>
    <mergeCell ref="N1913:U1913"/>
    <mergeCell ref="V1913:W1913"/>
    <mergeCell ref="X1913:Z1913"/>
    <mergeCell ref="B1914:D1914"/>
    <mergeCell ref="E1914:G1914"/>
    <mergeCell ref="H1914:M1914"/>
    <mergeCell ref="N1914:U1914"/>
    <mergeCell ref="V1914:W1914"/>
    <mergeCell ref="X1916:Z1916"/>
    <mergeCell ref="B1915:D1915"/>
    <mergeCell ref="E1915:G1915"/>
    <mergeCell ref="H1915:M1915"/>
    <mergeCell ref="N1915:U1915"/>
    <mergeCell ref="V1915:W1915"/>
    <mergeCell ref="X1915:Z1915"/>
    <mergeCell ref="B1916:D1916"/>
    <mergeCell ref="E1916:G1916"/>
    <mergeCell ref="H1916:M1916"/>
    <mergeCell ref="N1916:U1916"/>
    <mergeCell ref="V1916:W1916"/>
    <mergeCell ref="X1918:Z1918"/>
    <mergeCell ref="B1917:D1917"/>
    <mergeCell ref="E1917:G1917"/>
    <mergeCell ref="H1917:M1917"/>
    <mergeCell ref="N1917:U1917"/>
    <mergeCell ref="V1917:W1917"/>
    <mergeCell ref="X1917:Z1917"/>
    <mergeCell ref="B1918:D1918"/>
    <mergeCell ref="E1918:G1918"/>
    <mergeCell ref="H1918:M1918"/>
    <mergeCell ref="N1918:U1918"/>
    <mergeCell ref="V1918:W1918"/>
    <mergeCell ref="X1920:Z1920"/>
    <mergeCell ref="B1919:D1919"/>
    <mergeCell ref="E1919:G1919"/>
    <mergeCell ref="H1919:M1919"/>
    <mergeCell ref="N1919:U1919"/>
    <mergeCell ref="V1919:W1919"/>
    <mergeCell ref="X1919:Z1919"/>
    <mergeCell ref="B1920:D1920"/>
    <mergeCell ref="E1920:G1920"/>
    <mergeCell ref="H1920:M1920"/>
    <mergeCell ref="N1920:U1920"/>
    <mergeCell ref="V1920:W1920"/>
    <mergeCell ref="X1922:Z1922"/>
    <mergeCell ref="B1921:D1921"/>
    <mergeCell ref="E1921:G1921"/>
    <mergeCell ref="H1921:M1921"/>
    <mergeCell ref="N1921:U1921"/>
    <mergeCell ref="V1921:W1921"/>
    <mergeCell ref="X1921:Z1921"/>
    <mergeCell ref="B1922:D1922"/>
    <mergeCell ref="E1922:G1922"/>
    <mergeCell ref="H1922:M1922"/>
    <mergeCell ref="N1922:U1922"/>
    <mergeCell ref="V1922:W1922"/>
    <mergeCell ref="X1924:Z1924"/>
    <mergeCell ref="B1923:D1923"/>
    <mergeCell ref="E1923:G1923"/>
    <mergeCell ref="H1923:M1923"/>
    <mergeCell ref="N1923:U1923"/>
    <mergeCell ref="V1923:W1923"/>
    <mergeCell ref="X1923:Z1923"/>
    <mergeCell ref="B1924:D1924"/>
    <mergeCell ref="E1924:G1924"/>
    <mergeCell ref="H1924:M1924"/>
    <mergeCell ref="N1924:U1924"/>
    <mergeCell ref="V1924:W1924"/>
    <mergeCell ref="X1926:Z1926"/>
    <mergeCell ref="B1925:D1925"/>
    <mergeCell ref="E1925:G1925"/>
    <mergeCell ref="H1925:M1925"/>
    <mergeCell ref="N1925:U1925"/>
    <mergeCell ref="V1925:W1925"/>
    <mergeCell ref="X1925:Z1925"/>
    <mergeCell ref="B1926:D1926"/>
    <mergeCell ref="E1926:G1926"/>
    <mergeCell ref="H1926:M1926"/>
    <mergeCell ref="N1926:U1926"/>
    <mergeCell ref="V1926:W1926"/>
    <mergeCell ref="X1928:Z1928"/>
    <mergeCell ref="B1927:D1927"/>
    <mergeCell ref="E1927:G1927"/>
    <mergeCell ref="H1927:M1927"/>
    <mergeCell ref="N1927:U1927"/>
    <mergeCell ref="V1927:W1927"/>
    <mergeCell ref="X1927:Z1927"/>
    <mergeCell ref="B1928:D1928"/>
    <mergeCell ref="E1928:G1928"/>
    <mergeCell ref="H1928:M1928"/>
    <mergeCell ref="N1928:U1928"/>
    <mergeCell ref="V1928:W1928"/>
    <mergeCell ref="X1930:Z1930"/>
    <mergeCell ref="B1929:D1929"/>
    <mergeCell ref="E1929:G1929"/>
    <mergeCell ref="H1929:M1929"/>
    <mergeCell ref="N1929:U1929"/>
    <mergeCell ref="V1929:W1929"/>
    <mergeCell ref="X1929:Z1929"/>
    <mergeCell ref="B1930:D1930"/>
    <mergeCell ref="E1930:G1930"/>
    <mergeCell ref="H1930:M1930"/>
    <mergeCell ref="N1930:U1930"/>
    <mergeCell ref="V1930:W1930"/>
    <mergeCell ref="X1932:Z1932"/>
    <mergeCell ref="B1931:D1931"/>
    <mergeCell ref="E1931:G1931"/>
    <mergeCell ref="H1931:M1931"/>
    <mergeCell ref="N1931:U1931"/>
    <mergeCell ref="V1931:W1931"/>
    <mergeCell ref="X1931:Z1931"/>
    <mergeCell ref="B1932:D1932"/>
    <mergeCell ref="E1932:G1932"/>
    <mergeCell ref="H1932:M1932"/>
    <mergeCell ref="N1932:U1932"/>
    <mergeCell ref="V1932:W1932"/>
    <mergeCell ref="X1934:Z1934"/>
    <mergeCell ref="B1933:D1933"/>
    <mergeCell ref="E1933:G1933"/>
    <mergeCell ref="H1933:M1933"/>
    <mergeCell ref="N1933:U1933"/>
    <mergeCell ref="V1933:W1933"/>
    <mergeCell ref="X1933:Z1933"/>
    <mergeCell ref="B1934:D1934"/>
    <mergeCell ref="E1934:G1934"/>
    <mergeCell ref="H1934:M1934"/>
    <mergeCell ref="N1934:U1934"/>
    <mergeCell ref="V1934:W1934"/>
    <mergeCell ref="X1936:Z1936"/>
    <mergeCell ref="B1935:D1935"/>
    <mergeCell ref="E1935:G1935"/>
    <mergeCell ref="H1935:M1935"/>
    <mergeCell ref="N1935:U1935"/>
    <mergeCell ref="V1935:W1935"/>
    <mergeCell ref="X1935:Z1935"/>
    <mergeCell ref="B1936:D1936"/>
    <mergeCell ref="E1936:G1936"/>
    <mergeCell ref="H1936:M1936"/>
    <mergeCell ref="N1936:U1936"/>
    <mergeCell ref="V1936:W1936"/>
    <mergeCell ref="X1938:Z1938"/>
    <mergeCell ref="B1937:D1937"/>
    <mergeCell ref="E1937:G1937"/>
    <mergeCell ref="H1937:M1937"/>
    <mergeCell ref="N1937:U1937"/>
    <mergeCell ref="V1937:W1937"/>
    <mergeCell ref="X1937:Z1937"/>
    <mergeCell ref="B1938:D1938"/>
    <mergeCell ref="E1938:G1938"/>
    <mergeCell ref="H1938:M1938"/>
    <mergeCell ref="N1938:U1938"/>
    <mergeCell ref="V1938:W1938"/>
    <mergeCell ref="X1940:Z1940"/>
    <mergeCell ref="B1939:D1939"/>
    <mergeCell ref="E1939:G1939"/>
    <mergeCell ref="H1939:M1939"/>
    <mergeCell ref="N1939:U1939"/>
    <mergeCell ref="V1939:W1939"/>
    <mergeCell ref="X1939:Z1939"/>
    <mergeCell ref="B1940:D1940"/>
    <mergeCell ref="E1940:G1940"/>
    <mergeCell ref="H1940:M1940"/>
    <mergeCell ref="N1940:U1940"/>
    <mergeCell ref="V1940:W1940"/>
    <mergeCell ref="X1942:Z1942"/>
    <mergeCell ref="B1941:D1941"/>
    <mergeCell ref="E1941:G1941"/>
    <mergeCell ref="H1941:M1941"/>
    <mergeCell ref="N1941:U1941"/>
    <mergeCell ref="V1941:W1941"/>
    <mergeCell ref="X1941:Z1941"/>
    <mergeCell ref="B1942:D1942"/>
    <mergeCell ref="E1942:G1942"/>
    <mergeCell ref="H1942:M1942"/>
    <mergeCell ref="N1942:U1942"/>
    <mergeCell ref="V1942:W1942"/>
    <mergeCell ref="X1944:Z1944"/>
    <mergeCell ref="B1943:D1943"/>
    <mergeCell ref="E1943:G1943"/>
    <mergeCell ref="H1943:M1943"/>
    <mergeCell ref="N1943:U1943"/>
    <mergeCell ref="V1943:W1943"/>
    <mergeCell ref="X1943:Z1943"/>
    <mergeCell ref="B1944:D1944"/>
    <mergeCell ref="E1944:G1944"/>
    <mergeCell ref="H1944:M1944"/>
    <mergeCell ref="N1944:U1944"/>
    <mergeCell ref="V1944:W1944"/>
    <mergeCell ref="X1946:Z1946"/>
    <mergeCell ref="B1945:D1945"/>
    <mergeCell ref="E1945:G1945"/>
    <mergeCell ref="H1945:M1945"/>
    <mergeCell ref="N1945:U1945"/>
    <mergeCell ref="V1945:W1945"/>
    <mergeCell ref="X1945:Z1945"/>
    <mergeCell ref="B1946:D1946"/>
    <mergeCell ref="E1946:G1946"/>
    <mergeCell ref="H1946:M1946"/>
    <mergeCell ref="N1946:U1946"/>
    <mergeCell ref="V1946:W1946"/>
    <mergeCell ref="X1948:Z1948"/>
    <mergeCell ref="B1947:D1947"/>
    <mergeCell ref="E1947:G1947"/>
    <mergeCell ref="H1947:M1947"/>
    <mergeCell ref="N1947:U1947"/>
    <mergeCell ref="V1947:W1947"/>
    <mergeCell ref="X1947:Z1947"/>
    <mergeCell ref="B1948:D1948"/>
    <mergeCell ref="E1948:G1948"/>
    <mergeCell ref="H1948:M1948"/>
    <mergeCell ref="N1948:U1948"/>
    <mergeCell ref="V1948:W1948"/>
    <mergeCell ref="X1950:Z1950"/>
    <mergeCell ref="B1949:D1949"/>
    <mergeCell ref="E1949:G1949"/>
    <mergeCell ref="H1949:M1949"/>
    <mergeCell ref="N1949:U1949"/>
    <mergeCell ref="V1949:W1949"/>
    <mergeCell ref="X1949:Z1949"/>
    <mergeCell ref="B1950:D1950"/>
    <mergeCell ref="E1950:G1950"/>
    <mergeCell ref="H1950:M1950"/>
    <mergeCell ref="N1950:U1950"/>
    <mergeCell ref="V1950:W1950"/>
    <mergeCell ref="X1952:Z1952"/>
    <mergeCell ref="B1951:D1951"/>
    <mergeCell ref="E1951:G1951"/>
    <mergeCell ref="H1951:M1951"/>
    <mergeCell ref="N1951:U1951"/>
    <mergeCell ref="V1951:W1951"/>
    <mergeCell ref="X1951:Z1951"/>
    <mergeCell ref="B1952:D1952"/>
    <mergeCell ref="E1952:G1952"/>
    <mergeCell ref="H1952:M1952"/>
    <mergeCell ref="N1952:U1952"/>
    <mergeCell ref="V1952:W1952"/>
    <mergeCell ref="X1954:Z1954"/>
    <mergeCell ref="B1953:D1953"/>
    <mergeCell ref="E1953:G1953"/>
    <mergeCell ref="H1953:M1953"/>
    <mergeCell ref="N1953:U1953"/>
    <mergeCell ref="V1953:W1953"/>
    <mergeCell ref="X1953:Z1953"/>
    <mergeCell ref="B1954:D1954"/>
    <mergeCell ref="E1954:G1954"/>
    <mergeCell ref="H1954:M1954"/>
    <mergeCell ref="N1954:U1954"/>
    <mergeCell ref="V1954:W1954"/>
    <mergeCell ref="X1956:Z1956"/>
    <mergeCell ref="B1955:D1955"/>
    <mergeCell ref="E1955:G1955"/>
    <mergeCell ref="H1955:M1955"/>
    <mergeCell ref="N1955:U1955"/>
    <mergeCell ref="V1955:W1955"/>
    <mergeCell ref="X1955:Z1955"/>
    <mergeCell ref="B1956:D1956"/>
    <mergeCell ref="E1956:G1956"/>
    <mergeCell ref="H1956:M1956"/>
    <mergeCell ref="N1956:U1956"/>
    <mergeCell ref="V1956:W1956"/>
    <mergeCell ref="X1958:Z1958"/>
    <mergeCell ref="B1957:D1957"/>
    <mergeCell ref="E1957:G1957"/>
    <mergeCell ref="H1957:M1957"/>
    <mergeCell ref="N1957:U1957"/>
    <mergeCell ref="V1957:W1957"/>
    <mergeCell ref="X1957:Z1957"/>
    <mergeCell ref="B1958:D1958"/>
    <mergeCell ref="E1958:G1958"/>
    <mergeCell ref="H1958:M1958"/>
    <mergeCell ref="N1958:U1958"/>
    <mergeCell ref="V1958:W1958"/>
    <mergeCell ref="X1960:Z1960"/>
    <mergeCell ref="B1959:D1959"/>
    <mergeCell ref="E1959:G1959"/>
    <mergeCell ref="H1959:M1959"/>
    <mergeCell ref="N1959:U1959"/>
    <mergeCell ref="V1959:W1959"/>
    <mergeCell ref="X1959:Z1959"/>
    <mergeCell ref="B1960:D1960"/>
    <mergeCell ref="E1960:G1960"/>
    <mergeCell ref="H1960:M1960"/>
    <mergeCell ref="N1960:U1960"/>
    <mergeCell ref="V1960:W1960"/>
    <mergeCell ref="X1962:Z1962"/>
    <mergeCell ref="B1961:D1961"/>
    <mergeCell ref="E1961:G1961"/>
    <mergeCell ref="H1961:M1961"/>
    <mergeCell ref="N1961:U1961"/>
    <mergeCell ref="V1961:W1961"/>
    <mergeCell ref="X1961:Z1961"/>
    <mergeCell ref="B1962:D1962"/>
    <mergeCell ref="E1962:G1962"/>
    <mergeCell ref="H1962:M1962"/>
    <mergeCell ref="N1962:U1962"/>
    <mergeCell ref="V1962:W1962"/>
    <mergeCell ref="X1964:Z1964"/>
    <mergeCell ref="B1963:D1963"/>
    <mergeCell ref="E1963:G1963"/>
    <mergeCell ref="H1963:M1963"/>
    <mergeCell ref="N1963:U1963"/>
    <mergeCell ref="V1963:W1963"/>
    <mergeCell ref="X1963:Z1963"/>
    <mergeCell ref="B1964:D1964"/>
    <mergeCell ref="E1964:G1964"/>
    <mergeCell ref="H1964:M1964"/>
    <mergeCell ref="N1964:U1964"/>
    <mergeCell ref="V1964:W1964"/>
    <mergeCell ref="X1966:Z1966"/>
    <mergeCell ref="B1965:D1965"/>
    <mergeCell ref="E1965:G1965"/>
    <mergeCell ref="H1965:M1965"/>
    <mergeCell ref="N1965:U1965"/>
    <mergeCell ref="V1965:W1965"/>
    <mergeCell ref="X1965:Z1965"/>
    <mergeCell ref="B1966:D1966"/>
    <mergeCell ref="E1966:G1966"/>
    <mergeCell ref="H1966:M1966"/>
    <mergeCell ref="N1966:U1966"/>
    <mergeCell ref="V1966:W1966"/>
    <mergeCell ref="X1968:Z1968"/>
    <mergeCell ref="B1967:D1967"/>
    <mergeCell ref="E1967:G1967"/>
    <mergeCell ref="H1967:M1967"/>
    <mergeCell ref="N1967:U1967"/>
    <mergeCell ref="V1967:W1967"/>
    <mergeCell ref="X1967:Z1967"/>
    <mergeCell ref="B1968:D1968"/>
    <mergeCell ref="E1968:G1968"/>
    <mergeCell ref="H1968:M1968"/>
    <mergeCell ref="N1968:U1968"/>
    <mergeCell ref="V1968:W1968"/>
    <mergeCell ref="X1970:Z1970"/>
    <mergeCell ref="B1969:D1969"/>
    <mergeCell ref="E1969:G1969"/>
    <mergeCell ref="H1969:M1969"/>
    <mergeCell ref="N1969:U1969"/>
    <mergeCell ref="V1969:W1969"/>
    <mergeCell ref="X1969:Z1969"/>
    <mergeCell ref="B1970:D1970"/>
    <mergeCell ref="E1970:G1970"/>
    <mergeCell ref="H1970:M1970"/>
    <mergeCell ref="N1970:U1970"/>
    <mergeCell ref="V1970:W1970"/>
    <mergeCell ref="X1972:Z1972"/>
    <mergeCell ref="B1971:D1971"/>
    <mergeCell ref="E1971:G1971"/>
    <mergeCell ref="H1971:M1971"/>
    <mergeCell ref="N1971:U1971"/>
    <mergeCell ref="V1971:W1971"/>
    <mergeCell ref="X1971:Z1971"/>
    <mergeCell ref="B1972:D1972"/>
    <mergeCell ref="E1972:G1972"/>
    <mergeCell ref="H1972:M1972"/>
    <mergeCell ref="N1972:U1972"/>
    <mergeCell ref="V1972:W1972"/>
    <mergeCell ref="X1974:Z1974"/>
    <mergeCell ref="B1973:D1973"/>
    <mergeCell ref="E1973:G1973"/>
    <mergeCell ref="H1973:M1973"/>
    <mergeCell ref="N1973:U1973"/>
    <mergeCell ref="V1973:W1973"/>
    <mergeCell ref="X1973:Z1973"/>
    <mergeCell ref="B1974:D1974"/>
    <mergeCell ref="E1974:G1974"/>
    <mergeCell ref="H1974:M1974"/>
    <mergeCell ref="N1974:U1974"/>
    <mergeCell ref="V1974:W1974"/>
    <mergeCell ref="X1976:Z1976"/>
    <mergeCell ref="B1975:D1975"/>
    <mergeCell ref="E1975:G1975"/>
    <mergeCell ref="H1975:M1975"/>
    <mergeCell ref="N1975:U1975"/>
    <mergeCell ref="V1975:W1975"/>
    <mergeCell ref="X1975:Z1975"/>
    <mergeCell ref="B1976:D1976"/>
    <mergeCell ref="E1976:G1976"/>
    <mergeCell ref="H1976:M1976"/>
    <mergeCell ref="N1976:U1976"/>
    <mergeCell ref="V1976:W1976"/>
    <mergeCell ref="X1978:Z1978"/>
    <mergeCell ref="B1977:D1977"/>
    <mergeCell ref="E1977:G1977"/>
    <mergeCell ref="H1977:M1977"/>
    <mergeCell ref="N1977:U1977"/>
    <mergeCell ref="V1977:W1977"/>
    <mergeCell ref="X1977:Z1977"/>
    <mergeCell ref="B1978:D1978"/>
    <mergeCell ref="E1978:G1978"/>
    <mergeCell ref="H1978:M1978"/>
    <mergeCell ref="N1978:U1978"/>
    <mergeCell ref="V1978:W1978"/>
    <mergeCell ref="X1980:Z1980"/>
    <mergeCell ref="B1979:D1979"/>
    <mergeCell ref="E1979:G1979"/>
    <mergeCell ref="H1979:M1979"/>
    <mergeCell ref="N1979:U1979"/>
    <mergeCell ref="V1979:W1979"/>
    <mergeCell ref="X1979:Z1979"/>
    <mergeCell ref="B1980:D1980"/>
    <mergeCell ref="E1980:G1980"/>
    <mergeCell ref="H1980:M1980"/>
    <mergeCell ref="N1980:U1980"/>
    <mergeCell ref="V1980:W1980"/>
    <mergeCell ref="X1982:Z1982"/>
    <mergeCell ref="B1981:D1981"/>
    <mergeCell ref="E1981:G1981"/>
    <mergeCell ref="H1981:M1981"/>
    <mergeCell ref="N1981:U1981"/>
    <mergeCell ref="V1981:W1981"/>
    <mergeCell ref="X1981:Z1981"/>
    <mergeCell ref="B1982:D1982"/>
    <mergeCell ref="E1982:G1982"/>
    <mergeCell ref="H1982:M1982"/>
    <mergeCell ref="N1982:U1982"/>
    <mergeCell ref="V1982:W1982"/>
    <mergeCell ref="X1984:Z1984"/>
    <mergeCell ref="B1983:D1983"/>
    <mergeCell ref="E1983:G1983"/>
    <mergeCell ref="H1983:M1983"/>
    <mergeCell ref="N1983:U1983"/>
    <mergeCell ref="V1983:W1983"/>
    <mergeCell ref="X1983:Z1983"/>
    <mergeCell ref="B1984:D1984"/>
    <mergeCell ref="E1984:G1984"/>
    <mergeCell ref="H1984:M1984"/>
    <mergeCell ref="N1984:U1984"/>
    <mergeCell ref="V1984:W1984"/>
    <mergeCell ref="X1986:Z1986"/>
    <mergeCell ref="B1985:D1985"/>
    <mergeCell ref="E1985:G1985"/>
    <mergeCell ref="H1985:M1985"/>
    <mergeCell ref="N1985:U1985"/>
    <mergeCell ref="V1985:W1985"/>
    <mergeCell ref="X1985:Z1985"/>
    <mergeCell ref="B1986:D1986"/>
    <mergeCell ref="E1986:G1986"/>
    <mergeCell ref="H1986:M1986"/>
    <mergeCell ref="N1986:U1986"/>
    <mergeCell ref="V1986:W1986"/>
    <mergeCell ref="X1988:Z1988"/>
    <mergeCell ref="B1987:D1987"/>
    <mergeCell ref="E1987:G1987"/>
    <mergeCell ref="H1987:M1987"/>
    <mergeCell ref="N1987:U1987"/>
    <mergeCell ref="V1987:W1987"/>
    <mergeCell ref="X1987:Z1987"/>
    <mergeCell ref="B1988:D1988"/>
    <mergeCell ref="E1988:G1988"/>
    <mergeCell ref="H1988:M1988"/>
    <mergeCell ref="N1988:U1988"/>
    <mergeCell ref="V1988:W1988"/>
    <mergeCell ref="X1990:Z1990"/>
    <mergeCell ref="B1989:D1989"/>
    <mergeCell ref="E1989:G1989"/>
    <mergeCell ref="H1989:M1989"/>
    <mergeCell ref="N1989:U1989"/>
    <mergeCell ref="V1989:W1989"/>
    <mergeCell ref="X1989:Z1989"/>
    <mergeCell ref="B1990:D1990"/>
    <mergeCell ref="E1990:G1990"/>
    <mergeCell ref="H1990:M1990"/>
    <mergeCell ref="N1990:U1990"/>
    <mergeCell ref="V1990:W1990"/>
    <mergeCell ref="X1992:Z1992"/>
    <mergeCell ref="B1991:D1991"/>
    <mergeCell ref="E1991:G1991"/>
    <mergeCell ref="H1991:M1991"/>
    <mergeCell ref="N1991:U1991"/>
    <mergeCell ref="V1991:W1991"/>
    <mergeCell ref="X1991:Z1991"/>
    <mergeCell ref="B1992:D1992"/>
    <mergeCell ref="E1992:G1992"/>
    <mergeCell ref="H1992:M1992"/>
    <mergeCell ref="N1992:U1992"/>
    <mergeCell ref="V1992:W1992"/>
    <mergeCell ref="X1994:Z1994"/>
    <mergeCell ref="B1993:D1993"/>
    <mergeCell ref="E1993:G1993"/>
    <mergeCell ref="H1993:M1993"/>
    <mergeCell ref="N1993:U1993"/>
    <mergeCell ref="V1993:W1993"/>
    <mergeCell ref="X1993:Z1993"/>
    <mergeCell ref="B1994:D1994"/>
    <mergeCell ref="E1994:G1994"/>
    <mergeCell ref="H1994:M1994"/>
    <mergeCell ref="N1994:U1994"/>
    <mergeCell ref="V1994:W1994"/>
    <mergeCell ref="X1996:Z1996"/>
    <mergeCell ref="B1995:D1995"/>
    <mergeCell ref="E1995:G1995"/>
    <mergeCell ref="H1995:M1995"/>
    <mergeCell ref="N1995:U1995"/>
    <mergeCell ref="V1995:W1995"/>
    <mergeCell ref="X1995:Z1995"/>
    <mergeCell ref="B1996:D1996"/>
    <mergeCell ref="E1996:G1996"/>
    <mergeCell ref="H1996:M1996"/>
    <mergeCell ref="N1996:U1996"/>
    <mergeCell ref="V1996:W1996"/>
    <mergeCell ref="X1998:Z1998"/>
    <mergeCell ref="B1997:D1997"/>
    <mergeCell ref="E1997:G1997"/>
    <mergeCell ref="H1997:M1997"/>
    <mergeCell ref="N1997:U1997"/>
    <mergeCell ref="V1997:W1997"/>
    <mergeCell ref="X1997:Z1997"/>
    <mergeCell ref="B1998:D1998"/>
    <mergeCell ref="E1998:G1998"/>
    <mergeCell ref="H1998:M1998"/>
    <mergeCell ref="N1998:U1998"/>
    <mergeCell ref="V1998:W1998"/>
    <mergeCell ref="X2000:Z2000"/>
    <mergeCell ref="B1999:D1999"/>
    <mergeCell ref="E1999:G1999"/>
    <mergeCell ref="H1999:M1999"/>
    <mergeCell ref="N1999:U1999"/>
    <mergeCell ref="V1999:W1999"/>
    <mergeCell ref="X1999:Z1999"/>
    <mergeCell ref="B2000:D2000"/>
    <mergeCell ref="E2000:G2000"/>
    <mergeCell ref="H2000:M2000"/>
    <mergeCell ref="N2000:U2000"/>
    <mergeCell ref="V2000:W2000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2:AD137"/>
  <sheetViews>
    <sheetView workbookViewId="0">
      <selection activeCell="A2" sqref="A2"/>
    </sheetView>
  </sheetViews>
  <sheetFormatPr defaultColWidth="11" defaultRowHeight="20.100000000000001" customHeight="1" x14ac:dyDescent="0.2"/>
  <cols>
    <col min="1" max="1" width="0.140625" style="32" customWidth="1"/>
    <col min="2" max="2" width="14.28515625" style="32" customWidth="1"/>
    <col min="3" max="3" width="29" style="32" customWidth="1"/>
    <col min="4" max="4" width="46.7109375" style="32" customWidth="1"/>
    <col min="5" max="5" width="11.140625" style="32" customWidth="1"/>
    <col min="6" max="6" width="57.7109375" style="32" customWidth="1"/>
    <col min="7" max="7" width="14" style="32" customWidth="1"/>
    <col min="8" max="8" width="10" style="32" customWidth="1"/>
    <col min="9" max="9" width="15" style="32" customWidth="1"/>
    <col min="10" max="31" width="11" style="32" customWidth="1"/>
    <col min="32" max="16384" width="11" style="32"/>
  </cols>
  <sheetData>
    <row r="2" spans="1:30" ht="12.75" x14ac:dyDescent="0.2">
      <c r="D2" s="33" t="s">
        <v>0</v>
      </c>
    </row>
    <row r="5" spans="1:30" ht="12.75" x14ac:dyDescent="0.2">
      <c r="C5" s="34" t="s">
        <v>1</v>
      </c>
      <c r="D5" s="99" t="s">
        <v>2</v>
      </c>
      <c r="E5" s="99" t="s">
        <v>2</v>
      </c>
      <c r="F5" s="99" t="s">
        <v>2</v>
      </c>
    </row>
    <row r="6" spans="1:30" ht="12.75" x14ac:dyDescent="0.2">
      <c r="C6" s="34" t="s">
        <v>3</v>
      </c>
      <c r="D6" s="99"/>
      <c r="E6" s="99"/>
      <c r="F6" s="99"/>
    </row>
    <row r="7" spans="1:30" ht="12.75" x14ac:dyDescent="0.2">
      <c r="C7" s="34" t="s">
        <v>4</v>
      </c>
      <c r="D7" s="99"/>
      <c r="E7" s="99"/>
      <c r="F7" s="99"/>
      <c r="G7" s="36" t="str">
        <f>IF(LEN(D7)&gt;18,"The max length of PO Number allowed is 18","")</f>
        <v/>
      </c>
    </row>
    <row r="8" spans="1:30" ht="12.75" x14ac:dyDescent="0.2">
      <c r="C8" s="34" t="s">
        <v>5</v>
      </c>
      <c r="D8" s="100"/>
      <c r="E8" s="100"/>
      <c r="F8" s="100"/>
      <c r="G8" s="36" t="str">
        <f>IF(ISNUMBER(D8),"MM/DD/YY",IF(D8="",""," Invalid date (MM/DD/YY)"))</f>
        <v/>
      </c>
    </row>
    <row r="9" spans="1:30" ht="12.75" x14ac:dyDescent="0.2">
      <c r="C9" s="34" t="s">
        <v>6</v>
      </c>
      <c r="D9" s="100"/>
      <c r="E9" s="100"/>
      <c r="F9" s="100"/>
      <c r="G9" s="35" t="str">
        <f>IF(ISNUMBER(D9),IF(D9&lt;D8,"Cancel Date must be greater than Requested Delivery Date","MM/DD/YY"),IF(D9="",""," Invalid date (MM/DD/YY)"))</f>
        <v/>
      </c>
    </row>
    <row r="11" spans="1:30" ht="12.95" customHeight="1" x14ac:dyDescent="0.2">
      <c r="A11" s="101" t="s">
        <v>7</v>
      </c>
      <c r="B11" s="101"/>
      <c r="C11" s="101"/>
      <c r="G11" s="49" t="s">
        <v>8</v>
      </c>
      <c r="H11" s="49">
        <f>VLOOKUP("TOTAL PAIRS",$H$15:$J$15000,3,0)</f>
        <v>0</v>
      </c>
      <c r="I11" s="49">
        <f>VLOOKUP("TOTAL COST",$H$15:$J$15000,3,0)</f>
        <v>0</v>
      </c>
    </row>
    <row r="12" spans="1:30" ht="12.95" customHeight="1" x14ac:dyDescent="0.25">
      <c r="A12" s="102" t="s">
        <v>9</v>
      </c>
      <c r="B12" s="102"/>
      <c r="C12" s="102"/>
      <c r="D12" s="102"/>
      <c r="E12" s="102"/>
      <c r="F12" s="102"/>
      <c r="G12" s="103" t="s">
        <v>10</v>
      </c>
      <c r="H12" s="103"/>
      <c r="I12" s="103"/>
    </row>
    <row r="13" spans="1:30" ht="12.75" x14ac:dyDescent="0.2">
      <c r="A13" s="37"/>
      <c r="B13" s="50" t="s">
        <v>11</v>
      </c>
      <c r="C13" s="50" t="s">
        <v>12</v>
      </c>
      <c r="D13" s="50" t="s">
        <v>13</v>
      </c>
      <c r="E13" s="50" t="s">
        <v>14</v>
      </c>
      <c r="F13" s="50" t="s">
        <v>15</v>
      </c>
      <c r="G13" s="50" t="s">
        <v>16</v>
      </c>
      <c r="H13" s="50" t="s">
        <v>17</v>
      </c>
      <c r="I13" s="50" t="s">
        <v>18</v>
      </c>
      <c r="J13" s="104" t="s">
        <v>19</v>
      </c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48"/>
      <c r="X13" s="48"/>
      <c r="Y13" s="48"/>
      <c r="Z13" s="48"/>
      <c r="AA13" s="48"/>
      <c r="AB13" s="48"/>
      <c r="AC13" s="48"/>
      <c r="AD13" s="48"/>
    </row>
    <row r="14" spans="1:30" ht="12.75" x14ac:dyDescent="0.2">
      <c r="A14" s="37"/>
      <c r="B14" s="50"/>
      <c r="C14" s="50"/>
      <c r="D14" s="50"/>
      <c r="E14" s="50"/>
      <c r="F14" s="50"/>
      <c r="G14" s="50"/>
      <c r="H14" s="50"/>
      <c r="I14" s="50" t="s">
        <v>9</v>
      </c>
      <c r="J14" s="51" t="s">
        <v>20</v>
      </c>
      <c r="K14" s="51" t="s">
        <v>21</v>
      </c>
      <c r="L14" s="51" t="s">
        <v>22</v>
      </c>
      <c r="M14" s="51" t="s">
        <v>23</v>
      </c>
      <c r="N14" s="51" t="s">
        <v>24</v>
      </c>
      <c r="O14" s="51" t="s">
        <v>25</v>
      </c>
      <c r="P14" s="51" t="s">
        <v>26</v>
      </c>
      <c r="Q14" s="51" t="s">
        <v>27</v>
      </c>
      <c r="R14" s="51" t="s">
        <v>28</v>
      </c>
      <c r="S14" s="51" t="s">
        <v>29</v>
      </c>
      <c r="T14" s="51" t="s">
        <v>30</v>
      </c>
      <c r="U14" s="51" t="s">
        <v>31</v>
      </c>
      <c r="V14" s="51" t="s">
        <v>32</v>
      </c>
      <c r="W14" s="52"/>
      <c r="X14" s="52"/>
      <c r="Y14" s="52"/>
      <c r="Z14" s="52"/>
      <c r="AA14" s="52"/>
      <c r="AB14" s="52"/>
      <c r="AC14" s="52"/>
      <c r="AD14" s="52"/>
    </row>
    <row r="15" spans="1:30" ht="12.75" x14ac:dyDescent="0.2">
      <c r="A15" s="38" t="s">
        <v>33</v>
      </c>
      <c r="B15" s="37"/>
      <c r="C15" s="37"/>
      <c r="D15" s="37"/>
      <c r="E15" s="37"/>
      <c r="F15" s="37"/>
      <c r="G15" s="37" t="s">
        <v>9</v>
      </c>
      <c r="H15" s="37" t="s">
        <v>9</v>
      </c>
      <c r="I15" s="37" t="s">
        <v>9</v>
      </c>
      <c r="J15" s="39" t="s">
        <v>20</v>
      </c>
      <c r="K15" s="39" t="s">
        <v>21</v>
      </c>
      <c r="L15" s="39" t="s">
        <v>22</v>
      </c>
      <c r="M15" s="39" t="s">
        <v>23</v>
      </c>
      <c r="N15" s="39" t="s">
        <v>24</v>
      </c>
      <c r="O15" s="39" t="s">
        <v>25</v>
      </c>
      <c r="P15" s="39" t="s">
        <v>26</v>
      </c>
      <c r="Q15" s="39" t="s">
        <v>27</v>
      </c>
      <c r="R15" s="39" t="s">
        <v>28</v>
      </c>
      <c r="S15" s="39" t="s">
        <v>29</v>
      </c>
      <c r="T15" s="39" t="s">
        <v>30</v>
      </c>
      <c r="U15" s="39" t="s">
        <v>31</v>
      </c>
      <c r="V15" s="39" t="s">
        <v>32</v>
      </c>
    </row>
    <row r="16" spans="1:30" ht="12.95" customHeight="1" x14ac:dyDescent="0.2">
      <c r="A16" s="37"/>
      <c r="B16" s="42" t="str">
        <f>HYPERLINK("https://us-east-2-production9-hive-20200324201045952400000002.s3.amazonaws.com/import-files/timberland/product_images/original-TB0A417G_EDU_P_1.png","TB0A417GEDU1")</f>
        <v>TB0A417GEDU1</v>
      </c>
      <c r="C16" s="37" t="s">
        <v>34</v>
      </c>
      <c r="D16" s="37" t="s">
        <v>35</v>
      </c>
      <c r="E16" s="37" t="s">
        <v>36</v>
      </c>
      <c r="F16" s="37" t="s">
        <v>37</v>
      </c>
      <c r="G16" s="43">
        <v>80</v>
      </c>
      <c r="H16" s="37">
        <f>J16+K16+L16+M16+N16+O16+P16+Q16+R16+S16+T16+U16+V16</f>
        <v>0</v>
      </c>
      <c r="I16" s="44">
        <f>(J16*WholesalePrice!J16)+(K16*WholesalePrice!K16)+(L16*WholesalePrice!L16)+(M16*WholesalePrice!M16)+(N16*WholesalePrice!N16)+(O16*WholesalePrice!O16)+(P16*WholesalePrice!P16)+(Q16*WholesalePrice!Q16)+(R16*WholesalePrice!R16)+(S16*WholesalePrice!S16)+(T16*WholesalePrice!T16)+(U16*WholesalePrice!U16)+(V16*WholesalePrice!V16)</f>
        <v>0</v>
      </c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</row>
    <row r="17" spans="1:30" ht="12.95" customHeight="1" x14ac:dyDescent="0.2">
      <c r="A17" s="37"/>
      <c r="B17" s="42" t="str">
        <f>HYPERLINK("https://us-east-2-production9-hive-20200324201045952400000002.s3.amazonaws.com/import-files/timberland/product_images/original-TB0A417G_EK5_P_1.png","TB0A417GEK51")</f>
        <v>TB0A417GEK51</v>
      </c>
      <c r="C17" s="37" t="s">
        <v>34</v>
      </c>
      <c r="D17" s="37" t="s">
        <v>38</v>
      </c>
      <c r="E17" s="37" t="s">
        <v>36</v>
      </c>
      <c r="F17" s="37" t="s">
        <v>37</v>
      </c>
      <c r="G17" s="43">
        <v>80</v>
      </c>
      <c r="H17" s="37">
        <f>J17+K17+L17+M17+N17+O17+P17+Q17+R17+S17+T17+U17+V17</f>
        <v>0</v>
      </c>
      <c r="I17" s="44">
        <f>(J17*WholesalePrice!J17)+(K17*WholesalePrice!K17)+(L17*WholesalePrice!L17)+(M17*WholesalePrice!M17)+(N17*WholesalePrice!N17)+(O17*WholesalePrice!O17)+(P17*WholesalePrice!P17)+(Q17*WholesalePrice!Q17)+(R17*WholesalePrice!R17)+(S17*WholesalePrice!S17)+(T17*WholesalePrice!T17)+(U17*WholesalePrice!U17)+(V17*WholesalePrice!V17)</f>
        <v>0</v>
      </c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</row>
    <row r="18" spans="1:30" ht="12.95" customHeight="1" x14ac:dyDescent="0.2">
      <c r="A18" s="37"/>
      <c r="B18" s="42" t="str">
        <f>HYPERLINK("https://us-east-2-production9-hive-20200324201045952400000002.s3.amazonaws.com/import-files/timberland/product_images/original-TB0A66SK_EFB_P_1.png","TB0A66SKEFB1")</f>
        <v>TB0A66SKEFB1</v>
      </c>
      <c r="C18" s="37" t="s">
        <v>34</v>
      </c>
      <c r="D18" s="37" t="s">
        <v>39</v>
      </c>
      <c r="E18" s="37" t="s">
        <v>36</v>
      </c>
      <c r="F18" s="37" t="s">
        <v>40</v>
      </c>
      <c r="G18" s="43">
        <v>75</v>
      </c>
      <c r="H18" s="37">
        <f>J18+K18+L18+M18+N18+O18+P18+Q18+R18+S18+T18+U18+V18</f>
        <v>0</v>
      </c>
      <c r="I18" s="44">
        <f>(J18*WholesalePrice!J18)+(K18*WholesalePrice!K18)+(L18*WholesalePrice!L18)+(M18*WholesalePrice!M18)+(N18*WholesalePrice!N18)+(O18*WholesalePrice!O18)+(P18*WholesalePrice!P18)+(Q18*WholesalePrice!Q18)+(R18*WholesalePrice!R18)+(S18*WholesalePrice!S18)+(T18*WholesalePrice!T18)+(U18*WholesalePrice!U18)+(V18*WholesalePrice!V18)</f>
        <v>0</v>
      </c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</row>
    <row r="19" spans="1:30" ht="12.95" customHeight="1" x14ac:dyDescent="0.2">
      <c r="A19" s="37"/>
      <c r="B19" s="42" t="str">
        <f>HYPERLINK("https://us-east-2-production9-hive-20200324201045952400000002.s3.amazonaws.com/import-files/timberland/product_images/original-TB0A66SK_EEM_P_1.png","TB0A66SKEEM1")</f>
        <v>TB0A66SKEEM1</v>
      </c>
      <c r="C19" s="37" t="s">
        <v>34</v>
      </c>
      <c r="D19" s="37" t="s">
        <v>41</v>
      </c>
      <c r="E19" s="37" t="s">
        <v>36</v>
      </c>
      <c r="F19" s="37" t="s">
        <v>40</v>
      </c>
      <c r="G19" s="43">
        <v>75</v>
      </c>
      <c r="H19" s="37">
        <f>J19+K19+L19+M19+N19+O19+P19+Q19+R19+S19+T19+U19+V19</f>
        <v>0</v>
      </c>
      <c r="I19" s="44">
        <f>(J19*WholesalePrice!J19)+(K19*WholesalePrice!K19)+(L19*WholesalePrice!L19)+(M19*WholesalePrice!M19)+(N19*WholesalePrice!N19)+(O19*WholesalePrice!O19)+(P19*WholesalePrice!P19)+(Q19*WholesalePrice!Q19)+(R19*WholesalePrice!R19)+(S19*WholesalePrice!S19)+(T19*WholesalePrice!T19)+(U19*WholesalePrice!U19)+(V19*WholesalePrice!V19)</f>
        <v>0</v>
      </c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</row>
    <row r="20" spans="1:30" ht="12.95" customHeight="1" x14ac:dyDescent="0.2">
      <c r="A20" s="37"/>
      <c r="B20" s="42" t="str">
        <f>HYPERLINK("https://us-east-2-production9-hive-20200324201045952400000002.s3.amazonaws.com/import-files/timberland/product_images/original-TB0A44QY_EEA_P_1.png","TB0A44QYEEA1")</f>
        <v>TB0A44QYEEA1</v>
      </c>
      <c r="C20" s="37" t="s">
        <v>34</v>
      </c>
      <c r="D20" s="37" t="s">
        <v>42</v>
      </c>
      <c r="E20" s="37" t="s">
        <v>36</v>
      </c>
      <c r="F20" s="37" t="s">
        <v>43</v>
      </c>
      <c r="G20" s="43">
        <v>65</v>
      </c>
      <c r="H20" s="37">
        <f>J20+K20+L20+M20+N20+O20+P20+Q20+R20+S20+T20+U20+V20</f>
        <v>0</v>
      </c>
      <c r="I20" s="44">
        <f>(J20*WholesalePrice!J20)+(K20*WholesalePrice!K20)+(L20*WholesalePrice!L20)+(M20*WholesalePrice!M20)+(N20*WholesalePrice!N20)+(O20*WholesalePrice!O20)+(P20*WholesalePrice!P20)+(Q20*WholesalePrice!Q20)+(R20*WholesalePrice!R20)+(S20*WholesalePrice!S20)+(T20*WholesalePrice!T20)+(U20*WholesalePrice!U20)+(V20*WholesalePrice!V20)</f>
        <v>0</v>
      </c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</row>
    <row r="21" spans="1:30" ht="12.95" customHeight="1" x14ac:dyDescent="0.2">
      <c r="A21" s="37"/>
      <c r="B21" s="42" t="str">
        <f>HYPERLINK("https://us-east-2-production9-hive-20200324201045952400000002.s3.amazonaws.com/import-files/timberland/product_images/original-TB0A66WB_V96_P_1.png","TB0A66WBV961")</f>
        <v>TB0A66WBV961</v>
      </c>
      <c r="C21" s="37" t="s">
        <v>34</v>
      </c>
      <c r="D21" s="37" t="s">
        <v>44</v>
      </c>
      <c r="E21" s="37" t="s">
        <v>36</v>
      </c>
      <c r="F21" s="37" t="s">
        <v>45</v>
      </c>
      <c r="G21" s="43">
        <v>85</v>
      </c>
      <c r="H21" s="37">
        <f>V21</f>
        <v>0</v>
      </c>
      <c r="I21" s="44">
        <f>(V21*WholesalePrice!V21)</f>
        <v>0</v>
      </c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37"/>
    </row>
    <row r="22" spans="1:30" ht="12.95" customHeight="1" x14ac:dyDescent="0.2">
      <c r="A22" s="37"/>
      <c r="B22" s="42" t="str">
        <f>HYPERLINK("https://us-east-2-production9-hive-20200324201045952400000002.s3.amazonaws.com/import-files/timberland/product_images/original-TB1A2A55_001_P_1.png","TB1A2A550011")</f>
        <v>TB1A2A550011</v>
      </c>
      <c r="C22" s="37" t="s">
        <v>34</v>
      </c>
      <c r="D22" s="37" t="s">
        <v>46</v>
      </c>
      <c r="E22" s="37" t="s">
        <v>36</v>
      </c>
      <c r="F22" s="37" t="s">
        <v>47</v>
      </c>
      <c r="G22" s="43">
        <v>85</v>
      </c>
      <c r="H22" s="37">
        <f>J22+K22+L22+M22+N22+O22+P22+Q22+R22+S22+T22+U22+V22</f>
        <v>0</v>
      </c>
      <c r="I22" s="44">
        <f>(J22*WholesalePrice!J22)+(K22*WholesalePrice!K22)+(L22*WholesalePrice!L22)+(M22*WholesalePrice!M22)+(N22*WholesalePrice!N22)+(O22*WholesalePrice!O22)+(P22*WholesalePrice!P22)+(Q22*WholesalePrice!Q22)+(R22*WholesalePrice!R22)+(S22*WholesalePrice!S22)+(T22*WholesalePrice!T22)+(U22*WholesalePrice!U22)+(V22*WholesalePrice!V22)</f>
        <v>0</v>
      </c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</row>
    <row r="23" spans="1:30" ht="12.75" x14ac:dyDescent="0.2">
      <c r="A23" s="38" t="s">
        <v>48</v>
      </c>
      <c r="B23" s="37"/>
      <c r="C23" s="37"/>
      <c r="D23" s="37"/>
      <c r="E23" s="37"/>
      <c r="F23" s="37"/>
      <c r="G23" s="37" t="s">
        <v>9</v>
      </c>
      <c r="H23" s="37" t="s">
        <v>9</v>
      </c>
      <c r="I23" s="37" t="s">
        <v>9</v>
      </c>
      <c r="J23" s="39" t="s">
        <v>49</v>
      </c>
      <c r="K23" s="39" t="s">
        <v>50</v>
      </c>
      <c r="L23" s="39" t="s">
        <v>51</v>
      </c>
      <c r="M23" s="39" t="s">
        <v>52</v>
      </c>
      <c r="N23" s="39" t="s">
        <v>53</v>
      </c>
      <c r="O23" s="39" t="s">
        <v>54</v>
      </c>
      <c r="P23" s="39" t="s">
        <v>55</v>
      </c>
      <c r="Q23" s="39" t="s">
        <v>20</v>
      </c>
      <c r="R23" s="39" t="s">
        <v>21</v>
      </c>
      <c r="S23" s="39" t="s">
        <v>22</v>
      </c>
      <c r="T23" s="39" t="s">
        <v>23</v>
      </c>
      <c r="U23" s="39" t="s">
        <v>24</v>
      </c>
      <c r="V23" s="39" t="s">
        <v>25</v>
      </c>
      <c r="W23" s="39" t="s">
        <v>26</v>
      </c>
      <c r="X23" s="39" t="s">
        <v>27</v>
      </c>
      <c r="Y23" s="39" t="s">
        <v>28</v>
      </c>
      <c r="Z23" s="39" t="s">
        <v>56</v>
      </c>
      <c r="AA23" s="39" t="s">
        <v>29</v>
      </c>
      <c r="AB23" s="39" t="s">
        <v>30</v>
      </c>
      <c r="AC23" s="39" t="s">
        <v>31</v>
      </c>
      <c r="AD23" s="39" t="s">
        <v>32</v>
      </c>
    </row>
    <row r="24" spans="1:30" ht="12.95" customHeight="1" x14ac:dyDescent="0.2">
      <c r="A24" s="37"/>
      <c r="B24" s="42" t="str">
        <f>HYPERLINK("https://us-east-2-production9-hive-20200324201045952400000002.s3.amazonaws.com/import-files/timberland/product_images/original-TB0A66EB_W02_P_1.png","TB0A66EBW021")</f>
        <v>TB0A66EBW021</v>
      </c>
      <c r="C24" s="37" t="s">
        <v>57</v>
      </c>
      <c r="D24" s="37" t="s">
        <v>58</v>
      </c>
      <c r="E24" s="37" t="s">
        <v>36</v>
      </c>
      <c r="F24" s="37" t="s">
        <v>59</v>
      </c>
      <c r="G24" s="43">
        <v>150</v>
      </c>
      <c r="H24" s="37">
        <f>Z24</f>
        <v>0</v>
      </c>
      <c r="I24" s="44">
        <f>(Z24*WholesalePrice!Z24)</f>
        <v>0</v>
      </c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37"/>
      <c r="AA24" s="45"/>
      <c r="AB24" s="45"/>
      <c r="AC24" s="45"/>
      <c r="AD24" s="45"/>
    </row>
    <row r="25" spans="1:30" ht="12.95" customHeight="1" x14ac:dyDescent="0.2">
      <c r="A25" s="37"/>
      <c r="B25" s="42" t="str">
        <f>HYPERLINK("https://us-east-2-production9-hive-20200324201045952400000002.s3.amazonaws.com/import-files/timberland/product_images/original-TB0A66EB_W02_P_1.png","TB0A66EBW021")</f>
        <v>TB0A66EBW021</v>
      </c>
      <c r="C25" s="37" t="s">
        <v>34</v>
      </c>
      <c r="D25" s="37" t="s">
        <v>58</v>
      </c>
      <c r="E25" s="37" t="s">
        <v>36</v>
      </c>
      <c r="F25" s="37" t="s">
        <v>59</v>
      </c>
      <c r="G25" s="43">
        <v>150</v>
      </c>
      <c r="H25" s="37">
        <f>Q25+R25+S25+T25+U25+V25+W25+X25+Y25+Z25+AA25+AB25+AC25+AD25</f>
        <v>0</v>
      </c>
      <c r="I25" s="44">
        <f>(Q25*WholesalePrice!Q25)+(R25*WholesalePrice!R25)+(S25*WholesalePrice!S25)+(T25*WholesalePrice!T25)+(U25*WholesalePrice!U25)+(V25*WholesalePrice!V25)+(W25*WholesalePrice!W25)+(X25*WholesalePrice!X25)+(Y25*WholesalePrice!Y25)+(Z25*WholesalePrice!Z25)+(AA25*WholesalePrice!AA25)+(AB25*WholesalePrice!AB25)+(AC25*WholesalePrice!AC25)+(AD25*WholesalePrice!AD25)</f>
        <v>0</v>
      </c>
      <c r="J25" s="45"/>
      <c r="K25" s="45"/>
      <c r="L25" s="45"/>
      <c r="M25" s="45"/>
      <c r="N25" s="45"/>
      <c r="O25" s="45"/>
      <c r="P25" s="45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</row>
    <row r="26" spans="1:30" ht="12.95" customHeight="1" x14ac:dyDescent="0.2">
      <c r="A26" s="37"/>
      <c r="B26" s="42" t="str">
        <f>HYPERLINK("https://us-east-2-production9-hive-20200324201045952400000002.s3.amazonaws.com/import-files/timberland/product_images/original-TB0A64A7_W02_P_1.png","TB0A64A7W021")</f>
        <v>TB0A64A7W021</v>
      </c>
      <c r="C26" s="37" t="s">
        <v>34</v>
      </c>
      <c r="D26" s="37" t="s">
        <v>58</v>
      </c>
      <c r="E26" s="37" t="s">
        <v>36</v>
      </c>
      <c r="F26" s="37" t="s">
        <v>60</v>
      </c>
      <c r="G26" s="43">
        <v>130</v>
      </c>
      <c r="H26" s="37">
        <f>Q26+R26+S26+T26+U26+V26+W26+X26+Y26+AA26+AB26+AC26+AD26</f>
        <v>0</v>
      </c>
      <c r="I26" s="44">
        <f>(Q26*WholesalePrice!Q26)+(R26*WholesalePrice!R26)+(S26*WholesalePrice!S26)+(T26*WholesalePrice!T26)+(U26*WholesalePrice!U26)+(V26*WholesalePrice!V26)+(W26*WholesalePrice!W26)+(X26*WholesalePrice!X26)+(Y26*WholesalePrice!Y26)+(AA26*WholesalePrice!AA26)+(AB26*WholesalePrice!AB26)+(AC26*WholesalePrice!AC26)+(AD26*WholesalePrice!AD26)</f>
        <v>0</v>
      </c>
      <c r="J26" s="45"/>
      <c r="K26" s="45"/>
      <c r="L26" s="45"/>
      <c r="M26" s="45"/>
      <c r="N26" s="45"/>
      <c r="O26" s="45"/>
      <c r="P26" s="45"/>
      <c r="Q26" s="37"/>
      <c r="R26" s="37"/>
      <c r="S26" s="37"/>
      <c r="T26" s="37"/>
      <c r="U26" s="37"/>
      <c r="V26" s="37"/>
      <c r="W26" s="37"/>
      <c r="X26" s="37"/>
      <c r="Y26" s="37"/>
      <c r="Z26" s="45"/>
      <c r="AA26" s="37"/>
      <c r="AB26" s="37"/>
      <c r="AC26" s="37"/>
      <c r="AD26" s="37"/>
    </row>
    <row r="27" spans="1:30" ht="12.95" customHeight="1" x14ac:dyDescent="0.2">
      <c r="A27" s="37"/>
      <c r="B27" s="42" t="str">
        <f>HYPERLINK("https://us-east-2-production9-hive-20200324201045952400000002.s3.amazonaws.com/import-files/timberland/product_images/original-TB0A63PU_EM4_P_1.png","TB0A63PUEM41")</f>
        <v>TB0A63PUEM41</v>
      </c>
      <c r="C27" s="37" t="s">
        <v>57</v>
      </c>
      <c r="D27" s="37" t="s">
        <v>61</v>
      </c>
      <c r="E27" s="37" t="s">
        <v>36</v>
      </c>
      <c r="F27" s="37" t="s">
        <v>62</v>
      </c>
      <c r="G27" s="43">
        <v>137.5</v>
      </c>
      <c r="H27" s="37">
        <f>J27+K27+L27+M27+N27+O27+P27+Q27+R27+S27+T27+U27+V27+W27+X27+Y27+Z27+AA27+AB27+AC27+AD27</f>
        <v>0</v>
      </c>
      <c r="I27" s="44">
        <f>(J27*WholesalePrice!J27)+(K27*WholesalePrice!K27)+(L27*WholesalePrice!L27)+(M27*WholesalePrice!M27)+(N27*WholesalePrice!N27)+(O27*WholesalePrice!O27)+(P27*WholesalePrice!P27)+(Q27*WholesalePrice!Q27)+(R27*WholesalePrice!R27)+(S27*WholesalePrice!S27)+(T27*WholesalePrice!T27)+(U27*WholesalePrice!U27)+(V27*WholesalePrice!V27)+(W27*WholesalePrice!W27)+(X27*WholesalePrice!X27)+(Y27*WholesalePrice!Y27)+(Z27*WholesalePrice!Z27)+(AA27*WholesalePrice!AA27)+(AB27*WholesalePrice!AB27)+(AC27*WholesalePrice!AC27)+(AD27*WholesalePrice!AD27)</f>
        <v>0</v>
      </c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</row>
    <row r="28" spans="1:30" ht="12.95" customHeight="1" x14ac:dyDescent="0.2">
      <c r="A28" s="37"/>
      <c r="B28" s="42" t="str">
        <f>HYPERLINK("https://us-east-2-production9-hive-20200324201045952400000002.s3.amazonaws.com/import-files/timberland/product_images/original-TB0A63PU_EM4_P_1.png","TB0A63PUEM41")</f>
        <v>TB0A63PUEM41</v>
      </c>
      <c r="C28" s="37" t="s">
        <v>34</v>
      </c>
      <c r="D28" s="37" t="s">
        <v>61</v>
      </c>
      <c r="E28" s="37" t="s">
        <v>36</v>
      </c>
      <c r="F28" s="37" t="s">
        <v>62</v>
      </c>
      <c r="G28" s="43">
        <v>137.5</v>
      </c>
      <c r="H28" s="37">
        <f>J28+K28+L28+M28+N28+O28+P28+Q28+R28+S28+T28+U28+V28+W28+X28+Y28+Z28+AA28+AB28+AC28+AD28</f>
        <v>0</v>
      </c>
      <c r="I28" s="44">
        <f>(J28*WholesalePrice!J28)+(K28*WholesalePrice!K28)+(L28*WholesalePrice!L28)+(M28*WholesalePrice!M28)+(N28*WholesalePrice!N28)+(O28*WholesalePrice!O28)+(P28*WholesalePrice!P28)+(Q28*WholesalePrice!Q28)+(R28*WholesalePrice!R28)+(S28*WholesalePrice!S28)+(T28*WholesalePrice!T28)+(U28*WholesalePrice!U28)+(V28*WholesalePrice!V28)+(W28*WholesalePrice!W28)+(X28*WholesalePrice!X28)+(Y28*WholesalePrice!Y28)+(Z28*WholesalePrice!Z28)+(AA28*WholesalePrice!AA28)+(AB28*WholesalePrice!AB28)+(AC28*WholesalePrice!AC28)+(AD28*WholesalePrice!AD28)</f>
        <v>0</v>
      </c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</row>
    <row r="29" spans="1:30" ht="12.95" customHeight="1" x14ac:dyDescent="0.2">
      <c r="A29" s="37"/>
      <c r="B29" s="42" t="str">
        <f>HYPERLINK("https://us-east-2-production9-hive-20200324201045952400000002.s3.amazonaws.com/import-files/timberland/product_images/original-TB0A63PU_W02_P_1.png","TB0A63PUW021")</f>
        <v>TB0A63PUW021</v>
      </c>
      <c r="C29" s="37" t="s">
        <v>34</v>
      </c>
      <c r="D29" s="37" t="s">
        <v>58</v>
      </c>
      <c r="E29" s="37" t="s">
        <v>36</v>
      </c>
      <c r="F29" s="37" t="s">
        <v>62</v>
      </c>
      <c r="G29" s="43">
        <v>137.5</v>
      </c>
      <c r="H29" s="37">
        <f>Q29+R29+S29+T29+U29+V29+W29+X29+Y29+Z29+AA29+AB29+AC29+AD29</f>
        <v>0</v>
      </c>
      <c r="I29" s="44">
        <f>(Q29*WholesalePrice!Q29)+(R29*WholesalePrice!R29)+(S29*WholesalePrice!S29)+(T29*WholesalePrice!T29)+(U29*WholesalePrice!U29)+(V29*WholesalePrice!V29)+(W29*WholesalePrice!W29)+(X29*WholesalePrice!X29)+(Y29*WholesalePrice!Y29)+(Z29*WholesalePrice!Z29)+(AA29*WholesalePrice!AA29)+(AB29*WholesalePrice!AB29)+(AC29*WholesalePrice!AC29)+(AD29*WholesalePrice!AD29)</f>
        <v>0</v>
      </c>
      <c r="J29" s="45"/>
      <c r="K29" s="45"/>
      <c r="L29" s="45"/>
      <c r="M29" s="45"/>
      <c r="N29" s="45"/>
      <c r="O29" s="45"/>
      <c r="P29" s="45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</row>
    <row r="30" spans="1:30" ht="12.95" customHeight="1" x14ac:dyDescent="0.2">
      <c r="A30" s="37"/>
      <c r="B30" s="42" t="str">
        <f>HYPERLINK("https://us-east-2-production9-hive-20200324201045952400000002.s3.amazonaws.com/import-files/timberland/product_images/original-TB0A67TQ_EM4_P_1.png","TB0A67TQEM41")</f>
        <v>TB0A67TQEM41</v>
      </c>
      <c r="C30" s="37" t="s">
        <v>57</v>
      </c>
      <c r="D30" s="37" t="s">
        <v>61</v>
      </c>
      <c r="E30" s="37" t="s">
        <v>36</v>
      </c>
      <c r="F30" s="37" t="s">
        <v>63</v>
      </c>
      <c r="G30" s="43">
        <v>130</v>
      </c>
      <c r="H30" s="37">
        <f>Q30+R30+S30+T30+U30+V30+W30+X30+Y30+Z30+AA30+AB30+AC30</f>
        <v>0</v>
      </c>
      <c r="I30" s="44">
        <f>(Q30*WholesalePrice!Q30)+(R30*WholesalePrice!R30)+(S30*WholesalePrice!S30)+(T30*WholesalePrice!T30)+(U30*WholesalePrice!U30)+(V30*WholesalePrice!V30)+(W30*WholesalePrice!W30)+(X30*WholesalePrice!X30)+(Y30*WholesalePrice!Y30)+(Z30*WholesalePrice!Z30)+(AA30*WholesalePrice!AA30)+(AB30*WholesalePrice!AB30)+(AC30*WholesalePrice!AC30)</f>
        <v>0</v>
      </c>
      <c r="J30" s="45"/>
      <c r="K30" s="45"/>
      <c r="L30" s="45"/>
      <c r="M30" s="45"/>
      <c r="N30" s="45"/>
      <c r="O30" s="45"/>
      <c r="P30" s="45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45"/>
    </row>
    <row r="31" spans="1:30" ht="12.95" customHeight="1" x14ac:dyDescent="0.2">
      <c r="A31" s="37"/>
      <c r="B31" s="42" t="str">
        <f>HYPERLINK("https://us-east-2-production9-hive-20200324201045952400000002.s3.amazonaws.com/import-files/timberland/product_images/original-TB0A67TQ_EM4_P_1.png","TB0A67TQEM41")</f>
        <v>TB0A67TQEM41</v>
      </c>
      <c r="C31" s="37" t="s">
        <v>34</v>
      </c>
      <c r="D31" s="37" t="s">
        <v>61</v>
      </c>
      <c r="E31" s="37" t="s">
        <v>36</v>
      </c>
      <c r="F31" s="37" t="s">
        <v>63</v>
      </c>
      <c r="G31" s="43">
        <v>130</v>
      </c>
      <c r="H31" s="37">
        <f>Z31</f>
        <v>0</v>
      </c>
      <c r="I31" s="44">
        <f>(Z31*WholesalePrice!Z31)</f>
        <v>0</v>
      </c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37"/>
      <c r="AA31" s="45"/>
      <c r="AB31" s="45"/>
      <c r="AC31" s="45"/>
      <c r="AD31" s="45"/>
    </row>
    <row r="32" spans="1:30" ht="12.95" customHeight="1" x14ac:dyDescent="0.2">
      <c r="A32" s="37"/>
      <c r="B32" s="42" t="str">
        <f>HYPERLINK("https://us-east-2-production9-hive-20200324201045952400000002.s3.amazonaws.com/import-files/timberland/product_images/original-TB0A639Q_W01_P_1.png","TB0A639QW011")</f>
        <v>TB0A639QW011</v>
      </c>
      <c r="C32" s="37" t="s">
        <v>57</v>
      </c>
      <c r="D32" s="37" t="s">
        <v>64</v>
      </c>
      <c r="E32" s="37" t="s">
        <v>36</v>
      </c>
      <c r="F32" s="37" t="s">
        <v>65</v>
      </c>
      <c r="G32" s="43">
        <v>120</v>
      </c>
      <c r="H32" s="37">
        <f>Q32+R32+S32+T32+U32+V32+W32+X32+Y32+Z32</f>
        <v>0</v>
      </c>
      <c r="I32" s="44">
        <f>(Q32*WholesalePrice!Q32)+(R32*WholesalePrice!R32)+(S32*WholesalePrice!S32)+(T32*WholesalePrice!T32)+(U32*WholesalePrice!U32)+(V32*WholesalePrice!V32)+(W32*WholesalePrice!W32)+(X32*WholesalePrice!X32)+(Y32*WholesalePrice!Y32)+(Z32*WholesalePrice!Z32)</f>
        <v>0</v>
      </c>
      <c r="J32" s="45"/>
      <c r="K32" s="45"/>
      <c r="L32" s="45"/>
      <c r="M32" s="45"/>
      <c r="N32" s="45"/>
      <c r="O32" s="45"/>
      <c r="P32" s="45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45"/>
      <c r="AB32" s="45"/>
      <c r="AC32" s="45"/>
      <c r="AD32" s="45"/>
    </row>
    <row r="33" spans="1:30" ht="12.95" customHeight="1" x14ac:dyDescent="0.2">
      <c r="A33" s="37"/>
      <c r="B33" s="42" t="str">
        <f>HYPERLINK("https://us-east-2-production9-hive-20200324201045952400000002.s3.amazonaws.com/import-files/timberland/product_images/original-TB0A639Q_W01_P_1.png","TB0A639QW011")</f>
        <v>TB0A639QW011</v>
      </c>
      <c r="C33" s="37" t="s">
        <v>34</v>
      </c>
      <c r="D33" s="37" t="s">
        <v>64</v>
      </c>
      <c r="E33" s="37" t="s">
        <v>36</v>
      </c>
      <c r="F33" s="37" t="s">
        <v>65</v>
      </c>
      <c r="G33" s="43">
        <v>120</v>
      </c>
      <c r="H33" s="37">
        <f>Z33</f>
        <v>0</v>
      </c>
      <c r="I33" s="44">
        <f>(Z33*WholesalePrice!Z33)</f>
        <v>0</v>
      </c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37"/>
      <c r="AA33" s="45"/>
      <c r="AB33" s="45"/>
      <c r="AC33" s="45"/>
      <c r="AD33" s="45"/>
    </row>
    <row r="34" spans="1:30" ht="12.95" customHeight="1" x14ac:dyDescent="0.2">
      <c r="A34" s="37"/>
      <c r="B34" s="42" t="str">
        <f>HYPERLINK("https://us-east-2-production9-hive-20200324201045952400000002.s3.amazonaws.com/import-files/timberland/product_images/original-TB0A66MK_ELE_P_1.png","TB0A66MKELE1")</f>
        <v>TB0A66MKELE1</v>
      </c>
      <c r="C34" s="37" t="s">
        <v>57</v>
      </c>
      <c r="D34" s="37" t="s">
        <v>66</v>
      </c>
      <c r="E34" s="37" t="s">
        <v>36</v>
      </c>
      <c r="F34" s="37" t="s">
        <v>67</v>
      </c>
      <c r="G34" s="43">
        <v>150</v>
      </c>
      <c r="H34" s="37">
        <f>Q34+R34+S34+T34+U34+V34+W34+X34+Y34+Z34+AA34+AB34+AC34+AD34</f>
        <v>0</v>
      </c>
      <c r="I34" s="44">
        <f>(Q34*WholesalePrice!Q34)+(R34*WholesalePrice!R34)+(S34*WholesalePrice!S34)+(T34*WholesalePrice!T34)+(U34*WholesalePrice!U34)+(V34*WholesalePrice!V34)+(W34*WholesalePrice!W34)+(X34*WholesalePrice!X34)+(Y34*WholesalePrice!Y34)+(Z34*WholesalePrice!Z34)+(AA34*WholesalePrice!AA34)+(AB34*WholesalePrice!AB34)+(AC34*WholesalePrice!AC34)+(AD34*WholesalePrice!AD34)</f>
        <v>0</v>
      </c>
      <c r="J34" s="45"/>
      <c r="K34" s="45"/>
      <c r="L34" s="45"/>
      <c r="M34" s="45"/>
      <c r="N34" s="45"/>
      <c r="O34" s="45"/>
      <c r="P34" s="45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</row>
    <row r="35" spans="1:30" ht="12.95" customHeight="1" x14ac:dyDescent="0.2">
      <c r="A35" s="37"/>
      <c r="B35" s="42" t="str">
        <f>HYPERLINK("https://us-east-2-production9-hive-20200324201045952400000002.s3.amazonaws.com/import-files/timberland/product_images/original-TB0A66MK_ELE_P_1.png","TB0A66MKELE1")</f>
        <v>TB0A66MKELE1</v>
      </c>
      <c r="C35" s="37" t="s">
        <v>34</v>
      </c>
      <c r="D35" s="37" t="s">
        <v>66</v>
      </c>
      <c r="E35" s="37" t="s">
        <v>36</v>
      </c>
      <c r="F35" s="37" t="s">
        <v>67</v>
      </c>
      <c r="G35" s="43">
        <v>150</v>
      </c>
      <c r="H35" s="37">
        <f>Q35+R35+S35+T35+U35+V35+W35+X35+Y35+Z35+AA35+AB35+AC35+AD35</f>
        <v>0</v>
      </c>
      <c r="I35" s="44">
        <f>(Q35*WholesalePrice!Q35)+(R35*WholesalePrice!R35)+(S35*WholesalePrice!S35)+(T35*WholesalePrice!T35)+(U35*WholesalePrice!U35)+(V35*WholesalePrice!V35)+(W35*WholesalePrice!W35)+(X35*WholesalePrice!X35)+(Y35*WholesalePrice!Y35)+(Z35*WholesalePrice!Z35)+(AA35*WholesalePrice!AA35)+(AB35*WholesalePrice!AB35)+(AC35*WholesalePrice!AC35)+(AD35*WholesalePrice!AD35)</f>
        <v>0</v>
      </c>
      <c r="J35" s="45"/>
      <c r="K35" s="45"/>
      <c r="L35" s="45"/>
      <c r="M35" s="45"/>
      <c r="N35" s="45"/>
      <c r="O35" s="45"/>
      <c r="P35" s="45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</row>
    <row r="36" spans="1:30" ht="12.95" customHeight="1" x14ac:dyDescent="0.2">
      <c r="A36" s="37"/>
      <c r="B36" s="42" t="str">
        <f>HYPERLINK("https://us-east-2-production9-hive-20200324201045952400000002.s3.amazonaws.com/import-files/timberland/product_images/original-TB1A5M6J_214_P_1.png","TB1A5M6J2141")</f>
        <v>TB1A5M6J2141</v>
      </c>
      <c r="C36" s="37" t="s">
        <v>34</v>
      </c>
      <c r="D36" s="37" t="s">
        <v>68</v>
      </c>
      <c r="E36" s="37" t="s">
        <v>36</v>
      </c>
      <c r="F36" s="37" t="s">
        <v>69</v>
      </c>
      <c r="G36" s="43">
        <v>140</v>
      </c>
      <c r="H36" s="37">
        <f>Q36+R36+S36+T36+U36+V36+W36+X36+Y36+AA36+AB36+AC36+AD36</f>
        <v>0</v>
      </c>
      <c r="I36" s="44">
        <f>(Q36*WholesalePrice!Q36)+(R36*WholesalePrice!R36)+(S36*WholesalePrice!S36)+(T36*WholesalePrice!T36)+(U36*WholesalePrice!U36)+(V36*WholesalePrice!V36)+(W36*WholesalePrice!W36)+(X36*WholesalePrice!X36)+(Y36*WholesalePrice!Y36)+(AA36*WholesalePrice!AA36)+(AB36*WholesalePrice!AB36)+(AC36*WholesalePrice!AC36)+(AD36*WholesalePrice!AD36)</f>
        <v>0</v>
      </c>
      <c r="J36" s="45"/>
      <c r="K36" s="45"/>
      <c r="L36" s="45"/>
      <c r="M36" s="45"/>
      <c r="N36" s="45"/>
      <c r="O36" s="45"/>
      <c r="P36" s="45"/>
      <c r="Q36" s="37"/>
      <c r="R36" s="37"/>
      <c r="S36" s="37"/>
      <c r="T36" s="37"/>
      <c r="U36" s="37"/>
      <c r="V36" s="37"/>
      <c r="W36" s="37"/>
      <c r="X36" s="37"/>
      <c r="Y36" s="37"/>
      <c r="Z36" s="45"/>
      <c r="AA36" s="37"/>
      <c r="AB36" s="37"/>
      <c r="AC36" s="37"/>
      <c r="AD36" s="37"/>
    </row>
    <row r="37" spans="1:30" ht="12.95" customHeight="1" x14ac:dyDescent="0.2">
      <c r="A37" s="37"/>
      <c r="B37" s="42" t="str">
        <f>HYPERLINK("https://us-east-2-production9-hive-20200324201045952400000002.s3.amazonaws.com/import-files/timberland/product_images/original-TB1A5X27_001_P_1.png","TB1A5X270011")</f>
        <v>TB1A5X270011</v>
      </c>
      <c r="C37" s="37" t="s">
        <v>34</v>
      </c>
      <c r="D37" s="37" t="s">
        <v>46</v>
      </c>
      <c r="E37" s="37" t="s">
        <v>36</v>
      </c>
      <c r="F37" s="37" t="s">
        <v>70</v>
      </c>
      <c r="G37" s="43">
        <v>125</v>
      </c>
      <c r="H37" s="37">
        <f>AD37</f>
        <v>0</v>
      </c>
      <c r="I37" s="44">
        <f>(AD37*WholesalePrice!AD37)</f>
        <v>0</v>
      </c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37"/>
    </row>
    <row r="38" spans="1:30" ht="12.95" customHeight="1" x14ac:dyDescent="0.2">
      <c r="A38" s="37"/>
      <c r="B38" s="42" t="str">
        <f>HYPERLINK("https://us-east-2-production9-hive-20200324201045952400000002.s3.amazonaws.com/import-files/timberland/product_images/original-TB1A12EO_001_P_1.png","TB1A12EO0011")</f>
        <v>TB1A12EO0011</v>
      </c>
      <c r="C38" s="37" t="s">
        <v>34</v>
      </c>
      <c r="D38" s="37" t="s">
        <v>46</v>
      </c>
      <c r="E38" s="37" t="s">
        <v>36</v>
      </c>
      <c r="F38" s="37" t="s">
        <v>71</v>
      </c>
      <c r="G38" s="43">
        <v>140</v>
      </c>
      <c r="H38" s="37">
        <f t="shared" ref="H38:H43" si="0">Q38+R38+S38+T38+U38+V38+W38+X38+Y38+AA38+AB38+AC38+AD38</f>
        <v>0</v>
      </c>
      <c r="I38" s="44">
        <f>(Q38*WholesalePrice!Q38)+(R38*WholesalePrice!R38)+(S38*WholesalePrice!S38)+(T38*WholesalePrice!T38)+(U38*WholesalePrice!U38)+(V38*WholesalePrice!V38)+(W38*WholesalePrice!W38)+(X38*WholesalePrice!X38)+(Y38*WholesalePrice!Y38)+(AA38*WholesalePrice!AA38)+(AB38*WholesalePrice!AB38)+(AC38*WholesalePrice!AC38)+(AD38*WholesalePrice!AD38)</f>
        <v>0</v>
      </c>
      <c r="J38" s="45"/>
      <c r="K38" s="45"/>
      <c r="L38" s="45"/>
      <c r="M38" s="45"/>
      <c r="N38" s="45"/>
      <c r="O38" s="45"/>
      <c r="P38" s="45"/>
      <c r="Q38" s="37"/>
      <c r="R38" s="37"/>
      <c r="S38" s="37"/>
      <c r="T38" s="37"/>
      <c r="U38" s="37"/>
      <c r="V38" s="37"/>
      <c r="W38" s="37"/>
      <c r="X38" s="37"/>
      <c r="Y38" s="37"/>
      <c r="Z38" s="45"/>
      <c r="AA38" s="37"/>
      <c r="AB38" s="37"/>
      <c r="AC38" s="37"/>
      <c r="AD38" s="37"/>
    </row>
    <row r="39" spans="1:30" ht="12.95" customHeight="1" x14ac:dyDescent="0.2">
      <c r="A39" s="37"/>
      <c r="B39" s="42" t="str">
        <f>HYPERLINK("https://us-east-2-production9-hive-20200324201045952400000002.s3.amazonaws.com/import-files/timberland/product_images/original-TB1A12EZ_214_P_1.png","TB1A12EZ2141")</f>
        <v>TB1A12EZ2141</v>
      </c>
      <c r="C39" s="37" t="s">
        <v>34</v>
      </c>
      <c r="D39" s="37" t="s">
        <v>68</v>
      </c>
      <c r="E39" s="37" t="s">
        <v>36</v>
      </c>
      <c r="F39" s="37" t="s">
        <v>71</v>
      </c>
      <c r="G39" s="43">
        <v>140</v>
      </c>
      <c r="H39" s="37">
        <f t="shared" si="0"/>
        <v>0</v>
      </c>
      <c r="I39" s="44">
        <f>(Q39*WholesalePrice!Q39)+(R39*WholesalePrice!R39)+(S39*WholesalePrice!S39)+(T39*WholesalePrice!T39)+(U39*WholesalePrice!U39)+(V39*WholesalePrice!V39)+(W39*WholesalePrice!W39)+(X39*WholesalePrice!X39)+(Y39*WholesalePrice!Y39)+(AA39*WholesalePrice!AA39)+(AB39*WholesalePrice!AB39)+(AC39*WholesalePrice!AC39)+(AD39*WholesalePrice!AD39)</f>
        <v>0</v>
      </c>
      <c r="J39" s="45"/>
      <c r="K39" s="45"/>
      <c r="L39" s="45"/>
      <c r="M39" s="45"/>
      <c r="N39" s="45"/>
      <c r="O39" s="45"/>
      <c r="P39" s="45"/>
      <c r="Q39" s="37"/>
      <c r="R39" s="37"/>
      <c r="S39" s="37"/>
      <c r="T39" s="37"/>
      <c r="U39" s="37"/>
      <c r="V39" s="37"/>
      <c r="W39" s="37"/>
      <c r="X39" s="37"/>
      <c r="Y39" s="37"/>
      <c r="Z39" s="45"/>
      <c r="AA39" s="37"/>
      <c r="AB39" s="37"/>
      <c r="AC39" s="37"/>
      <c r="AD39" s="37"/>
    </row>
    <row r="40" spans="1:30" ht="12.95" customHeight="1" x14ac:dyDescent="0.2">
      <c r="A40" s="37"/>
      <c r="B40" s="42" t="str">
        <f>HYPERLINK("https://us-east-2-production9-hive-20200324201045952400000002.s3.amazonaws.com/import-files/timberland/product_images/original-TB1A1Q6Z_001_P_1.png","TB1A1Q6Z0011")</f>
        <v>TB1A1Q6Z0011</v>
      </c>
      <c r="C40" s="37" t="s">
        <v>34</v>
      </c>
      <c r="D40" s="37" t="s">
        <v>46</v>
      </c>
      <c r="E40" s="37" t="s">
        <v>36</v>
      </c>
      <c r="F40" s="37" t="s">
        <v>72</v>
      </c>
      <c r="G40" s="43">
        <v>155</v>
      </c>
      <c r="H40" s="37">
        <f t="shared" si="0"/>
        <v>0</v>
      </c>
      <c r="I40" s="44">
        <f>(Q40*WholesalePrice!Q40)+(R40*WholesalePrice!R40)+(S40*WholesalePrice!S40)+(T40*WholesalePrice!T40)+(U40*WholesalePrice!U40)+(V40*WholesalePrice!V40)+(W40*WholesalePrice!W40)+(X40*WholesalePrice!X40)+(Y40*WholesalePrice!Y40)+(AA40*WholesalePrice!AA40)+(AB40*WholesalePrice!AB40)+(AC40*WholesalePrice!AC40)+(AD40*WholesalePrice!AD40)</f>
        <v>0</v>
      </c>
      <c r="J40" s="45"/>
      <c r="K40" s="45"/>
      <c r="L40" s="45"/>
      <c r="M40" s="45"/>
      <c r="N40" s="45"/>
      <c r="O40" s="45"/>
      <c r="P40" s="45"/>
      <c r="Q40" s="37"/>
      <c r="R40" s="37"/>
      <c r="S40" s="37"/>
      <c r="T40" s="37"/>
      <c r="U40" s="37"/>
      <c r="V40" s="37"/>
      <c r="W40" s="37"/>
      <c r="X40" s="37"/>
      <c r="Y40" s="37"/>
      <c r="Z40" s="45"/>
      <c r="AA40" s="37"/>
      <c r="AB40" s="37"/>
      <c r="AC40" s="37"/>
      <c r="AD40" s="37"/>
    </row>
    <row r="41" spans="1:30" ht="12.95" customHeight="1" x14ac:dyDescent="0.2">
      <c r="A41" s="37"/>
      <c r="B41" s="42" t="str">
        <f>HYPERLINK("https://us-east-2-production9-hive-20200324201045952400000002.s3.amazonaws.com/import-files/timberland/product_images/original-TB1A1RW2_214_P_1.png","TB1A1RW22141")</f>
        <v>TB1A1RW22141</v>
      </c>
      <c r="C41" s="37" t="s">
        <v>34</v>
      </c>
      <c r="D41" s="37" t="s">
        <v>68</v>
      </c>
      <c r="E41" s="37" t="s">
        <v>36</v>
      </c>
      <c r="F41" s="37" t="s">
        <v>72</v>
      </c>
      <c r="G41" s="43">
        <v>155</v>
      </c>
      <c r="H41" s="37">
        <f t="shared" si="0"/>
        <v>0</v>
      </c>
      <c r="I41" s="44">
        <f>(Q41*WholesalePrice!Q41)+(R41*WholesalePrice!R41)+(S41*WholesalePrice!S41)+(T41*WholesalePrice!T41)+(U41*WholesalePrice!U41)+(V41*WholesalePrice!V41)+(W41*WholesalePrice!W41)+(X41*WholesalePrice!X41)+(Y41*WholesalePrice!Y41)+(AA41*WholesalePrice!AA41)+(AB41*WholesalePrice!AB41)+(AC41*WholesalePrice!AC41)+(AD41*WholesalePrice!AD41)</f>
        <v>0</v>
      </c>
      <c r="J41" s="45"/>
      <c r="K41" s="45"/>
      <c r="L41" s="45"/>
      <c r="M41" s="45"/>
      <c r="N41" s="45"/>
      <c r="O41" s="45"/>
      <c r="P41" s="45"/>
      <c r="Q41" s="37"/>
      <c r="R41" s="37"/>
      <c r="S41" s="37"/>
      <c r="T41" s="37"/>
      <c r="U41" s="37"/>
      <c r="V41" s="37"/>
      <c r="W41" s="37"/>
      <c r="X41" s="37"/>
      <c r="Y41" s="37"/>
      <c r="Z41" s="45"/>
      <c r="AA41" s="37"/>
      <c r="AB41" s="37"/>
      <c r="AC41" s="37"/>
      <c r="AD41" s="37"/>
    </row>
    <row r="42" spans="1:30" ht="12.95" customHeight="1" x14ac:dyDescent="0.2">
      <c r="A42" s="37"/>
      <c r="B42" s="42" t="str">
        <f>HYPERLINK("https://us-east-2-production9-hive-20200324201045952400000002.s3.amazonaws.com/import-files/timberland/product_images/original-TB1A1V3W_270_P_1.png","TB1A1V3W2701")</f>
        <v>TB1A1V3W2701</v>
      </c>
      <c r="C42" s="37" t="s">
        <v>34</v>
      </c>
      <c r="D42" s="37" t="s">
        <v>73</v>
      </c>
      <c r="E42" s="37" t="s">
        <v>36</v>
      </c>
      <c r="F42" s="37" t="s">
        <v>74</v>
      </c>
      <c r="G42" s="43">
        <v>150</v>
      </c>
      <c r="H42" s="37">
        <f t="shared" si="0"/>
        <v>0</v>
      </c>
      <c r="I42" s="44">
        <f>(Q42*WholesalePrice!Q42)+(R42*WholesalePrice!R42)+(S42*WholesalePrice!S42)+(T42*WholesalePrice!T42)+(U42*WholesalePrice!U42)+(V42*WholesalePrice!V42)+(W42*WholesalePrice!W42)+(X42*WholesalePrice!X42)+(Y42*WholesalePrice!Y42)+(AA42*WholesalePrice!AA42)+(AB42*WholesalePrice!AB42)+(AC42*WholesalePrice!AC42)+(AD42*WholesalePrice!AD42)</f>
        <v>0</v>
      </c>
      <c r="J42" s="45"/>
      <c r="K42" s="45"/>
      <c r="L42" s="45"/>
      <c r="M42" s="45"/>
      <c r="N42" s="45"/>
      <c r="O42" s="45"/>
      <c r="P42" s="45"/>
      <c r="Q42" s="37"/>
      <c r="R42" s="37"/>
      <c r="S42" s="37"/>
      <c r="T42" s="37"/>
      <c r="U42" s="37"/>
      <c r="V42" s="37"/>
      <c r="W42" s="37"/>
      <c r="X42" s="37"/>
      <c r="Y42" s="37"/>
      <c r="Z42" s="45"/>
      <c r="AA42" s="37"/>
      <c r="AB42" s="37"/>
      <c r="AC42" s="37"/>
      <c r="AD42" s="37"/>
    </row>
    <row r="43" spans="1:30" ht="12.95" customHeight="1" x14ac:dyDescent="0.2">
      <c r="A43" s="37"/>
      <c r="B43" s="42" t="str">
        <f>HYPERLINK("https://us-east-2-production9-hive-20200324201045952400000002.s3.amazonaws.com/import-files/timberland/product_images/original-TB1A2APK_001_P_1.png","TB1A2APK0011")</f>
        <v>TB1A2APK0011</v>
      </c>
      <c r="C43" s="37" t="s">
        <v>34</v>
      </c>
      <c r="D43" s="37" t="s">
        <v>46</v>
      </c>
      <c r="E43" s="37" t="s">
        <v>36</v>
      </c>
      <c r="F43" s="37" t="s">
        <v>74</v>
      </c>
      <c r="G43" s="43">
        <v>150</v>
      </c>
      <c r="H43" s="37">
        <f t="shared" si="0"/>
        <v>0</v>
      </c>
      <c r="I43" s="44">
        <f>(Q43*WholesalePrice!Q43)+(R43*WholesalePrice!R43)+(S43*WholesalePrice!S43)+(T43*WholesalePrice!T43)+(U43*WholesalePrice!U43)+(V43*WholesalePrice!V43)+(W43*WholesalePrice!W43)+(X43*WholesalePrice!X43)+(Y43*WholesalePrice!Y43)+(AA43*WholesalePrice!AA43)+(AB43*WholesalePrice!AB43)+(AC43*WholesalePrice!AC43)+(AD43*WholesalePrice!AD43)</f>
        <v>0</v>
      </c>
      <c r="J43" s="45"/>
      <c r="K43" s="45"/>
      <c r="L43" s="45"/>
      <c r="M43" s="45"/>
      <c r="N43" s="45"/>
      <c r="O43" s="45"/>
      <c r="P43" s="45"/>
      <c r="Q43" s="37"/>
      <c r="R43" s="37"/>
      <c r="S43" s="37"/>
      <c r="T43" s="37"/>
      <c r="U43" s="37"/>
      <c r="V43" s="37"/>
      <c r="W43" s="37"/>
      <c r="X43" s="37"/>
      <c r="Y43" s="37"/>
      <c r="Z43" s="45"/>
      <c r="AA43" s="37"/>
      <c r="AB43" s="37"/>
      <c r="AC43" s="37"/>
      <c r="AD43" s="37"/>
    </row>
    <row r="44" spans="1:30" ht="12.95" customHeight="1" x14ac:dyDescent="0.2">
      <c r="A44" s="37"/>
      <c r="B44" s="42" t="str">
        <f>HYPERLINK("https://us-east-2-production9-hive-20200324201045952400000002.s3.amazonaws.com/import-files/timberland/product_images/original-TB189645_001_P_1.png","TB1896450011")</f>
        <v>TB1896450011</v>
      </c>
      <c r="C44" s="37" t="s">
        <v>34</v>
      </c>
      <c r="D44" s="37" t="s">
        <v>46</v>
      </c>
      <c r="E44" s="37" t="s">
        <v>36</v>
      </c>
      <c r="F44" s="37" t="s">
        <v>75</v>
      </c>
      <c r="G44" s="43">
        <v>160</v>
      </c>
      <c r="H44" s="37">
        <f>Q44+R44+S44+T44+U44+V44+W44+X44+Y44+Z44+AA44+AB44+AC44+AD44</f>
        <v>0</v>
      </c>
      <c r="I44" s="44">
        <f>(Q44*WholesalePrice!Q44)+(R44*WholesalePrice!R44)+(S44*WholesalePrice!S44)+(T44*WholesalePrice!T44)+(U44*WholesalePrice!U44)+(V44*WholesalePrice!V44)+(W44*WholesalePrice!W44)+(X44*WholesalePrice!X44)+(Y44*WholesalePrice!Y44)+(Z44*WholesalePrice!Z44)+(AA44*WholesalePrice!AA44)+(AB44*WholesalePrice!AB44)+(AC44*WholesalePrice!AC44)+(AD44*WholesalePrice!AD44)</f>
        <v>0</v>
      </c>
      <c r="J44" s="45"/>
      <c r="K44" s="45"/>
      <c r="L44" s="45"/>
      <c r="M44" s="45"/>
      <c r="N44" s="45"/>
      <c r="O44" s="45"/>
      <c r="P44" s="45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</row>
    <row r="45" spans="1:30" ht="12.95" customHeight="1" x14ac:dyDescent="0.2">
      <c r="A45" s="37"/>
      <c r="B45" s="42" t="str">
        <f>HYPERLINK("https://us-east-2-production9-hive-20200324201045952400000002.s3.amazonaws.com/import-files/timberland/product_images/original-TB189646_214_P_1.png","TB1896462141")</f>
        <v>TB1896462141</v>
      </c>
      <c r="C45" s="37" t="s">
        <v>57</v>
      </c>
      <c r="D45" s="37" t="s">
        <v>68</v>
      </c>
      <c r="E45" s="37" t="s">
        <v>36</v>
      </c>
      <c r="F45" s="37" t="s">
        <v>75</v>
      </c>
      <c r="G45" s="43">
        <v>160</v>
      </c>
      <c r="H45" s="37">
        <f>Q45+R45+S45+T45+U45+V45+W45+X45+Y45+Z45+AA45+AB45+AC45+AD45</f>
        <v>0</v>
      </c>
      <c r="I45" s="44">
        <f>(Q45*WholesalePrice!Q45)+(R45*WholesalePrice!R45)+(S45*WholesalePrice!S45)+(T45*WholesalePrice!T45)+(U45*WholesalePrice!U45)+(V45*WholesalePrice!V45)+(W45*WholesalePrice!W45)+(X45*WholesalePrice!X45)+(Y45*WholesalePrice!Y45)+(Z45*WholesalePrice!Z45)+(AA45*WholesalePrice!AA45)+(AB45*WholesalePrice!AB45)+(AC45*WholesalePrice!AC45)+(AD45*WholesalePrice!AD45)</f>
        <v>0</v>
      </c>
      <c r="J45" s="45"/>
      <c r="K45" s="45"/>
      <c r="L45" s="45"/>
      <c r="M45" s="45"/>
      <c r="N45" s="45"/>
      <c r="O45" s="45"/>
      <c r="P45" s="45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</row>
    <row r="46" spans="1:30" ht="12.95" customHeight="1" x14ac:dyDescent="0.2">
      <c r="A46" s="37"/>
      <c r="B46" s="42" t="str">
        <f>HYPERLINK("https://us-east-2-production9-hive-20200324201045952400000002.s3.amazonaws.com/import-files/timberland/product_images/original-TB189646_214_P_1.png","TB1896462141")</f>
        <v>TB1896462141</v>
      </c>
      <c r="C46" s="37" t="s">
        <v>34</v>
      </c>
      <c r="D46" s="37" t="s">
        <v>68</v>
      </c>
      <c r="E46" s="37" t="s">
        <v>36</v>
      </c>
      <c r="F46" s="37" t="s">
        <v>75</v>
      </c>
      <c r="G46" s="43">
        <v>160</v>
      </c>
      <c r="H46" s="37">
        <f>Q46+R46+S46+T46+U46+V46+W46+X46+Y46+Z46+AA46+AB46+AC46+AD46</f>
        <v>0</v>
      </c>
      <c r="I46" s="44">
        <f>(Q46*WholesalePrice!Q46)+(R46*WholesalePrice!R46)+(S46*WholesalePrice!S46)+(T46*WholesalePrice!T46)+(U46*WholesalePrice!U46)+(V46*WholesalePrice!V46)+(W46*WholesalePrice!W46)+(X46*WholesalePrice!X46)+(Y46*WholesalePrice!Y46)+(Z46*WholesalePrice!Z46)+(AA46*WholesalePrice!AA46)+(AB46*WholesalePrice!AB46)+(AC46*WholesalePrice!AC46)+(AD46*WholesalePrice!AD46)</f>
        <v>0</v>
      </c>
      <c r="J46" s="45"/>
      <c r="K46" s="45"/>
      <c r="L46" s="45"/>
      <c r="M46" s="45"/>
      <c r="N46" s="45"/>
      <c r="O46" s="45"/>
      <c r="P46" s="45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</row>
    <row r="47" spans="1:30" ht="12.95" customHeight="1" x14ac:dyDescent="0.2">
      <c r="A47" s="37"/>
      <c r="B47" s="42" t="str">
        <f>HYPERLINK("https://us-east-2-production9-hive-20200324201045952400000002.s3.amazonaws.com/import-files/timberland/product_images/original-TB1A21B7_231_P_1.png","TB1A21B72311")</f>
        <v>TB1A21B72311</v>
      </c>
      <c r="C47" s="37" t="s">
        <v>34</v>
      </c>
      <c r="D47" s="37" t="s">
        <v>76</v>
      </c>
      <c r="E47" s="37" t="s">
        <v>36</v>
      </c>
      <c r="F47" s="37" t="s">
        <v>77</v>
      </c>
      <c r="G47" s="43">
        <v>160</v>
      </c>
      <c r="H47" s="37">
        <f>Q47+R47+S47+T47+U47+V47+W47+X47+Y47+AA47+AB47+AC47+AD47</f>
        <v>0</v>
      </c>
      <c r="I47" s="44">
        <f>(Q47*WholesalePrice!Q47)+(R47*WholesalePrice!R47)+(S47*WholesalePrice!S47)+(T47*WholesalePrice!T47)+(U47*WholesalePrice!U47)+(V47*WholesalePrice!V47)+(W47*WholesalePrice!W47)+(X47*WholesalePrice!X47)+(Y47*WholesalePrice!Y47)+(AA47*WholesalePrice!AA47)+(AB47*WholesalePrice!AB47)+(AC47*WholesalePrice!AC47)+(AD47*WholesalePrice!AD47)</f>
        <v>0</v>
      </c>
      <c r="J47" s="45"/>
      <c r="K47" s="45"/>
      <c r="L47" s="45"/>
      <c r="M47" s="45"/>
      <c r="N47" s="45"/>
      <c r="O47" s="45"/>
      <c r="P47" s="45"/>
      <c r="Q47" s="37"/>
      <c r="R47" s="37"/>
      <c r="S47" s="37"/>
      <c r="T47" s="37"/>
      <c r="U47" s="37"/>
      <c r="V47" s="37"/>
      <c r="W47" s="37"/>
      <c r="X47" s="37"/>
      <c r="Y47" s="37"/>
      <c r="Z47" s="45"/>
      <c r="AA47" s="37"/>
      <c r="AB47" s="37"/>
      <c r="AC47" s="37"/>
      <c r="AD47" s="37"/>
    </row>
    <row r="48" spans="1:30" ht="12.95" customHeight="1" x14ac:dyDescent="0.2">
      <c r="A48" s="37"/>
      <c r="B48" s="42" t="str">
        <f>HYPERLINK("https://us-east-2-production9-hive-20200324201045952400000002.s3.amazonaws.com/import-files/timberland/product_images/original-TB0A67B3_W02_P_1.png","TB0A67B3W021")</f>
        <v>TB0A67B3W021</v>
      </c>
      <c r="C48" s="37" t="s">
        <v>57</v>
      </c>
      <c r="D48" s="37" t="s">
        <v>78</v>
      </c>
      <c r="E48" s="37" t="s">
        <v>36</v>
      </c>
      <c r="F48" s="37" t="s">
        <v>79</v>
      </c>
      <c r="G48" s="43">
        <v>175</v>
      </c>
      <c r="H48" s="37">
        <f>Q48+R48+S48+T48+U48+V48+W48+X48+Y48+Z48+AA48+AB48+AC48+AD48</f>
        <v>0</v>
      </c>
      <c r="I48" s="44">
        <f>(Q48*WholesalePrice!Q48)+(R48*WholesalePrice!R48)+(S48*WholesalePrice!S48)+(T48*WholesalePrice!T48)+(U48*WholesalePrice!U48)+(V48*WholesalePrice!V48)+(W48*WholesalePrice!W48)+(X48*WholesalePrice!X48)+(Y48*WholesalePrice!Y48)+(Z48*WholesalePrice!Z48)+(AA48*WholesalePrice!AA48)+(AB48*WholesalePrice!AB48)+(AC48*WholesalePrice!AC48)+(AD48*WholesalePrice!AD48)</f>
        <v>0</v>
      </c>
      <c r="J48" s="45"/>
      <c r="K48" s="45"/>
      <c r="L48" s="45"/>
      <c r="M48" s="45"/>
      <c r="N48" s="45"/>
      <c r="O48" s="45"/>
      <c r="P48" s="45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</row>
    <row r="49" spans="1:30" ht="12.95" customHeight="1" x14ac:dyDescent="0.2">
      <c r="A49" s="37"/>
      <c r="B49" s="42" t="str">
        <f>HYPERLINK("https://us-east-2-production9-hive-20200324201045952400000002.s3.amazonaws.com/import-files/timberland/product_images/original-TB0A67B3_W02_P_1.png","TB0A67B3W021")</f>
        <v>TB0A67B3W021</v>
      </c>
      <c r="C49" s="37" t="s">
        <v>34</v>
      </c>
      <c r="D49" s="37" t="s">
        <v>78</v>
      </c>
      <c r="E49" s="37" t="s">
        <v>36</v>
      </c>
      <c r="F49" s="37" t="s">
        <v>79</v>
      </c>
      <c r="G49" s="43">
        <v>175</v>
      </c>
      <c r="H49" s="37">
        <f>Q49+R49+S49+T49+U49+V49+W49+X49+Y49+Z49+AA49+AB49+AC49+AD49</f>
        <v>0</v>
      </c>
      <c r="I49" s="44">
        <f>(Q49*WholesalePrice!Q49)+(R49*WholesalePrice!R49)+(S49*WholesalePrice!S49)+(T49*WholesalePrice!T49)+(U49*WholesalePrice!U49)+(V49*WholesalePrice!V49)+(W49*WholesalePrice!W49)+(X49*WholesalePrice!X49)+(Y49*WholesalePrice!Y49)+(Z49*WholesalePrice!Z49)+(AA49*WholesalePrice!AA49)+(AB49*WholesalePrice!AB49)+(AC49*WholesalePrice!AC49)+(AD49*WholesalePrice!AD49)</f>
        <v>0</v>
      </c>
      <c r="J49" s="45"/>
      <c r="K49" s="45"/>
      <c r="L49" s="45"/>
      <c r="M49" s="45"/>
      <c r="N49" s="45"/>
      <c r="O49" s="45"/>
      <c r="P49" s="45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</row>
    <row r="50" spans="1:30" ht="12.95" customHeight="1" x14ac:dyDescent="0.2">
      <c r="A50" s="37"/>
      <c r="B50" s="42" t="str">
        <f>HYPERLINK("https://us-east-2-production9-hive-20200324201045952400000002.s3.amazonaws.com/import-files/timberland/product_images/original-TB1A29S7_001_P_1.png","TB1A29S70011")</f>
        <v>TB1A29S70011</v>
      </c>
      <c r="C50" s="37" t="s">
        <v>34</v>
      </c>
      <c r="D50" s="37" t="s">
        <v>46</v>
      </c>
      <c r="E50" s="37" t="s">
        <v>36</v>
      </c>
      <c r="F50" s="37" t="s">
        <v>80</v>
      </c>
      <c r="G50" s="43">
        <v>185</v>
      </c>
      <c r="H50" s="37">
        <f>Q50+R50+S50+T50+U50+V50+W50+X50+Y50+AA50+AB50+AC50+AD50</f>
        <v>0</v>
      </c>
      <c r="I50" s="44">
        <f>(Q50*WholesalePrice!Q50)+(R50*WholesalePrice!R50)+(S50*WholesalePrice!S50)+(T50*WholesalePrice!T50)+(U50*WholesalePrice!U50)+(V50*WholesalePrice!V50)+(W50*WholesalePrice!W50)+(X50*WholesalePrice!X50)+(Y50*WholesalePrice!Y50)+(AA50*WholesalePrice!AA50)+(AB50*WholesalePrice!AB50)+(AC50*WholesalePrice!AC50)+(AD50*WholesalePrice!AD50)</f>
        <v>0</v>
      </c>
      <c r="J50" s="45"/>
      <c r="K50" s="45"/>
      <c r="L50" s="45"/>
      <c r="M50" s="45"/>
      <c r="N50" s="45"/>
      <c r="O50" s="45"/>
      <c r="P50" s="45"/>
      <c r="Q50" s="37"/>
      <c r="R50" s="37"/>
      <c r="S50" s="37"/>
      <c r="T50" s="37"/>
      <c r="U50" s="37"/>
      <c r="V50" s="37"/>
      <c r="W50" s="37"/>
      <c r="X50" s="37"/>
      <c r="Y50" s="37"/>
      <c r="Z50" s="45"/>
      <c r="AA50" s="37"/>
      <c r="AB50" s="37"/>
      <c r="AC50" s="37"/>
      <c r="AD50" s="37"/>
    </row>
    <row r="51" spans="1:30" ht="12.95" customHeight="1" x14ac:dyDescent="0.2">
      <c r="A51" s="37"/>
      <c r="B51" s="42" t="str">
        <f>HYPERLINK("https://us-east-2-production9-hive-20200324201045952400000002.s3.amazonaws.com/import-files/timberland/product_images/original-TB1A131D_001_P_1.png","TB1A131D0011")</f>
        <v>TB1A131D0011</v>
      </c>
      <c r="C51" s="37" t="s">
        <v>34</v>
      </c>
      <c r="D51" s="37" t="s">
        <v>46</v>
      </c>
      <c r="E51" s="37" t="s">
        <v>36</v>
      </c>
      <c r="F51" s="37" t="s">
        <v>81</v>
      </c>
      <c r="G51" s="43">
        <v>170</v>
      </c>
      <c r="H51" s="37">
        <f>Q51+R51+S51+T51+U51+V51+W51+X51+Y51+AA51+AB51+AC51+AD51</f>
        <v>0</v>
      </c>
      <c r="I51" s="44">
        <f>(Q51*WholesalePrice!Q51)+(R51*WholesalePrice!R51)+(S51*WholesalePrice!S51)+(T51*WholesalePrice!T51)+(U51*WholesalePrice!U51)+(V51*WholesalePrice!V51)+(W51*WholesalePrice!W51)+(X51*WholesalePrice!X51)+(Y51*WholesalePrice!Y51)+(AA51*WholesalePrice!AA51)+(AB51*WholesalePrice!AB51)+(AC51*WholesalePrice!AC51)+(AD51*WholesalePrice!AD51)</f>
        <v>0</v>
      </c>
      <c r="J51" s="45"/>
      <c r="K51" s="45"/>
      <c r="L51" s="45"/>
      <c r="M51" s="45"/>
      <c r="N51" s="45"/>
      <c r="O51" s="45"/>
      <c r="P51" s="45"/>
      <c r="Q51" s="37"/>
      <c r="R51" s="37"/>
      <c r="S51" s="37"/>
      <c r="T51" s="37"/>
      <c r="U51" s="37"/>
      <c r="V51" s="37"/>
      <c r="W51" s="37"/>
      <c r="X51" s="37"/>
      <c r="Y51" s="37"/>
      <c r="Z51" s="45"/>
      <c r="AA51" s="37"/>
      <c r="AB51" s="37"/>
      <c r="AC51" s="37"/>
      <c r="AD51" s="37"/>
    </row>
    <row r="52" spans="1:30" ht="12.95" customHeight="1" x14ac:dyDescent="0.2">
      <c r="A52" s="37"/>
      <c r="B52" s="42" t="str">
        <f>HYPERLINK("https://us-east-2-production9-hive-20200324201045952400000002.s3.amazonaws.com/import-files/timberland/product_images/original-TB1A1VYP_001_P_1.png","TB1A1VYP0011")</f>
        <v>TB1A1VYP0011</v>
      </c>
      <c r="C52" s="37" t="s">
        <v>34</v>
      </c>
      <c r="D52" s="37" t="s">
        <v>46</v>
      </c>
      <c r="E52" s="37" t="s">
        <v>36</v>
      </c>
      <c r="F52" s="37" t="s">
        <v>82</v>
      </c>
      <c r="G52" s="43">
        <v>160</v>
      </c>
      <c r="H52" s="37">
        <f>Q52+R52+S52+T52+U52+V52+W52+X52+Y52+AA52+AB52+AC52+AD52</f>
        <v>0</v>
      </c>
      <c r="I52" s="44">
        <f>(Q52*WholesalePrice!Q52)+(R52*WholesalePrice!R52)+(S52*WholesalePrice!S52)+(T52*WholesalePrice!T52)+(U52*WholesalePrice!U52)+(V52*WholesalePrice!V52)+(W52*WholesalePrice!W52)+(X52*WholesalePrice!X52)+(Y52*WholesalePrice!Y52)+(AA52*WholesalePrice!AA52)+(AB52*WholesalePrice!AB52)+(AC52*WholesalePrice!AC52)+(AD52*WholesalePrice!AD52)</f>
        <v>0</v>
      </c>
      <c r="J52" s="45"/>
      <c r="K52" s="45"/>
      <c r="L52" s="45"/>
      <c r="M52" s="45"/>
      <c r="N52" s="45"/>
      <c r="O52" s="45"/>
      <c r="P52" s="45"/>
      <c r="Q52" s="37"/>
      <c r="R52" s="37"/>
      <c r="S52" s="37"/>
      <c r="T52" s="37"/>
      <c r="U52" s="37"/>
      <c r="V52" s="37"/>
      <c r="W52" s="37"/>
      <c r="X52" s="37"/>
      <c r="Y52" s="37"/>
      <c r="Z52" s="45"/>
      <c r="AA52" s="37"/>
      <c r="AB52" s="37"/>
      <c r="AC52" s="37"/>
      <c r="AD52" s="37"/>
    </row>
    <row r="53" spans="1:30" ht="12.95" customHeight="1" x14ac:dyDescent="0.2">
      <c r="A53" s="37"/>
      <c r="B53" s="42" t="str">
        <f>HYPERLINK("https://us-east-2-production9-hive-20200324201045952400000002.s3.amazonaws.com/import-files/timberland/product_images/original-TB0A63V6_W02_P_1.png","TB0A63V6W021")</f>
        <v>TB0A63V6W021</v>
      </c>
      <c r="C53" s="37" t="s">
        <v>57</v>
      </c>
      <c r="D53" s="37" t="s">
        <v>58</v>
      </c>
      <c r="E53" s="37" t="s">
        <v>36</v>
      </c>
      <c r="F53" s="37" t="s">
        <v>83</v>
      </c>
      <c r="G53" s="43">
        <v>140</v>
      </c>
      <c r="H53" s="37">
        <f>Q53+R53+S53+T53+U53+V53+W53+X53+Y53+Z53+AA53+AB53+AC53+AD53</f>
        <v>0</v>
      </c>
      <c r="I53" s="44">
        <f>(Q53*WholesalePrice!Q53)+(R53*WholesalePrice!R53)+(S53*WholesalePrice!S53)+(T53*WholesalePrice!T53)+(U53*WholesalePrice!U53)+(V53*WholesalePrice!V53)+(W53*WholesalePrice!W53)+(X53*WholesalePrice!X53)+(Y53*WholesalePrice!Y53)+(Z53*WholesalePrice!Z53)+(AA53*WholesalePrice!AA53)+(AB53*WholesalePrice!AB53)+(AC53*WholesalePrice!AC53)+(AD53*WholesalePrice!AD53)</f>
        <v>0</v>
      </c>
      <c r="J53" s="45"/>
      <c r="K53" s="45"/>
      <c r="L53" s="45"/>
      <c r="M53" s="45"/>
      <c r="N53" s="45"/>
      <c r="O53" s="45"/>
      <c r="P53" s="45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</row>
    <row r="54" spans="1:30" ht="12.95" customHeight="1" x14ac:dyDescent="0.2">
      <c r="A54" s="37"/>
      <c r="B54" s="42" t="str">
        <f>HYPERLINK("https://us-east-2-production9-hive-20200324201045952400000002.s3.amazonaws.com/import-files/timberland/product_images/original-TB0A63V6_W02_P_1.png","TB0A63V6W021")</f>
        <v>TB0A63V6W021</v>
      </c>
      <c r="C54" s="37" t="s">
        <v>34</v>
      </c>
      <c r="D54" s="37" t="s">
        <v>58</v>
      </c>
      <c r="E54" s="37" t="s">
        <v>36</v>
      </c>
      <c r="F54" s="37" t="s">
        <v>83</v>
      </c>
      <c r="G54" s="43">
        <v>140</v>
      </c>
      <c r="H54" s="37">
        <f>Q54+R54+S54+T54+U54+V54+W54+X54+Y54+Z54+AA54+AB54+AC54+AD54</f>
        <v>0</v>
      </c>
      <c r="I54" s="44">
        <f>(Q54*WholesalePrice!Q54)+(R54*WholesalePrice!R54)+(S54*WholesalePrice!S54)+(T54*WholesalePrice!T54)+(U54*WholesalePrice!U54)+(V54*WholesalePrice!V54)+(W54*WholesalePrice!W54)+(X54*WholesalePrice!X54)+(Y54*WholesalePrice!Y54)+(Z54*WholesalePrice!Z54)+(AA54*WholesalePrice!AA54)+(AB54*WholesalePrice!AB54)+(AC54*WholesalePrice!AC54)+(AD54*WholesalePrice!AD54)</f>
        <v>0</v>
      </c>
      <c r="J54" s="45"/>
      <c r="K54" s="45"/>
      <c r="L54" s="45"/>
      <c r="M54" s="45"/>
      <c r="N54" s="45"/>
      <c r="O54" s="45"/>
      <c r="P54" s="45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</row>
    <row r="55" spans="1:30" ht="12.95" customHeight="1" x14ac:dyDescent="0.2">
      <c r="A55" s="37"/>
      <c r="B55" s="42" t="str">
        <f>HYPERLINK("https://us-east-2-production9-hive-20200324201045952400000002.s3.amazonaws.com/import-files/timberland/product_images/original-TB0A66G7_EDW_P_1.png","TB0A66G7EDW1")</f>
        <v>TB0A66G7EDW1</v>
      </c>
      <c r="C55" s="37" t="s">
        <v>57</v>
      </c>
      <c r="D55" s="37" t="s">
        <v>84</v>
      </c>
      <c r="E55" s="37" t="s">
        <v>36</v>
      </c>
      <c r="F55" s="37" t="s">
        <v>85</v>
      </c>
      <c r="G55" s="43">
        <v>165</v>
      </c>
      <c r="H55" s="37">
        <f>Q55+R55+S55+T55+U55+V55+W55+X55+Y55+Z55+AA55+AB55+AC55+AD55</f>
        <v>0</v>
      </c>
      <c r="I55" s="44">
        <f>(Q55*WholesalePrice!Q55)+(R55*WholesalePrice!R55)+(S55*WholesalePrice!S55)+(T55*WholesalePrice!T55)+(U55*WholesalePrice!U55)+(V55*WholesalePrice!V55)+(W55*WholesalePrice!W55)+(X55*WholesalePrice!X55)+(Y55*WholesalePrice!Y55)+(Z55*WholesalePrice!Z55)+(AA55*WholesalePrice!AA55)+(AB55*WholesalePrice!AB55)+(AC55*WholesalePrice!AC55)+(AD55*WholesalePrice!AD55)</f>
        <v>0</v>
      </c>
      <c r="J55" s="45"/>
      <c r="K55" s="45"/>
      <c r="L55" s="45"/>
      <c r="M55" s="45"/>
      <c r="N55" s="45"/>
      <c r="O55" s="45"/>
      <c r="P55" s="45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</row>
    <row r="56" spans="1:30" ht="12.95" customHeight="1" x14ac:dyDescent="0.2">
      <c r="A56" s="37"/>
      <c r="B56" s="42" t="str">
        <f>HYPERLINK("https://us-east-2-production9-hive-20200324201045952400000002.s3.amazonaws.com/import-files/timberland/product_images/original-TB0A66G7_EDW_P_1.png","TB0A66G7EDW1")</f>
        <v>TB0A66G7EDW1</v>
      </c>
      <c r="C56" s="37" t="s">
        <v>34</v>
      </c>
      <c r="D56" s="37" t="s">
        <v>84</v>
      </c>
      <c r="E56" s="37" t="s">
        <v>36</v>
      </c>
      <c r="F56" s="37" t="s">
        <v>85</v>
      </c>
      <c r="G56" s="43">
        <v>165</v>
      </c>
      <c r="H56" s="37">
        <f>Q56+R56+S56+T56+U56+V56+W56+X56+Y56+Z56+AA56+AB56+AC56+AD56</f>
        <v>0</v>
      </c>
      <c r="I56" s="44">
        <f>(Q56*WholesalePrice!Q56)+(R56*WholesalePrice!R56)+(S56*WholesalePrice!S56)+(T56*WholesalePrice!T56)+(U56*WholesalePrice!U56)+(V56*WholesalePrice!V56)+(W56*WholesalePrice!W56)+(X56*WholesalePrice!X56)+(Y56*WholesalePrice!Y56)+(Z56*WholesalePrice!Z56)+(AA56*WholesalePrice!AA56)+(AB56*WholesalePrice!AB56)+(AC56*WholesalePrice!AC56)+(AD56*WholesalePrice!AD56)</f>
        <v>0</v>
      </c>
      <c r="J56" s="45"/>
      <c r="K56" s="45"/>
      <c r="L56" s="45"/>
      <c r="M56" s="45"/>
      <c r="N56" s="45"/>
      <c r="O56" s="45"/>
      <c r="P56" s="45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</row>
    <row r="57" spans="1:30" ht="12.95" customHeight="1" x14ac:dyDescent="0.2">
      <c r="A57" s="37"/>
      <c r="B57" s="42" t="str">
        <f>HYPERLINK("https://us-east-2-production9-hive-20200324201045952400000002.s3.amazonaws.com/import-files/timberland/product_images/original-TB1A1VY3_001_P_1.png","TB1A1VY30011")</f>
        <v>TB1A1VY30011</v>
      </c>
      <c r="C57" s="37" t="s">
        <v>34</v>
      </c>
      <c r="D57" s="37" t="s">
        <v>46</v>
      </c>
      <c r="E57" s="37" t="s">
        <v>36</v>
      </c>
      <c r="F57" s="37" t="s">
        <v>86</v>
      </c>
      <c r="G57" s="43">
        <v>165</v>
      </c>
      <c r="H57" s="37">
        <f>J57+K57+L57+M57+N57+O57+P57+Q57+R57+S57+T57+U57+V57+W57+X57+Y57+AA57+AB57+AC57+AD57</f>
        <v>0</v>
      </c>
      <c r="I57" s="44">
        <f>(J57*WholesalePrice!J57)+(K57*WholesalePrice!K57)+(L57*WholesalePrice!L57)+(M57*WholesalePrice!M57)+(N57*WholesalePrice!N57)+(O57*WholesalePrice!O57)+(P57*WholesalePrice!P57)+(Q57*WholesalePrice!Q57)+(R57*WholesalePrice!R57)+(S57*WholesalePrice!S57)+(T57*WholesalePrice!T57)+(U57*WholesalePrice!U57)+(V57*WholesalePrice!V57)+(W57*WholesalePrice!W57)+(X57*WholesalePrice!X57)+(Y57*WholesalePrice!Y57)+(AA57*WholesalePrice!AA57)+(AB57*WholesalePrice!AB57)+(AC57*WholesalePrice!AC57)+(AD57*WholesalePrice!AD57)</f>
        <v>0</v>
      </c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45"/>
      <c r="AA57" s="37"/>
      <c r="AB57" s="37"/>
      <c r="AC57" s="37"/>
      <c r="AD57" s="37"/>
    </row>
    <row r="58" spans="1:30" ht="12.95" customHeight="1" x14ac:dyDescent="0.2">
      <c r="A58" s="37"/>
      <c r="B58" s="42" t="str">
        <f>HYPERLINK("https://us-east-2-production9-hive-20200324201045952400000002.s3.amazonaws.com/import-files/timberland/product_images/original-TB1A1WUT_001_P_1.png","TB1A1WUT0011")</f>
        <v>TB1A1WUT0011</v>
      </c>
      <c r="C58" s="37" t="s">
        <v>34</v>
      </c>
      <c r="D58" s="37" t="s">
        <v>46</v>
      </c>
      <c r="E58" s="37" t="s">
        <v>36</v>
      </c>
      <c r="F58" s="37" t="s">
        <v>87</v>
      </c>
      <c r="G58" s="43">
        <v>165</v>
      </c>
      <c r="H58" s="37">
        <f>J58+K58+L58+M58+N58+O58+P58+Q58+R58+S58+T58+U58+V58+W58+X58+Y58+AA58+AB58+AC58+AD58</f>
        <v>0</v>
      </c>
      <c r="I58" s="44">
        <f>(J58*WholesalePrice!J58)+(K58*WholesalePrice!K58)+(L58*WholesalePrice!L58)+(M58*WholesalePrice!M58)+(N58*WholesalePrice!N58)+(O58*WholesalePrice!O58)+(P58*WholesalePrice!P58)+(Q58*WholesalePrice!Q58)+(R58*WholesalePrice!R58)+(S58*WholesalePrice!S58)+(T58*WholesalePrice!T58)+(U58*WholesalePrice!U58)+(V58*WholesalePrice!V58)+(W58*WholesalePrice!W58)+(X58*WholesalePrice!X58)+(Y58*WholesalePrice!Y58)+(AA58*WholesalePrice!AA58)+(AB58*WholesalePrice!AB58)+(AC58*WholesalePrice!AC58)+(AD58*WholesalePrice!AD58)</f>
        <v>0</v>
      </c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45"/>
      <c r="AA58" s="37"/>
      <c r="AB58" s="37"/>
      <c r="AC58" s="37"/>
      <c r="AD58" s="37"/>
    </row>
    <row r="59" spans="1:30" ht="12.95" customHeight="1" x14ac:dyDescent="0.2">
      <c r="A59" s="37"/>
      <c r="B59" s="42" t="str">
        <f>HYPERLINK("https://us-east-2-production9-hive-20200324201045952400000002.s3.amazonaws.com/import-files/timberland/product_images/original-TB0A5MA1_W02_P_1.png","TB0A5MA1W021")</f>
        <v>TB0A5MA1W021</v>
      </c>
      <c r="C59" s="37" t="s">
        <v>34</v>
      </c>
      <c r="D59" s="37" t="s">
        <v>58</v>
      </c>
      <c r="E59" s="37" t="s">
        <v>36</v>
      </c>
      <c r="F59" s="37" t="s">
        <v>88</v>
      </c>
      <c r="G59" s="43">
        <v>160</v>
      </c>
      <c r="H59" s="37">
        <f>Q59+R59+S59+T59+U59+V59+W59+X59+Y59+AA59+AB59+AC59+AD59</f>
        <v>0</v>
      </c>
      <c r="I59" s="44">
        <f>(Q59*WholesalePrice!Q59)+(R59*WholesalePrice!R59)+(S59*WholesalePrice!S59)+(T59*WholesalePrice!T59)+(U59*WholesalePrice!U59)+(V59*WholesalePrice!V59)+(W59*WholesalePrice!W59)+(X59*WholesalePrice!X59)+(Y59*WholesalePrice!Y59)+(AA59*WholesalePrice!AA59)+(AB59*WholesalePrice!AB59)+(AC59*WholesalePrice!AC59)+(AD59*WholesalePrice!AD59)</f>
        <v>0</v>
      </c>
      <c r="J59" s="45"/>
      <c r="K59" s="45"/>
      <c r="L59" s="45"/>
      <c r="M59" s="45"/>
      <c r="N59" s="45"/>
      <c r="O59" s="45"/>
      <c r="P59" s="45"/>
      <c r="Q59" s="37"/>
      <c r="R59" s="37"/>
      <c r="S59" s="37"/>
      <c r="T59" s="37"/>
      <c r="U59" s="37"/>
      <c r="V59" s="37"/>
      <c r="W59" s="37"/>
      <c r="X59" s="37"/>
      <c r="Y59" s="37"/>
      <c r="Z59" s="45"/>
      <c r="AA59" s="37"/>
      <c r="AB59" s="37"/>
      <c r="AC59" s="37"/>
      <c r="AD59" s="37"/>
    </row>
    <row r="60" spans="1:30" ht="12.75" x14ac:dyDescent="0.2">
      <c r="A60" s="38" t="s">
        <v>89</v>
      </c>
      <c r="B60" s="37"/>
      <c r="C60" s="37"/>
      <c r="D60" s="37"/>
      <c r="E60" s="37"/>
      <c r="F60" s="37"/>
      <c r="G60" s="37" t="s">
        <v>9</v>
      </c>
      <c r="H60" s="37" t="s">
        <v>9</v>
      </c>
      <c r="I60" s="37" t="s">
        <v>9</v>
      </c>
      <c r="J60" s="39" t="s">
        <v>20</v>
      </c>
      <c r="K60" s="39" t="s">
        <v>21</v>
      </c>
      <c r="L60" s="39" t="s">
        <v>22</v>
      </c>
      <c r="M60" s="39" t="s">
        <v>23</v>
      </c>
      <c r="N60" s="39" t="s">
        <v>24</v>
      </c>
      <c r="O60" s="39" t="s">
        <v>25</v>
      </c>
      <c r="P60" s="39" t="s">
        <v>26</v>
      </c>
      <c r="Q60" s="39" t="s">
        <v>27</v>
      </c>
      <c r="R60" s="39" t="s">
        <v>28</v>
      </c>
      <c r="S60" s="39" t="s">
        <v>29</v>
      </c>
      <c r="T60" s="39" t="s">
        <v>30</v>
      </c>
      <c r="U60" s="39" t="s">
        <v>31</v>
      </c>
      <c r="V60" s="39" t="s">
        <v>32</v>
      </c>
    </row>
    <row r="61" spans="1:30" ht="12.95" customHeight="1" x14ac:dyDescent="0.2">
      <c r="A61" s="37"/>
      <c r="B61" s="42" t="str">
        <f>HYPERLINK("https://us-east-2-production9-hive-20200324201045952400000002.s3.amazonaws.com/import-files/timberland/product_images/original-TB1A21WK_001_P_1.png","TB1A21WK0011")</f>
        <v>TB1A21WK0011</v>
      </c>
      <c r="C61" s="37" t="s">
        <v>34</v>
      </c>
      <c r="D61" s="37" t="s">
        <v>46</v>
      </c>
      <c r="E61" s="37" t="s">
        <v>36</v>
      </c>
      <c r="F61" s="37" t="s">
        <v>90</v>
      </c>
      <c r="G61" s="43">
        <v>90</v>
      </c>
      <c r="H61" s="37">
        <f>K61+R61+S61+T61+U61+V61</f>
        <v>0</v>
      </c>
      <c r="I61" s="44">
        <f>(K61*WholesalePrice!K61)+(R61*WholesalePrice!R61)+(S61*WholesalePrice!S61)+(T61*WholesalePrice!T61)+(U61*WholesalePrice!U61)+(V61*WholesalePrice!V61)</f>
        <v>0</v>
      </c>
      <c r="J61" s="45"/>
      <c r="K61" s="37"/>
      <c r="L61" s="45"/>
      <c r="M61" s="45"/>
      <c r="N61" s="45"/>
      <c r="O61" s="45"/>
      <c r="P61" s="45"/>
      <c r="Q61" s="45"/>
      <c r="R61" s="37"/>
      <c r="S61" s="37"/>
      <c r="T61" s="37"/>
      <c r="U61" s="37"/>
      <c r="V61" s="37"/>
    </row>
    <row r="62" spans="1:30" ht="12.95" customHeight="1" x14ac:dyDescent="0.2">
      <c r="A62" s="37"/>
      <c r="B62" s="42" t="str">
        <f>HYPERLINK("https://us-east-2-production9-hive-20200324201045952400000002.s3.amazonaws.com/import-files/timberland/product_images/original-TB1A21X7_214_P_1.png","TB1A21X72141")</f>
        <v>TB1A21X72141</v>
      </c>
      <c r="C62" s="37" t="s">
        <v>34</v>
      </c>
      <c r="D62" s="37" t="s">
        <v>68</v>
      </c>
      <c r="E62" s="37" t="s">
        <v>36</v>
      </c>
      <c r="F62" s="37" t="s">
        <v>91</v>
      </c>
      <c r="G62" s="43">
        <v>90</v>
      </c>
      <c r="H62" s="37">
        <f>J62+K62+L62+M62+N62+O62+P62+Q62+R62+S62+T62+U62+V62</f>
        <v>0</v>
      </c>
      <c r="I62" s="44">
        <f>(J62*WholesalePrice!J62)+(K62*WholesalePrice!K62)+(L62*WholesalePrice!L62)+(M62*WholesalePrice!M62)+(N62*WholesalePrice!N62)+(O62*WholesalePrice!O62)+(P62*WholesalePrice!P62)+(Q62*WholesalePrice!Q62)+(R62*WholesalePrice!R62)+(S62*WholesalePrice!S62)+(T62*WholesalePrice!T62)+(U62*WholesalePrice!U62)+(V62*WholesalePrice!V62)</f>
        <v>0</v>
      </c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</row>
    <row r="63" spans="1:30" ht="12.95" customHeight="1" x14ac:dyDescent="0.2">
      <c r="A63" s="37"/>
      <c r="B63" s="42" t="str">
        <f>HYPERLINK("https://us-east-2-production9-hive-20200324201045952400000002.s3.amazonaws.com/import-files/timberland/product_images/original-TB191670_001_P_1.png","TB1916700011")</f>
        <v>TB1916700011</v>
      </c>
      <c r="C63" s="37" t="s">
        <v>34</v>
      </c>
      <c r="D63" s="37" t="s">
        <v>46</v>
      </c>
      <c r="E63" s="37" t="s">
        <v>36</v>
      </c>
      <c r="F63" s="37" t="s">
        <v>92</v>
      </c>
      <c r="G63" s="43">
        <v>95</v>
      </c>
      <c r="H63" s="37">
        <f>J63+K63+L63+M63+N63+O63+P63+Q63+R63+S63+T63+U63+V63</f>
        <v>0</v>
      </c>
      <c r="I63" s="44">
        <f>(J63*WholesalePrice!J63)+(K63*WholesalePrice!K63)+(L63*WholesalePrice!L63)+(M63*WholesalePrice!M63)+(N63*WholesalePrice!N63)+(O63*WholesalePrice!O63)+(P63*WholesalePrice!P63)+(Q63*WholesalePrice!Q63)+(R63*WholesalePrice!R63)+(S63*WholesalePrice!S63)+(T63*WholesalePrice!T63)+(U63*WholesalePrice!U63)+(V63*WholesalePrice!V63)</f>
        <v>0</v>
      </c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</row>
    <row r="64" spans="1:30" ht="12.95" customHeight="1" x14ac:dyDescent="0.2">
      <c r="A64" s="37"/>
      <c r="B64" s="42" t="str">
        <f>HYPERLINK("https://us-east-2-production9-hive-20200324201045952400000002.s3.amazonaws.com/import-files/timberland/product_images/original-TB0A5ZX3_001_P_1.png","TB0A5ZX30011")</f>
        <v>TB0A5ZX30011</v>
      </c>
      <c r="C64" s="37" t="s">
        <v>34</v>
      </c>
      <c r="D64" s="37" t="s">
        <v>46</v>
      </c>
      <c r="E64" s="37" t="s">
        <v>36</v>
      </c>
      <c r="F64" s="37" t="s">
        <v>93</v>
      </c>
      <c r="G64" s="43">
        <v>65</v>
      </c>
      <c r="H64" s="37">
        <f>J64+K64+L64+M64+N64+O64+P64+Q64+R64+S64+T64+U64+V64</f>
        <v>0</v>
      </c>
      <c r="I64" s="44">
        <f>(J64*WholesalePrice!J64)+(K64*WholesalePrice!K64)+(L64*WholesalePrice!L64)+(M64*WholesalePrice!M64)+(N64*WholesalePrice!N64)+(O64*WholesalePrice!O64)+(P64*WholesalePrice!P64)+(Q64*WholesalePrice!Q64)+(R64*WholesalePrice!R64)+(S64*WholesalePrice!S64)+(T64*WholesalePrice!T64)+(U64*WholesalePrice!U64)+(V64*WholesalePrice!V64)</f>
        <v>0</v>
      </c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</row>
    <row r="65" spans="1:30" ht="12.95" customHeight="1" x14ac:dyDescent="0.2">
      <c r="A65" s="37"/>
      <c r="B65" s="42" t="str">
        <f>HYPERLINK("https://us-east-2-production9-hive-20200324201045952400000002.s3.amazonaws.com/import-files/timberland/product_images/original-TB0A61YH_065_P_1.png","TB0A61YH0651")</f>
        <v>TB0A61YH0651</v>
      </c>
      <c r="C65" s="37" t="s">
        <v>34</v>
      </c>
      <c r="D65" s="37" t="s">
        <v>94</v>
      </c>
      <c r="E65" s="37" t="s">
        <v>36</v>
      </c>
      <c r="F65" s="37" t="s">
        <v>93</v>
      </c>
      <c r="G65" s="43">
        <v>65</v>
      </c>
      <c r="H65" s="37">
        <f>J65+K65+L65+M65+N65+O65+P65+Q65+R65+S65+T65+U65+V65</f>
        <v>0</v>
      </c>
      <c r="I65" s="44">
        <f>(J65*WholesalePrice!J65)+(K65*WholesalePrice!K65)+(L65*WholesalePrice!L65)+(M65*WholesalePrice!M65)+(N65*WholesalePrice!N65)+(O65*WholesalePrice!O65)+(P65*WholesalePrice!P65)+(Q65*WholesalePrice!Q65)+(R65*WholesalePrice!R65)+(S65*WholesalePrice!S65)+(T65*WholesalePrice!T65)+(U65*WholesalePrice!U65)+(V65*WholesalePrice!V65)</f>
        <v>0</v>
      </c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</row>
    <row r="66" spans="1:30" ht="12.75" x14ac:dyDescent="0.2">
      <c r="A66" s="38" t="s">
        <v>95</v>
      </c>
      <c r="B66" s="37"/>
      <c r="C66" s="37"/>
      <c r="D66" s="37"/>
      <c r="E66" s="37"/>
      <c r="F66" s="37"/>
      <c r="G66" s="37" t="s">
        <v>9</v>
      </c>
      <c r="H66" s="37" t="s">
        <v>9</v>
      </c>
      <c r="I66" s="37" t="s">
        <v>9</v>
      </c>
      <c r="J66" s="39" t="s">
        <v>49</v>
      </c>
      <c r="K66" s="39" t="s">
        <v>50</v>
      </c>
      <c r="L66" s="39" t="s">
        <v>51</v>
      </c>
      <c r="M66" s="39" t="s">
        <v>52</v>
      </c>
      <c r="N66" s="39" t="s">
        <v>53</v>
      </c>
      <c r="O66" s="39" t="s">
        <v>54</v>
      </c>
      <c r="P66" s="39" t="s">
        <v>55</v>
      </c>
      <c r="Q66" s="39" t="s">
        <v>20</v>
      </c>
      <c r="R66" s="39" t="s">
        <v>21</v>
      </c>
      <c r="S66" s="39" t="s">
        <v>22</v>
      </c>
      <c r="T66" s="39" t="s">
        <v>23</v>
      </c>
      <c r="U66" s="39" t="s">
        <v>24</v>
      </c>
      <c r="V66" s="39" t="s">
        <v>25</v>
      </c>
      <c r="W66" s="39" t="s">
        <v>26</v>
      </c>
      <c r="X66" s="39" t="s">
        <v>27</v>
      </c>
      <c r="Y66" s="39" t="s">
        <v>28</v>
      </c>
      <c r="Z66" s="39" t="s">
        <v>56</v>
      </c>
      <c r="AA66" s="39" t="s">
        <v>29</v>
      </c>
      <c r="AB66" s="39" t="s">
        <v>30</v>
      </c>
      <c r="AC66" s="39" t="s">
        <v>31</v>
      </c>
      <c r="AD66" s="39" t="s">
        <v>32</v>
      </c>
    </row>
    <row r="67" spans="1:30" ht="12.95" customHeight="1" x14ac:dyDescent="0.2">
      <c r="A67" s="37"/>
      <c r="B67" s="42" t="str">
        <f>HYPERLINK("https://us-east-2-production9-hive-20200324201045952400000002.s3.amazonaws.com/import-files/timberland/product_images/original-TB0A63GK_EM4_P_1.png","TB0A63GKEM41")</f>
        <v>TB0A63GKEM41</v>
      </c>
      <c r="C67" s="37" t="s">
        <v>34</v>
      </c>
      <c r="D67" s="37" t="s">
        <v>61</v>
      </c>
      <c r="E67" s="37" t="s">
        <v>36</v>
      </c>
      <c r="F67" s="37" t="s">
        <v>96</v>
      </c>
      <c r="G67" s="43">
        <v>120</v>
      </c>
      <c r="H67" s="37">
        <f>Q67+R67+S67+T67+U67+V67+W67+X67+Y67+AA67+AB67+AC67+AD67</f>
        <v>0</v>
      </c>
      <c r="I67" s="44">
        <f>(Q67*WholesalePrice!Q67)+(R67*WholesalePrice!R67)+(S67*WholesalePrice!S67)+(T67*WholesalePrice!T67)+(U67*WholesalePrice!U67)+(V67*WholesalePrice!V67)+(W67*WholesalePrice!W67)+(X67*WholesalePrice!X67)+(Y67*WholesalePrice!Y67)+(AA67*WholesalePrice!AA67)+(AB67*WholesalePrice!AB67)+(AC67*WholesalePrice!AC67)+(AD67*WholesalePrice!AD67)</f>
        <v>0</v>
      </c>
      <c r="J67" s="45"/>
      <c r="K67" s="45"/>
      <c r="L67" s="45"/>
      <c r="M67" s="45"/>
      <c r="N67" s="45"/>
      <c r="O67" s="45"/>
      <c r="P67" s="45"/>
      <c r="Q67" s="37"/>
      <c r="R67" s="37"/>
      <c r="S67" s="37"/>
      <c r="T67" s="37"/>
      <c r="U67" s="37"/>
      <c r="V67" s="37"/>
      <c r="W67" s="37"/>
      <c r="X67" s="37"/>
      <c r="Y67" s="37"/>
      <c r="Z67" s="45"/>
      <c r="AA67" s="37"/>
      <c r="AB67" s="37"/>
      <c r="AC67" s="37"/>
      <c r="AD67" s="37"/>
    </row>
    <row r="68" spans="1:30" ht="12.95" customHeight="1" x14ac:dyDescent="0.2">
      <c r="A68" s="37"/>
      <c r="B68" s="42" t="str">
        <f>HYPERLINK("https://us-east-2-production9-hive-20200324201045952400000002.s3.amazonaws.com/import-files/timberland/product_images/original-TB0A63GK_EDX_P_1.png","TB0A63GKEDX1")</f>
        <v>TB0A63GKEDX1</v>
      </c>
      <c r="C68" s="37" t="s">
        <v>57</v>
      </c>
      <c r="D68" s="37" t="s">
        <v>97</v>
      </c>
      <c r="E68" s="37" t="s">
        <v>36</v>
      </c>
      <c r="F68" s="37" t="s">
        <v>96</v>
      </c>
      <c r="G68" s="43">
        <v>120</v>
      </c>
      <c r="H68" s="37">
        <f>Q68+R68+S68+T68+U68+V68+W68+X68+Y68+Z68+AA68+AB68+AC68+AD68</f>
        <v>0</v>
      </c>
      <c r="I68" s="44">
        <f>(Q68*WholesalePrice!Q68)+(R68*WholesalePrice!R68)+(S68*WholesalePrice!S68)+(T68*WholesalePrice!T68)+(U68*WholesalePrice!U68)+(V68*WholesalePrice!V68)+(W68*WholesalePrice!W68)+(X68*WholesalePrice!X68)+(Y68*WholesalePrice!Y68)+(Z68*WholesalePrice!Z68)+(AA68*WholesalePrice!AA68)+(AB68*WholesalePrice!AB68)+(AC68*WholesalePrice!AC68)+(AD68*WholesalePrice!AD68)</f>
        <v>0</v>
      </c>
      <c r="J68" s="45"/>
      <c r="K68" s="45"/>
      <c r="L68" s="45"/>
      <c r="M68" s="45"/>
      <c r="N68" s="45"/>
      <c r="O68" s="45"/>
      <c r="P68" s="45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</row>
    <row r="69" spans="1:30" ht="12.95" customHeight="1" x14ac:dyDescent="0.2">
      <c r="A69" s="37"/>
      <c r="B69" s="42" t="str">
        <f>HYPERLINK("https://us-east-2-production9-hive-20200324201045952400000002.s3.amazonaws.com/import-files/timberland/product_images/original-TB0A63GK_EDX_P_1.png","TB0A63GKEDX1")</f>
        <v>TB0A63GKEDX1</v>
      </c>
      <c r="C69" s="37" t="s">
        <v>34</v>
      </c>
      <c r="D69" s="37" t="s">
        <v>97</v>
      </c>
      <c r="E69" s="37" t="s">
        <v>36</v>
      </c>
      <c r="F69" s="37" t="s">
        <v>96</v>
      </c>
      <c r="G69" s="43">
        <v>120</v>
      </c>
      <c r="H69" s="37">
        <f>Q69+R69+S69+T69+U69+V69+W69+X69+Y69+Z69+AA69+AB69+AC69+AD69</f>
        <v>0</v>
      </c>
      <c r="I69" s="44">
        <f>(Q69*WholesalePrice!Q69)+(R69*WholesalePrice!R69)+(S69*WholesalePrice!S69)+(T69*WholesalePrice!T69)+(U69*WholesalePrice!U69)+(V69*WholesalePrice!V69)+(W69*WholesalePrice!W69)+(X69*WholesalePrice!X69)+(Y69*WholesalePrice!Y69)+(Z69*WholesalePrice!Z69)+(AA69*WholesalePrice!AA69)+(AB69*WholesalePrice!AB69)+(AC69*WholesalePrice!AC69)+(AD69*WholesalePrice!AD69)</f>
        <v>0</v>
      </c>
      <c r="J69" s="45"/>
      <c r="K69" s="45"/>
      <c r="L69" s="45"/>
      <c r="M69" s="45"/>
      <c r="N69" s="45"/>
      <c r="O69" s="45"/>
      <c r="P69" s="45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</row>
    <row r="70" spans="1:30" ht="12.95" customHeight="1" x14ac:dyDescent="0.2">
      <c r="A70" s="37"/>
      <c r="B70" s="42" t="str">
        <f>HYPERLINK("https://us-east-2-production9-hive-20200324201045952400000002.s3.amazonaws.com/import-files/timberland/product_images/original-TB0A5TTP_ENR_P_1.png","TB0A5TTPENR1")</f>
        <v>TB0A5TTPENR1</v>
      </c>
      <c r="C70" s="37" t="s">
        <v>34</v>
      </c>
      <c r="D70" s="37" t="s">
        <v>98</v>
      </c>
      <c r="E70" s="37" t="s">
        <v>36</v>
      </c>
      <c r="F70" s="37" t="s">
        <v>99</v>
      </c>
      <c r="G70" s="43">
        <v>125</v>
      </c>
      <c r="H70" s="37">
        <f>Q70+R70+S70+T70+U70+V70+W70+X70+Y70+AA70+AB70+AC70+AD70</f>
        <v>0</v>
      </c>
      <c r="I70" s="44">
        <f>(Q70*WholesalePrice!Q70)+(R70*WholesalePrice!R70)+(S70*WholesalePrice!S70)+(T70*WholesalePrice!T70)+(U70*WholesalePrice!U70)+(V70*WholesalePrice!V70)+(W70*WholesalePrice!W70)+(X70*WholesalePrice!X70)+(Y70*WholesalePrice!Y70)+(AA70*WholesalePrice!AA70)+(AB70*WholesalePrice!AB70)+(AC70*WholesalePrice!AC70)+(AD70*WholesalePrice!AD70)</f>
        <v>0</v>
      </c>
      <c r="J70" s="45"/>
      <c r="K70" s="45"/>
      <c r="L70" s="45"/>
      <c r="M70" s="45"/>
      <c r="N70" s="45"/>
      <c r="O70" s="45"/>
      <c r="P70" s="45"/>
      <c r="Q70" s="37"/>
      <c r="R70" s="37"/>
      <c r="S70" s="37"/>
      <c r="T70" s="37"/>
      <c r="U70" s="37"/>
      <c r="V70" s="37"/>
      <c r="W70" s="37"/>
      <c r="X70" s="37"/>
      <c r="Y70" s="37"/>
      <c r="Z70" s="45"/>
      <c r="AA70" s="37"/>
      <c r="AB70" s="37"/>
      <c r="AC70" s="37"/>
      <c r="AD70" s="37"/>
    </row>
    <row r="71" spans="1:30" ht="12.95" customHeight="1" x14ac:dyDescent="0.2">
      <c r="A71" s="37"/>
      <c r="B71" s="42" t="str">
        <f>HYPERLINK("https://us-east-2-production9-hive-20200324201045952400000002.s3.amazonaws.com/import-files/timberland/product_images/original-TB0A42EG_EM6_P_1.png","TB0A42EGEM61")</f>
        <v>TB0A42EGEM61</v>
      </c>
      <c r="C71" s="37" t="s">
        <v>34</v>
      </c>
      <c r="D71" s="37" t="s">
        <v>100</v>
      </c>
      <c r="E71" s="37" t="s">
        <v>36</v>
      </c>
      <c r="F71" s="37" t="s">
        <v>101</v>
      </c>
      <c r="G71" s="43">
        <v>105</v>
      </c>
      <c r="H71" s="37">
        <f>Q71+R71+S71+T71+U71+V71+W71+Y71+AA71+AB71+AC71+AD71</f>
        <v>0</v>
      </c>
      <c r="I71" s="44">
        <f>(Q71*WholesalePrice!Q71)+(R71*WholesalePrice!R71)+(S71*WholesalePrice!S71)+(T71*WholesalePrice!T71)+(U71*WholesalePrice!U71)+(V71*WholesalePrice!V71)+(W71*WholesalePrice!W71)+(Y71*WholesalePrice!Y71)+(AA71*WholesalePrice!AA71)+(AB71*WholesalePrice!AB71)+(AC71*WholesalePrice!AC71)+(AD71*WholesalePrice!AD71)</f>
        <v>0</v>
      </c>
      <c r="J71" s="45"/>
      <c r="K71" s="45"/>
      <c r="L71" s="45"/>
      <c r="M71" s="45"/>
      <c r="N71" s="45"/>
      <c r="O71" s="45"/>
      <c r="P71" s="45"/>
      <c r="Q71" s="37"/>
      <c r="R71" s="37"/>
      <c r="S71" s="37"/>
      <c r="T71" s="37"/>
      <c r="U71" s="37"/>
      <c r="V71" s="37"/>
      <c r="W71" s="37"/>
      <c r="X71" s="45"/>
      <c r="Y71" s="37"/>
      <c r="Z71" s="45"/>
      <c r="AA71" s="37"/>
      <c r="AB71" s="37"/>
      <c r="AC71" s="37"/>
      <c r="AD71" s="37"/>
    </row>
    <row r="72" spans="1:30" ht="12.95" customHeight="1" x14ac:dyDescent="0.2">
      <c r="A72" s="37"/>
      <c r="B72" s="42" t="str">
        <f>HYPERLINK("https://us-east-2-production9-hive-20200324201045952400000002.s3.amazonaws.com/import-files/timberland/product_images/original-TB1A5T7K_001_P_1.png","TB1A5T7K0011")</f>
        <v>TB1A5T7K0011</v>
      </c>
      <c r="C72" s="37" t="s">
        <v>34</v>
      </c>
      <c r="D72" s="37" t="s">
        <v>46</v>
      </c>
      <c r="E72" s="37" t="s">
        <v>36</v>
      </c>
      <c r="F72" s="37" t="s">
        <v>102</v>
      </c>
      <c r="G72" s="43">
        <v>115</v>
      </c>
      <c r="H72" s="37">
        <f>Q72+S72+T72+U72+V72+W72+X72+Y72+AA72+AB72+AC72</f>
        <v>0</v>
      </c>
      <c r="I72" s="44">
        <f>(Q72*WholesalePrice!Q72)+(S72*WholesalePrice!S72)+(T72*WholesalePrice!T72)+(U72*WholesalePrice!U72)+(V72*WholesalePrice!V72)+(W72*WholesalePrice!W72)+(X72*WholesalePrice!X72)+(Y72*WholesalePrice!Y72)+(AA72*WholesalePrice!AA72)+(AB72*WholesalePrice!AB72)+(AC72*WholesalePrice!AC72)</f>
        <v>0</v>
      </c>
      <c r="J72" s="45"/>
      <c r="K72" s="45"/>
      <c r="L72" s="45"/>
      <c r="M72" s="45"/>
      <c r="N72" s="45"/>
      <c r="O72" s="45"/>
      <c r="P72" s="45"/>
      <c r="Q72" s="37"/>
      <c r="R72" s="45"/>
      <c r="S72" s="37"/>
      <c r="T72" s="37"/>
      <c r="U72" s="37"/>
      <c r="V72" s="37"/>
      <c r="W72" s="37"/>
      <c r="X72" s="37"/>
      <c r="Y72" s="37"/>
      <c r="Z72" s="45"/>
      <c r="AA72" s="37"/>
      <c r="AB72" s="37"/>
      <c r="AC72" s="37"/>
      <c r="AD72" s="45"/>
    </row>
    <row r="73" spans="1:30" ht="12.95" customHeight="1" x14ac:dyDescent="0.2">
      <c r="A73" s="37"/>
      <c r="B73" s="42" t="str">
        <f>HYPERLINK("https://us-east-2-production9-hive-20200324201045952400000002.s3.amazonaws.com/import-files/timberland/product_images/original-TB1A44ZW_231_P_1.png","TB1A44ZW2311")</f>
        <v>TB1A44ZW2311</v>
      </c>
      <c r="C73" s="37" t="s">
        <v>34</v>
      </c>
      <c r="D73" s="37" t="s">
        <v>76</v>
      </c>
      <c r="E73" s="37" t="s">
        <v>36</v>
      </c>
      <c r="F73" s="37" t="s">
        <v>103</v>
      </c>
      <c r="G73" s="43">
        <v>125</v>
      </c>
      <c r="H73" s="37">
        <f>Q73+R73+W73+X73+Y73+AA73+AC73+AD73</f>
        <v>0</v>
      </c>
      <c r="I73" s="44">
        <f>(Q73*WholesalePrice!Q73)+(R73*WholesalePrice!R73)+(W73*WholesalePrice!W73)+(X73*WholesalePrice!X73)+(Y73*WholesalePrice!Y73)+(AA73*WholesalePrice!AA73)+(AC73*WholesalePrice!AC73)+(AD73*WholesalePrice!AD73)</f>
        <v>0</v>
      </c>
      <c r="J73" s="45"/>
      <c r="K73" s="45"/>
      <c r="L73" s="45"/>
      <c r="M73" s="45"/>
      <c r="N73" s="45"/>
      <c r="O73" s="45"/>
      <c r="P73" s="45"/>
      <c r="Q73" s="37"/>
      <c r="R73" s="37"/>
      <c r="S73" s="45"/>
      <c r="T73" s="45"/>
      <c r="U73" s="45"/>
      <c r="V73" s="45"/>
      <c r="W73" s="37"/>
      <c r="X73" s="37"/>
      <c r="Y73" s="37"/>
      <c r="Z73" s="45"/>
      <c r="AA73" s="37"/>
      <c r="AB73" s="45"/>
      <c r="AC73" s="37"/>
      <c r="AD73" s="37"/>
    </row>
    <row r="74" spans="1:30" ht="12.95" customHeight="1" x14ac:dyDescent="0.2">
      <c r="A74" s="37"/>
      <c r="B74" s="42" t="str">
        <f>HYPERLINK("https://us-east-2-production9-hive-20200324201045952400000002.s3.amazonaws.com/import-files/timberland/product_images/original-TB0A66KY_EM4_P_1.png","TB0A66KYEM41")</f>
        <v>TB0A66KYEM41</v>
      </c>
      <c r="C74" s="37" t="s">
        <v>57</v>
      </c>
      <c r="D74" s="37" t="s">
        <v>104</v>
      </c>
      <c r="E74" s="37" t="s">
        <v>36</v>
      </c>
      <c r="F74" s="37" t="s">
        <v>105</v>
      </c>
      <c r="G74" s="43">
        <v>160</v>
      </c>
      <c r="H74" s="37">
        <f>Q74+R74+S74+T74+U74+V74+W74+X74+Y74+Z74+AA74+AB74+AC74+AD74</f>
        <v>0</v>
      </c>
      <c r="I74" s="44">
        <f>(Q74*WholesalePrice!Q74)+(R74*WholesalePrice!R74)+(S74*WholesalePrice!S74)+(T74*WholesalePrice!T74)+(U74*WholesalePrice!U74)+(V74*WholesalePrice!V74)+(W74*WholesalePrice!W74)+(X74*WholesalePrice!X74)+(Y74*WholesalePrice!Y74)+(Z74*WholesalePrice!Z74)+(AA74*WholesalePrice!AA74)+(AB74*WholesalePrice!AB74)+(AC74*WholesalePrice!AC74)+(AD74*WholesalePrice!AD74)</f>
        <v>0</v>
      </c>
      <c r="J74" s="45"/>
      <c r="K74" s="45"/>
      <c r="L74" s="45"/>
      <c r="M74" s="45"/>
      <c r="N74" s="45"/>
      <c r="O74" s="45"/>
      <c r="P74" s="45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</row>
    <row r="75" spans="1:30" ht="12.95" customHeight="1" x14ac:dyDescent="0.2">
      <c r="A75" s="37"/>
      <c r="B75" s="42" t="str">
        <f>HYPERLINK("https://us-east-2-production9-hive-20200324201045952400000002.s3.amazonaws.com/import-files/timberland/product_images/original-TB0A66KY_EM4_P_1.png","TB0A66KYEM41")</f>
        <v>TB0A66KYEM41</v>
      </c>
      <c r="C75" s="37" t="s">
        <v>34</v>
      </c>
      <c r="D75" s="37" t="s">
        <v>104</v>
      </c>
      <c r="E75" s="37" t="s">
        <v>36</v>
      </c>
      <c r="F75" s="37" t="s">
        <v>105</v>
      </c>
      <c r="G75" s="43">
        <v>160</v>
      </c>
      <c r="H75" s="37">
        <f>Q75+R75+S75+T75+U75+V75+W75+X75+Y75+Z75+AA75+AB75+AC75+AD75</f>
        <v>0</v>
      </c>
      <c r="I75" s="44">
        <f>(Q75*WholesalePrice!Q75)+(R75*WholesalePrice!R75)+(S75*WholesalePrice!S75)+(T75*WholesalePrice!T75)+(U75*WholesalePrice!U75)+(V75*WholesalePrice!V75)+(W75*WholesalePrice!W75)+(X75*WholesalePrice!X75)+(Y75*WholesalePrice!Y75)+(Z75*WholesalePrice!Z75)+(AA75*WholesalePrice!AA75)+(AB75*WholesalePrice!AB75)+(AC75*WholesalePrice!AC75)+(AD75*WholesalePrice!AD75)</f>
        <v>0</v>
      </c>
      <c r="J75" s="45"/>
      <c r="K75" s="45"/>
      <c r="L75" s="45"/>
      <c r="M75" s="45"/>
      <c r="N75" s="45"/>
      <c r="O75" s="45"/>
      <c r="P75" s="45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</row>
    <row r="76" spans="1:30" ht="12.95" customHeight="1" x14ac:dyDescent="0.2">
      <c r="A76" s="37"/>
      <c r="B76" s="42" t="str">
        <f>HYPERLINK("https://us-east-2-production9-hive-20200324201045952400000002.s3.amazonaws.com/import-files/timberland/product_images/original-TB191631_214_P_1.png","TB1916312141")</f>
        <v>TB1916312141</v>
      </c>
      <c r="C76" s="37" t="s">
        <v>34</v>
      </c>
      <c r="D76" s="37" t="s">
        <v>68</v>
      </c>
      <c r="E76" s="37" t="s">
        <v>36</v>
      </c>
      <c r="F76" s="37" t="s">
        <v>106</v>
      </c>
      <c r="G76" s="43">
        <v>145</v>
      </c>
      <c r="H76" s="37">
        <f>Q76+R76+S76+T76+U76+V76+W76+X76+Y76+AA76+AB76+AC76+AD76</f>
        <v>0</v>
      </c>
      <c r="I76" s="44">
        <f>(Q76*WholesalePrice!Q76)+(R76*WholesalePrice!R76)+(S76*WholesalePrice!S76)+(T76*WholesalePrice!T76)+(U76*WholesalePrice!U76)+(V76*WholesalePrice!V76)+(W76*WholesalePrice!W76)+(X76*WholesalePrice!X76)+(Y76*WholesalePrice!Y76)+(AA76*WholesalePrice!AA76)+(AB76*WholesalePrice!AB76)+(AC76*WholesalePrice!AC76)+(AD76*WholesalePrice!AD76)</f>
        <v>0</v>
      </c>
      <c r="J76" s="45"/>
      <c r="K76" s="45"/>
      <c r="L76" s="45"/>
      <c r="M76" s="45"/>
      <c r="N76" s="45"/>
      <c r="O76" s="45"/>
      <c r="P76" s="45"/>
      <c r="Q76" s="37"/>
      <c r="R76" s="37"/>
      <c r="S76" s="37"/>
      <c r="T76" s="37"/>
      <c r="U76" s="37"/>
      <c r="V76" s="37"/>
      <c r="W76" s="37"/>
      <c r="X76" s="37"/>
      <c r="Y76" s="37"/>
      <c r="Z76" s="45"/>
      <c r="AA76" s="37"/>
      <c r="AB76" s="37"/>
      <c r="AC76" s="37"/>
      <c r="AD76" s="37"/>
    </row>
    <row r="77" spans="1:30" ht="12.95" customHeight="1" x14ac:dyDescent="0.2">
      <c r="A77" s="37"/>
      <c r="B77" s="42" t="str">
        <f>HYPERLINK("https://us-east-2-production9-hive-20200324201045952400000002.s3.amazonaws.com/import-files/timberland/product_images/original-TB1A11UT_001_P_1.png","TB1A11UT0011")</f>
        <v>TB1A11UT0011</v>
      </c>
      <c r="C77" s="37" t="s">
        <v>34</v>
      </c>
      <c r="D77" s="37" t="s">
        <v>46</v>
      </c>
      <c r="E77" s="37" t="s">
        <v>36</v>
      </c>
      <c r="F77" s="37" t="s">
        <v>106</v>
      </c>
      <c r="G77" s="43">
        <v>145</v>
      </c>
      <c r="H77" s="37">
        <f>Q77+R77+S77+T77+U77+V77+W77+X77+Y77+AA77+AB77+AC77+AD77</f>
        <v>0</v>
      </c>
      <c r="I77" s="44">
        <f>(Q77*WholesalePrice!Q77)+(R77*WholesalePrice!R77)+(S77*WholesalePrice!S77)+(T77*WholesalePrice!T77)+(U77*WholesalePrice!U77)+(V77*WholesalePrice!V77)+(W77*WholesalePrice!W77)+(X77*WholesalePrice!X77)+(Y77*WholesalePrice!Y77)+(AA77*WholesalePrice!AA77)+(AB77*WholesalePrice!AB77)+(AC77*WholesalePrice!AC77)+(AD77*WholesalePrice!AD77)</f>
        <v>0</v>
      </c>
      <c r="J77" s="45"/>
      <c r="K77" s="45"/>
      <c r="L77" s="45"/>
      <c r="M77" s="45"/>
      <c r="N77" s="45"/>
      <c r="O77" s="45"/>
      <c r="P77" s="45"/>
      <c r="Q77" s="37"/>
      <c r="R77" s="37"/>
      <c r="S77" s="37"/>
      <c r="T77" s="37"/>
      <c r="U77" s="37"/>
      <c r="V77" s="37"/>
      <c r="W77" s="37"/>
      <c r="X77" s="37"/>
      <c r="Y77" s="37"/>
      <c r="Z77" s="45"/>
      <c r="AA77" s="37"/>
      <c r="AB77" s="37"/>
      <c r="AC77" s="37"/>
      <c r="AD77" s="37"/>
    </row>
    <row r="78" spans="1:30" ht="12.95" customHeight="1" x14ac:dyDescent="0.2">
      <c r="A78" s="37"/>
      <c r="B78" s="42" t="str">
        <f>HYPERLINK("https://us-east-2-production9-hive-20200324201045952400000002.s3.amazonaws.com/import-files/timberland/product_images/original-TB1A22H2_231_P_1.png","TB1A22H22311")</f>
        <v>TB1A22H22311</v>
      </c>
      <c r="C78" s="37" t="s">
        <v>34</v>
      </c>
      <c r="D78" s="37" t="s">
        <v>76</v>
      </c>
      <c r="E78" s="37" t="s">
        <v>36</v>
      </c>
      <c r="F78" s="37" t="s">
        <v>107</v>
      </c>
      <c r="G78" s="43">
        <v>125</v>
      </c>
      <c r="H78" s="37">
        <f>Q78+R78+S78+T78+U78+V78+W78+X78+Y78+AA78+AB78+AC78+AD78</f>
        <v>0</v>
      </c>
      <c r="I78" s="44">
        <f>(Q78*WholesalePrice!Q78)+(R78*WholesalePrice!R78)+(S78*WholesalePrice!S78)+(T78*WholesalePrice!T78)+(U78*WholesalePrice!U78)+(V78*WholesalePrice!V78)+(W78*WholesalePrice!W78)+(X78*WholesalePrice!X78)+(Y78*WholesalePrice!Y78)+(AA78*WholesalePrice!AA78)+(AB78*WholesalePrice!AB78)+(AC78*WholesalePrice!AC78)+(AD78*WholesalePrice!AD78)</f>
        <v>0</v>
      </c>
      <c r="J78" s="45"/>
      <c r="K78" s="45"/>
      <c r="L78" s="45"/>
      <c r="M78" s="45"/>
      <c r="N78" s="45"/>
      <c r="O78" s="45"/>
      <c r="P78" s="45"/>
      <c r="Q78" s="37"/>
      <c r="R78" s="37"/>
      <c r="S78" s="37"/>
      <c r="T78" s="37"/>
      <c r="U78" s="37"/>
      <c r="V78" s="37"/>
      <c r="W78" s="37"/>
      <c r="X78" s="37"/>
      <c r="Y78" s="37"/>
      <c r="Z78" s="45"/>
      <c r="AA78" s="37"/>
      <c r="AB78" s="37"/>
      <c r="AC78" s="37"/>
      <c r="AD78" s="37"/>
    </row>
    <row r="79" spans="1:30" ht="12.75" x14ac:dyDescent="0.2">
      <c r="A79" s="38" t="s">
        <v>108</v>
      </c>
      <c r="B79" s="37"/>
      <c r="C79" s="37"/>
      <c r="D79" s="37"/>
      <c r="E79" s="37"/>
      <c r="F79" s="37"/>
      <c r="G79" s="37" t="s">
        <v>9</v>
      </c>
      <c r="H79" s="37" t="s">
        <v>9</v>
      </c>
      <c r="I79" s="37" t="s">
        <v>9</v>
      </c>
      <c r="J79" s="39" t="s">
        <v>20</v>
      </c>
      <c r="K79" s="39" t="s">
        <v>21</v>
      </c>
      <c r="L79" s="39" t="s">
        <v>22</v>
      </c>
      <c r="M79" s="39" t="s">
        <v>23</v>
      </c>
      <c r="N79" s="39" t="s">
        <v>24</v>
      </c>
      <c r="O79" s="39" t="s">
        <v>25</v>
      </c>
      <c r="P79" s="39" t="s">
        <v>26</v>
      </c>
      <c r="Q79" s="39" t="s">
        <v>27</v>
      </c>
      <c r="R79" s="39" t="s">
        <v>28</v>
      </c>
      <c r="S79" s="39" t="s">
        <v>56</v>
      </c>
      <c r="T79" s="39" t="s">
        <v>29</v>
      </c>
      <c r="U79" s="39" t="s">
        <v>30</v>
      </c>
      <c r="V79" s="39" t="s">
        <v>31</v>
      </c>
      <c r="W79" s="39" t="s">
        <v>32</v>
      </c>
    </row>
    <row r="80" spans="1:30" ht="12.95" customHeight="1" x14ac:dyDescent="0.2">
      <c r="A80" s="37"/>
      <c r="B80" s="42" t="str">
        <f>HYPERLINK("https://us-east-2-production9-hive-20200324201045952400000002.s3.amazonaws.com/import-files/timberland/product_images/original-TB0A5ZZK_214_P_1.png","TB0A5ZZK2141")</f>
        <v>TB0A5ZZK2141</v>
      </c>
      <c r="C80" s="37" t="s">
        <v>57</v>
      </c>
      <c r="D80" s="37" t="s">
        <v>68</v>
      </c>
      <c r="E80" s="37" t="s">
        <v>36</v>
      </c>
      <c r="F80" s="37" t="s">
        <v>109</v>
      </c>
      <c r="G80" s="43">
        <v>120</v>
      </c>
      <c r="H80" s="37">
        <f>J80+K80+L80+M80+N80+O80+P80+Q80+R80+T80+U80+V80+W80</f>
        <v>0</v>
      </c>
      <c r="I80" s="44">
        <f>(J80*WholesalePrice!J80)+(K80*WholesalePrice!K80)+(L80*WholesalePrice!L80)+(M80*WholesalePrice!M80)+(N80*WholesalePrice!N80)+(O80*WholesalePrice!O80)+(P80*WholesalePrice!P80)+(Q80*WholesalePrice!Q80)+(R80*WholesalePrice!R80)+(T80*WholesalePrice!T80)+(U80*WholesalePrice!U80)+(V80*WholesalePrice!V80)+(W80*WholesalePrice!W80)</f>
        <v>0</v>
      </c>
      <c r="J80" s="37"/>
      <c r="K80" s="37"/>
      <c r="L80" s="37"/>
      <c r="M80" s="37"/>
      <c r="N80" s="37"/>
      <c r="O80" s="37"/>
      <c r="P80" s="37"/>
      <c r="Q80" s="37"/>
      <c r="R80" s="37"/>
      <c r="S80" s="45"/>
      <c r="T80" s="37"/>
      <c r="U80" s="37"/>
      <c r="V80" s="37"/>
      <c r="W80" s="37"/>
    </row>
    <row r="81" spans="1:23" ht="12.95" customHeight="1" x14ac:dyDescent="0.2">
      <c r="A81" s="37"/>
      <c r="B81" s="42" t="str">
        <f>HYPERLINK("https://us-east-2-production9-hive-20200324201045952400000002.s3.amazonaws.com/import-files/timberland/product_images/original-TB0A6117_001_P_1.png","TB0A61170011")</f>
        <v>TB0A61170011</v>
      </c>
      <c r="C81" s="37" t="s">
        <v>57</v>
      </c>
      <c r="D81" s="37" t="s">
        <v>46</v>
      </c>
      <c r="E81" s="37" t="s">
        <v>36</v>
      </c>
      <c r="F81" s="37" t="s">
        <v>109</v>
      </c>
      <c r="G81" s="43">
        <v>120</v>
      </c>
      <c r="H81" s="37">
        <f>J81+K81+L81+M81+N81+O81+P81+Q81+R81+T81+U81+V81+W81</f>
        <v>0</v>
      </c>
      <c r="I81" s="44">
        <f>(J81*WholesalePrice!J81)+(K81*WholesalePrice!K81)+(L81*WholesalePrice!L81)+(M81*WholesalePrice!M81)+(N81*WholesalePrice!N81)+(O81*WholesalePrice!O81)+(P81*WholesalePrice!P81)+(Q81*WholesalePrice!Q81)+(R81*WholesalePrice!R81)+(T81*WholesalePrice!T81)+(U81*WholesalePrice!U81)+(V81*WholesalePrice!V81)+(W81*WholesalePrice!W81)</f>
        <v>0</v>
      </c>
      <c r="J81" s="37"/>
      <c r="K81" s="37"/>
      <c r="L81" s="37"/>
      <c r="M81" s="37"/>
      <c r="N81" s="37"/>
      <c r="O81" s="37"/>
      <c r="P81" s="37"/>
      <c r="Q81" s="37"/>
      <c r="R81" s="37"/>
      <c r="S81" s="45"/>
      <c r="T81" s="37"/>
      <c r="U81" s="37"/>
      <c r="V81" s="37"/>
      <c r="W81" s="37"/>
    </row>
    <row r="82" spans="1:23" ht="12.95" customHeight="1" x14ac:dyDescent="0.2">
      <c r="A82" s="37"/>
      <c r="B82" s="42" t="str">
        <f>HYPERLINK("https://us-east-2-production9-hive-20200324201045952400000002.s3.amazonaws.com/import-files/timberland/product_images/original-TB0A5X93_214_P_1.png","TB0A5X932141")</f>
        <v>TB0A5X932141</v>
      </c>
      <c r="C82" s="37" t="s">
        <v>34</v>
      </c>
      <c r="D82" s="37" t="s">
        <v>68</v>
      </c>
      <c r="E82" s="37" t="s">
        <v>36</v>
      </c>
      <c r="F82" s="37" t="s">
        <v>110</v>
      </c>
      <c r="G82" s="43">
        <v>125</v>
      </c>
      <c r="H82" s="37">
        <f>J82+K82+L82+M82+N82+O82+P82+Q82+R82+T82+U82+V82+W82</f>
        <v>0</v>
      </c>
      <c r="I82" s="44">
        <f>(J82*WholesalePrice!J82)+(K82*WholesalePrice!K82)+(L82*WholesalePrice!L82)+(M82*WholesalePrice!M82)+(N82*WholesalePrice!N82)+(O82*WholesalePrice!O82)+(P82*WholesalePrice!P82)+(Q82*WholesalePrice!Q82)+(R82*WholesalePrice!R82)+(T82*WholesalePrice!T82)+(U82*WholesalePrice!U82)+(V82*WholesalePrice!V82)+(W82*WholesalePrice!W82)</f>
        <v>0</v>
      </c>
      <c r="J82" s="37"/>
      <c r="K82" s="37"/>
      <c r="L82" s="37"/>
      <c r="M82" s="37"/>
      <c r="N82" s="37"/>
      <c r="O82" s="37"/>
      <c r="P82" s="37"/>
      <c r="Q82" s="37"/>
      <c r="R82" s="37"/>
      <c r="S82" s="45"/>
      <c r="T82" s="37"/>
      <c r="U82" s="37"/>
      <c r="V82" s="37"/>
      <c r="W82" s="37"/>
    </row>
    <row r="83" spans="1:23" ht="12.95" customHeight="1" x14ac:dyDescent="0.2">
      <c r="A83" s="37"/>
      <c r="B83" s="42" t="str">
        <f>HYPERLINK("https://us-east-2-production9-hive-20200324201045952400000002.s3.amazonaws.com/import-files/timberland/product_images/original-TB0A5YYF_001_P_1.png","TB0A5YYF0011")</f>
        <v>TB0A5YYF0011</v>
      </c>
      <c r="C83" s="37" t="s">
        <v>34</v>
      </c>
      <c r="D83" s="37" t="s">
        <v>46</v>
      </c>
      <c r="E83" s="37" t="s">
        <v>36</v>
      </c>
      <c r="F83" s="37" t="s">
        <v>110</v>
      </c>
      <c r="G83" s="43">
        <v>125</v>
      </c>
      <c r="H83" s="37">
        <f>J83+K83+L83+M83+N83+O83+P83+Q83+R83+S83+T83+U83+V83+W83</f>
        <v>0</v>
      </c>
      <c r="I83" s="44">
        <f>(J83*WholesalePrice!J83)+(K83*WholesalePrice!K83)+(L83*WholesalePrice!L83)+(M83*WholesalePrice!M83)+(N83*WholesalePrice!N83)+(O83*WholesalePrice!O83)+(P83*WholesalePrice!P83)+(Q83*WholesalePrice!Q83)+(R83*WholesalePrice!R83)+(S83*WholesalePrice!S83)+(T83*WholesalePrice!T83)+(U83*WholesalePrice!U83)+(V83*WholesalePrice!V83)+(W83*WholesalePrice!W83)</f>
        <v>0</v>
      </c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</row>
    <row r="84" spans="1:23" ht="12.75" x14ac:dyDescent="0.2">
      <c r="A84" s="38" t="s">
        <v>111</v>
      </c>
      <c r="B84" s="37"/>
      <c r="C84" s="37"/>
      <c r="D84" s="37"/>
      <c r="E84" s="37"/>
      <c r="F84" s="37"/>
      <c r="G84" s="37" t="s">
        <v>9</v>
      </c>
      <c r="H84" s="37" t="s">
        <v>9</v>
      </c>
      <c r="I84" s="37" t="s">
        <v>9</v>
      </c>
      <c r="J84" s="39" t="s">
        <v>20</v>
      </c>
      <c r="K84" s="39" t="s">
        <v>21</v>
      </c>
      <c r="L84" s="39" t="s">
        <v>22</v>
      </c>
      <c r="M84" s="39" t="s">
        <v>23</v>
      </c>
      <c r="N84" s="39" t="s">
        <v>24</v>
      </c>
      <c r="O84" s="39" t="s">
        <v>25</v>
      </c>
      <c r="P84" s="39" t="s">
        <v>26</v>
      </c>
      <c r="Q84" s="39" t="s">
        <v>27</v>
      </c>
      <c r="R84" s="39" t="s">
        <v>28</v>
      </c>
      <c r="S84" s="39" t="s">
        <v>56</v>
      </c>
      <c r="T84" s="39" t="s">
        <v>29</v>
      </c>
      <c r="U84" s="39" t="s">
        <v>30</v>
      </c>
      <c r="V84" s="39" t="s">
        <v>31</v>
      </c>
      <c r="W84" s="39" t="s">
        <v>32</v>
      </c>
    </row>
    <row r="85" spans="1:23" ht="12.95" customHeight="1" x14ac:dyDescent="0.2">
      <c r="A85" s="37"/>
      <c r="B85" s="42" t="str">
        <f>HYPERLINK("https://us-east-2-production9-hive-20200324201045952400000002.s3.amazonaws.com/import-files/timberland/product_images/original-TB0A67SF_EL0_P_1.png","TB0A67SFEL01")</f>
        <v>TB0A67SFEL01</v>
      </c>
      <c r="C85" s="37" t="s">
        <v>57</v>
      </c>
      <c r="D85" s="37" t="s">
        <v>112</v>
      </c>
      <c r="E85" s="37" t="s">
        <v>36</v>
      </c>
      <c r="F85" s="37" t="s">
        <v>113</v>
      </c>
      <c r="G85" s="43">
        <v>70</v>
      </c>
      <c r="H85" s="37">
        <f>J85+K85+L85+M85+N85+O85+P85+Q85+R85+S85+T85+U85+V85+W85</f>
        <v>0</v>
      </c>
      <c r="I85" s="44">
        <f>(J85*WholesalePrice!J85)+(K85*WholesalePrice!K85)+(L85*WholesalePrice!L85)+(M85*WholesalePrice!M85)+(N85*WholesalePrice!N85)+(O85*WholesalePrice!O85)+(P85*WholesalePrice!P85)+(Q85*WholesalePrice!Q85)+(R85*WholesalePrice!R85)+(S85*WholesalePrice!S85)+(T85*WholesalePrice!T85)+(U85*WholesalePrice!U85)+(V85*WholesalePrice!V85)+(W85*WholesalePrice!W85)</f>
        <v>0</v>
      </c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</row>
    <row r="86" spans="1:23" ht="12.95" customHeight="1" x14ac:dyDescent="0.2">
      <c r="A86" s="37"/>
      <c r="B86" s="42" t="str">
        <f>HYPERLINK("https://us-east-2-production9-hive-20200324201045952400000002.s3.amazonaws.com/import-files/timberland/product_images/original-TB0A67SF_EL0_P_1.png","TB0A67SFEL01")</f>
        <v>TB0A67SFEL01</v>
      </c>
      <c r="C86" s="37" t="s">
        <v>34</v>
      </c>
      <c r="D86" s="37" t="s">
        <v>112</v>
      </c>
      <c r="E86" s="37" t="s">
        <v>36</v>
      </c>
      <c r="F86" s="37" t="s">
        <v>113</v>
      </c>
      <c r="G86" s="43">
        <v>70</v>
      </c>
      <c r="H86" s="37">
        <f>J86+K86+L86+M86+N86+O86+P86+Q86+R86+S86+T86+U86+V86+W86</f>
        <v>0</v>
      </c>
      <c r="I86" s="44">
        <f>(J86*WholesalePrice!J86)+(K86*WholesalePrice!K86)+(L86*WholesalePrice!L86)+(M86*WholesalePrice!M86)+(N86*WholesalePrice!N86)+(O86*WholesalePrice!O86)+(P86*WholesalePrice!P86)+(Q86*WholesalePrice!Q86)+(R86*WholesalePrice!R86)+(S86*WholesalePrice!S86)+(T86*WholesalePrice!T86)+(U86*WholesalePrice!U86)+(V86*WholesalePrice!V86)+(W86*WholesalePrice!W86)</f>
        <v>0</v>
      </c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</row>
    <row r="87" spans="1:23" ht="12.95" customHeight="1" x14ac:dyDescent="0.2">
      <c r="A87" s="37"/>
      <c r="B87" s="42" t="str">
        <f>HYPERLINK("https://us-east-2-production9-hive-20200324201045952400000002.s3.amazonaws.com/import-files/timberland/product_images/original-TB0A6167_001_P_1.png","TB0A61670011")</f>
        <v>TB0A61670011</v>
      </c>
      <c r="C87" s="37" t="s">
        <v>34</v>
      </c>
      <c r="D87" s="37" t="s">
        <v>46</v>
      </c>
      <c r="E87" s="37" t="s">
        <v>36</v>
      </c>
      <c r="F87" s="37" t="s">
        <v>45</v>
      </c>
      <c r="G87" s="43">
        <v>90</v>
      </c>
      <c r="H87" s="37">
        <f>J87+K87+L87+M87+N87+O87+P87+Q87+R87+T87+U87+V87+W87</f>
        <v>0</v>
      </c>
      <c r="I87" s="44">
        <f>(J87*WholesalePrice!J87)+(K87*WholesalePrice!K87)+(L87*WholesalePrice!L87)+(M87*WholesalePrice!M87)+(N87*WholesalePrice!N87)+(O87*WholesalePrice!O87)+(P87*WholesalePrice!P87)+(Q87*WholesalePrice!Q87)+(R87*WholesalePrice!R87)+(T87*WholesalePrice!T87)+(U87*WholesalePrice!U87)+(V87*WholesalePrice!V87)+(W87*WholesalePrice!W87)</f>
        <v>0</v>
      </c>
      <c r="J87" s="37"/>
      <c r="K87" s="37"/>
      <c r="L87" s="37"/>
      <c r="M87" s="37"/>
      <c r="N87" s="37"/>
      <c r="O87" s="37"/>
      <c r="P87" s="37"/>
      <c r="Q87" s="37"/>
      <c r="R87" s="37"/>
      <c r="S87" s="45"/>
      <c r="T87" s="37"/>
      <c r="U87" s="37"/>
      <c r="V87" s="37"/>
      <c r="W87" s="37"/>
    </row>
    <row r="88" spans="1:23" ht="12.75" x14ac:dyDescent="0.2">
      <c r="A88" s="38" t="s">
        <v>114</v>
      </c>
      <c r="B88" s="37"/>
      <c r="C88" s="37"/>
      <c r="D88" s="37"/>
      <c r="E88" s="37"/>
      <c r="F88" s="37"/>
      <c r="G88" s="37" t="s">
        <v>9</v>
      </c>
      <c r="H88" s="37" t="s">
        <v>9</v>
      </c>
      <c r="I88" s="37" t="s">
        <v>9</v>
      </c>
      <c r="J88" s="39" t="s">
        <v>20</v>
      </c>
      <c r="K88" s="39" t="s">
        <v>21</v>
      </c>
      <c r="L88" s="39" t="s">
        <v>22</v>
      </c>
      <c r="M88" s="39" t="s">
        <v>23</v>
      </c>
      <c r="N88" s="39" t="s">
        <v>24</v>
      </c>
      <c r="O88" s="39" t="s">
        <v>25</v>
      </c>
      <c r="P88" s="39" t="s">
        <v>26</v>
      </c>
      <c r="Q88" s="39" t="s">
        <v>27</v>
      </c>
      <c r="R88" s="39" t="s">
        <v>28</v>
      </c>
      <c r="S88" s="39" t="s">
        <v>56</v>
      </c>
      <c r="T88" s="39" t="s">
        <v>29</v>
      </c>
      <c r="U88" s="39" t="s">
        <v>30</v>
      </c>
      <c r="V88" s="39" t="s">
        <v>31</v>
      </c>
      <c r="W88" s="39" t="s">
        <v>32</v>
      </c>
    </row>
    <row r="89" spans="1:23" ht="12.95" customHeight="1" x14ac:dyDescent="0.2">
      <c r="A89" s="37"/>
      <c r="B89" s="42" t="str">
        <f>HYPERLINK("https://us-east-2-production9-hive-20200324201045952400000002.s3.amazonaws.com/import-files/timberland/product_images/original-TB1A278X_001_P_1.png","TB1A278X0011")</f>
        <v>TB1A278X0011</v>
      </c>
      <c r="C89" s="37" t="s">
        <v>34</v>
      </c>
      <c r="D89" s="37" t="s">
        <v>46</v>
      </c>
      <c r="E89" s="37" t="s">
        <v>36</v>
      </c>
      <c r="F89" s="37" t="s">
        <v>115</v>
      </c>
      <c r="G89" s="43">
        <v>90</v>
      </c>
      <c r="H89" s="37">
        <f>J89+K89+L89+M89+N89+O89+P89+Q89+R89+T89+U89+V89+W89</f>
        <v>0</v>
      </c>
      <c r="I89" s="44">
        <f>(J89*WholesalePrice!J89)+(K89*WholesalePrice!K89)+(L89*WholesalePrice!L89)+(M89*WholesalePrice!M89)+(N89*WholesalePrice!N89)+(O89*WholesalePrice!O89)+(P89*WholesalePrice!P89)+(Q89*WholesalePrice!Q89)+(R89*WholesalePrice!R89)+(T89*WholesalePrice!T89)+(U89*WholesalePrice!U89)+(V89*WholesalePrice!V89)+(W89*WholesalePrice!W89)</f>
        <v>0</v>
      </c>
      <c r="J89" s="37"/>
      <c r="K89" s="37"/>
      <c r="L89" s="37"/>
      <c r="M89" s="37"/>
      <c r="N89" s="37"/>
      <c r="O89" s="37"/>
      <c r="P89" s="37"/>
      <c r="Q89" s="37"/>
      <c r="R89" s="37"/>
      <c r="S89" s="45"/>
      <c r="T89" s="37"/>
      <c r="U89" s="37"/>
      <c r="V89" s="37"/>
      <c r="W89" s="37"/>
    </row>
    <row r="90" spans="1:23" ht="12.95" customHeight="1" x14ac:dyDescent="0.2">
      <c r="A90" s="37"/>
      <c r="B90" s="42" t="str">
        <f>HYPERLINK("https://us-east-2-production9-hive-20200324201045952400000002.s3.amazonaws.com/import-files/timberland/product_images/original-TB1A2CB8_001_P_1.png","TB1A2CB80011")</f>
        <v>TB1A2CB80011</v>
      </c>
      <c r="C90" s="37" t="s">
        <v>57</v>
      </c>
      <c r="D90" s="37" t="s">
        <v>46</v>
      </c>
      <c r="E90" s="37" t="s">
        <v>36</v>
      </c>
      <c r="F90" s="37" t="s">
        <v>116</v>
      </c>
      <c r="G90" s="43">
        <v>115</v>
      </c>
      <c r="H90" s="37">
        <f>J90+K90+L90+M90+N90+O90+P90+Q90+R90+S90+T90+U90+V90+W90</f>
        <v>0</v>
      </c>
      <c r="I90" s="44">
        <f>(J90*WholesalePrice!J90)+(K90*WholesalePrice!K90)+(L90*WholesalePrice!L90)+(M90*WholesalePrice!M90)+(N90*WholesalePrice!N90)+(O90*WholesalePrice!O90)+(P90*WholesalePrice!P90)+(Q90*WholesalePrice!Q90)+(R90*WholesalePrice!R90)+(S90*WholesalePrice!S90)+(T90*WholesalePrice!T90)+(U90*WholesalePrice!U90)+(V90*WholesalePrice!V90)+(W90*WholesalePrice!W90)</f>
        <v>0</v>
      </c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</row>
    <row r="91" spans="1:23" ht="12.95" customHeight="1" x14ac:dyDescent="0.2">
      <c r="A91" s="37"/>
      <c r="B91" s="42" t="str">
        <f>HYPERLINK("https://us-east-2-production9-hive-20200324201045952400000002.s3.amazonaws.com/import-files/timberland/product_images/original-TB1A2CB8_001_P_1.png","TB1A2CB80011")</f>
        <v>TB1A2CB80011</v>
      </c>
      <c r="C91" s="37" t="s">
        <v>34</v>
      </c>
      <c r="D91" s="37" t="s">
        <v>46</v>
      </c>
      <c r="E91" s="37" t="s">
        <v>36</v>
      </c>
      <c r="F91" s="37" t="s">
        <v>116</v>
      </c>
      <c r="G91" s="43">
        <v>115</v>
      </c>
      <c r="H91" s="37">
        <f>J91+K91+L91+M91+N91+O91+P91+Q91+R91+S91+T91+U91+V91+W91</f>
        <v>0</v>
      </c>
      <c r="I91" s="44">
        <f>(J91*WholesalePrice!J91)+(K91*WholesalePrice!K91)+(L91*WholesalePrice!L91)+(M91*WholesalePrice!M91)+(N91*WholesalePrice!N91)+(O91*WholesalePrice!O91)+(P91*WholesalePrice!P91)+(Q91*WholesalePrice!Q91)+(R91*WholesalePrice!R91)+(S91*WholesalePrice!S91)+(T91*WholesalePrice!T91)+(U91*WholesalePrice!U91)+(V91*WholesalePrice!V91)+(W91*WholesalePrice!W91)</f>
        <v>0</v>
      </c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</row>
    <row r="92" spans="1:23" ht="12.95" customHeight="1" x14ac:dyDescent="0.2">
      <c r="A92" s="37"/>
      <c r="B92" s="42" t="str">
        <f>HYPERLINK("https://us-east-2-production9-hive-20200324201045952400000002.s3.amazonaws.com/import-files/timberland/product_images/original-TB0A61T7_214_P_1.png","TB0A61T72141")</f>
        <v>TB0A61T72141</v>
      </c>
      <c r="C92" s="37" t="s">
        <v>34</v>
      </c>
      <c r="D92" s="37" t="s">
        <v>68</v>
      </c>
      <c r="E92" s="37" t="s">
        <v>36</v>
      </c>
      <c r="F92" s="37" t="s">
        <v>117</v>
      </c>
      <c r="G92" s="43">
        <v>90</v>
      </c>
      <c r="H92" s="37">
        <f>J92+K92+L92+M92+N92+O92+P92+Q92+R92+T92+U92+V92+W92</f>
        <v>0</v>
      </c>
      <c r="I92" s="44">
        <f>(J92*WholesalePrice!J92)+(K92*WholesalePrice!K92)+(L92*WholesalePrice!L92)+(M92*WholesalePrice!M92)+(N92*WholesalePrice!N92)+(O92*WholesalePrice!O92)+(P92*WholesalePrice!P92)+(Q92*WholesalePrice!Q92)+(R92*WholesalePrice!R92)+(T92*WholesalePrice!T92)+(U92*WholesalePrice!U92)+(V92*WholesalePrice!V92)+(W92*WholesalePrice!W92)</f>
        <v>0</v>
      </c>
      <c r="J92" s="37"/>
      <c r="K92" s="37"/>
      <c r="L92" s="37"/>
      <c r="M92" s="37"/>
      <c r="N92" s="37"/>
      <c r="O92" s="37"/>
      <c r="P92" s="37"/>
      <c r="Q92" s="37"/>
      <c r="R92" s="37"/>
      <c r="S92" s="45"/>
      <c r="T92" s="37"/>
      <c r="U92" s="37"/>
      <c r="V92" s="37"/>
      <c r="W92" s="37"/>
    </row>
    <row r="93" spans="1:23" ht="12.95" customHeight="1" x14ac:dyDescent="0.2">
      <c r="A93" s="37"/>
      <c r="B93" s="42" t="str">
        <f>HYPERLINK("https://us-east-2-production9-hive-20200324201045952400000002.s3.amazonaws.com/import-files/timberland/product_images/original-TB1A27XS_214_P_1.png","TB1A27XS2141")</f>
        <v>TB1A27XS2141</v>
      </c>
      <c r="C93" s="37" t="s">
        <v>34</v>
      </c>
      <c r="D93" s="37" t="s">
        <v>68</v>
      </c>
      <c r="E93" s="37" t="s">
        <v>36</v>
      </c>
      <c r="F93" s="37" t="s">
        <v>118</v>
      </c>
      <c r="G93" s="43">
        <v>80</v>
      </c>
      <c r="H93" s="37">
        <f>J93+K93+L93+M93+N93+O93+P93+Q93+R93+T93+U93+V93+W93</f>
        <v>0</v>
      </c>
      <c r="I93" s="44">
        <f>(J93*WholesalePrice!J93)+(K93*WholesalePrice!K93)+(L93*WholesalePrice!L93)+(M93*WholesalePrice!M93)+(N93*WholesalePrice!N93)+(O93*WholesalePrice!O93)+(P93*WholesalePrice!P93)+(Q93*WholesalePrice!Q93)+(R93*WholesalePrice!R93)+(T93*WholesalePrice!T93)+(U93*WholesalePrice!U93)+(V93*WholesalePrice!V93)+(W93*WholesalePrice!W93)</f>
        <v>0</v>
      </c>
      <c r="J93" s="37"/>
      <c r="K93" s="37"/>
      <c r="L93" s="37"/>
      <c r="M93" s="37"/>
      <c r="N93" s="37"/>
      <c r="O93" s="37"/>
      <c r="P93" s="37"/>
      <c r="Q93" s="37"/>
      <c r="R93" s="37"/>
      <c r="S93" s="45"/>
      <c r="T93" s="37"/>
      <c r="U93" s="37"/>
      <c r="V93" s="37"/>
      <c r="W93" s="37"/>
    </row>
    <row r="94" spans="1:23" ht="12.95" customHeight="1" x14ac:dyDescent="0.2">
      <c r="A94" s="37"/>
      <c r="B94" s="42" t="str">
        <f>HYPERLINK("https://us-east-2-production9-hive-20200324201045952400000002.s3.amazonaws.com/import-files/timberland/product_images/original-TB0A63XB_EPB_P_1.png","TB0A63XBEPB1")</f>
        <v>TB0A63XBEPB1</v>
      </c>
      <c r="C94" s="37" t="s">
        <v>34</v>
      </c>
      <c r="D94" s="37" t="s">
        <v>119</v>
      </c>
      <c r="E94" s="37" t="s">
        <v>36</v>
      </c>
      <c r="F94" s="37" t="s">
        <v>120</v>
      </c>
      <c r="G94" s="43">
        <v>100</v>
      </c>
      <c r="H94" s="37">
        <f>J94+K94+L94+M94+N94+O94+P94+Q94+R94+T94+U94+V94+W94</f>
        <v>0</v>
      </c>
      <c r="I94" s="44">
        <f>(J94*WholesalePrice!J94)+(K94*WholesalePrice!K94)+(L94*WholesalePrice!L94)+(M94*WholesalePrice!M94)+(N94*WholesalePrice!N94)+(O94*WholesalePrice!O94)+(P94*WholesalePrice!P94)+(Q94*WholesalePrice!Q94)+(R94*WholesalePrice!R94)+(T94*WholesalePrice!T94)+(U94*WholesalePrice!U94)+(V94*WholesalePrice!V94)+(W94*WholesalePrice!W94)</f>
        <v>0</v>
      </c>
      <c r="J94" s="37"/>
      <c r="K94" s="37"/>
      <c r="L94" s="37"/>
      <c r="M94" s="37"/>
      <c r="N94" s="37"/>
      <c r="O94" s="37"/>
      <c r="P94" s="37"/>
      <c r="Q94" s="37"/>
      <c r="R94" s="37"/>
      <c r="S94" s="45"/>
      <c r="T94" s="37"/>
      <c r="U94" s="37"/>
      <c r="V94" s="37"/>
      <c r="W94" s="37"/>
    </row>
    <row r="95" spans="1:23" ht="12.95" customHeight="1" x14ac:dyDescent="0.2">
      <c r="A95" s="37"/>
      <c r="B95" s="42" t="str">
        <f>HYPERLINK("https://us-east-2-production9-hive-20200324201045952400000002.s3.amazonaws.com/import-files/timberland/product_images/original-TB0A63XY_EK5_P_1.png","TB0A63XYEK51")</f>
        <v>TB0A63XYEK51</v>
      </c>
      <c r="C95" s="37" t="s">
        <v>34</v>
      </c>
      <c r="D95" s="37" t="s">
        <v>38</v>
      </c>
      <c r="E95" s="37" t="s">
        <v>36</v>
      </c>
      <c r="F95" s="37" t="s">
        <v>121</v>
      </c>
      <c r="G95" s="43">
        <v>95</v>
      </c>
      <c r="H95" s="37">
        <f>J95+K95+L95+M95+N95+O95+P95+Q95+R95+T95+U95+V95+W95</f>
        <v>0</v>
      </c>
      <c r="I95" s="44">
        <f>(J95*WholesalePrice!J95)+(K95*WholesalePrice!K95)+(L95*WholesalePrice!L95)+(M95*WholesalePrice!M95)+(N95*WholesalePrice!N95)+(O95*WholesalePrice!O95)+(P95*WholesalePrice!P95)+(Q95*WholesalePrice!Q95)+(R95*WholesalePrice!R95)+(T95*WholesalePrice!T95)+(U95*WholesalePrice!U95)+(V95*WholesalePrice!V95)+(W95*WholesalePrice!W95)</f>
        <v>0</v>
      </c>
      <c r="J95" s="37"/>
      <c r="K95" s="37"/>
      <c r="L95" s="37"/>
      <c r="M95" s="37"/>
      <c r="N95" s="37"/>
      <c r="O95" s="37"/>
      <c r="P95" s="37"/>
      <c r="Q95" s="37"/>
      <c r="R95" s="37"/>
      <c r="S95" s="45"/>
      <c r="T95" s="37"/>
      <c r="U95" s="37"/>
      <c r="V95" s="37"/>
      <c r="W95" s="37"/>
    </row>
    <row r="96" spans="1:23" ht="12.75" x14ac:dyDescent="0.2">
      <c r="A96" s="38" t="s">
        <v>122</v>
      </c>
      <c r="B96" s="37"/>
      <c r="C96" s="37"/>
      <c r="D96" s="37"/>
      <c r="E96" s="37"/>
      <c r="F96" s="37"/>
      <c r="G96" s="37" t="s">
        <v>9</v>
      </c>
      <c r="H96" s="37" t="s">
        <v>9</v>
      </c>
      <c r="I96" s="37" t="s">
        <v>9</v>
      </c>
      <c r="J96" s="39" t="s">
        <v>20</v>
      </c>
      <c r="K96" s="39" t="s">
        <v>21</v>
      </c>
      <c r="L96" s="39" t="s">
        <v>22</v>
      </c>
      <c r="M96" s="39" t="s">
        <v>23</v>
      </c>
      <c r="N96" s="39" t="s">
        <v>24</v>
      </c>
      <c r="O96" s="39" t="s">
        <v>25</v>
      </c>
      <c r="P96" s="39" t="s">
        <v>26</v>
      </c>
      <c r="Q96" s="39" t="s">
        <v>27</v>
      </c>
      <c r="R96" s="39" t="s">
        <v>28</v>
      </c>
      <c r="S96" s="39" t="s">
        <v>29</v>
      </c>
      <c r="T96" s="39" t="s">
        <v>30</v>
      </c>
      <c r="U96" s="39" t="s">
        <v>31</v>
      </c>
      <c r="V96" s="39" t="s">
        <v>32</v>
      </c>
    </row>
    <row r="97" spans="1:22" ht="12.95" customHeight="1" x14ac:dyDescent="0.2">
      <c r="A97" s="37"/>
      <c r="B97" s="42" t="str">
        <f>HYPERLINK("https://us-east-2-production9-hive-20200324201045952400000002.s3.amazonaws.com/import-files/timberland/product_images/original-TB0A5MAN_EM4_P_1.png","TB0A5MANEM41")</f>
        <v>TB0A5MANEM41</v>
      </c>
      <c r="C97" s="37" t="s">
        <v>34</v>
      </c>
      <c r="D97" s="37" t="s">
        <v>61</v>
      </c>
      <c r="E97" s="37" t="s">
        <v>36</v>
      </c>
      <c r="F97" s="37" t="s">
        <v>123</v>
      </c>
      <c r="G97" s="43">
        <v>165</v>
      </c>
      <c r="H97" s="37">
        <f>J97+K97+L97+M97+N97+O97+P97+Q97+R97+S97+T97+U97+V97</f>
        <v>0</v>
      </c>
      <c r="I97" s="44">
        <f>(J97*WholesalePrice!J97)+(K97*WholesalePrice!K97)+(L97*WholesalePrice!L97)+(M97*WholesalePrice!M97)+(N97*WholesalePrice!N97)+(O97*WholesalePrice!O97)+(P97*WholesalePrice!P97)+(Q97*WholesalePrice!Q97)+(R97*WholesalePrice!R97)+(S97*WholesalePrice!S97)+(T97*WholesalePrice!T97)+(U97*WholesalePrice!U97)+(V97*WholesalePrice!V97)</f>
        <v>0</v>
      </c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</row>
    <row r="98" spans="1:22" ht="12.95" customHeight="1" x14ac:dyDescent="0.2">
      <c r="A98" s="37"/>
      <c r="B98" s="42" t="str">
        <f>HYPERLINK("https://us-east-2-production9-hive-20200324201045952400000002.s3.amazonaws.com/import-files/timberland/product_images/original-TB1A5U6Y_214_P_1.png","TB1A5U6Y2141")</f>
        <v>TB1A5U6Y2141</v>
      </c>
      <c r="C98" s="37" t="s">
        <v>34</v>
      </c>
      <c r="D98" s="37" t="s">
        <v>68</v>
      </c>
      <c r="E98" s="37" t="s">
        <v>36</v>
      </c>
      <c r="F98" s="37" t="s">
        <v>124</v>
      </c>
      <c r="G98" s="43">
        <v>155</v>
      </c>
      <c r="H98" s="37">
        <f>J98+K98+L98+M98+N98+O98+P98+Q98+R98+S98+T98+U98+V98</f>
        <v>0</v>
      </c>
      <c r="I98" s="44">
        <f>(J98*WholesalePrice!J98)+(K98*WholesalePrice!K98)+(L98*WholesalePrice!L98)+(M98*WholesalePrice!M98)+(N98*WholesalePrice!N98)+(O98*WholesalePrice!O98)+(P98*WholesalePrice!P98)+(Q98*WholesalePrice!Q98)+(R98*WholesalePrice!R98)+(S98*WholesalePrice!S98)+(T98*WholesalePrice!T98)+(U98*WholesalePrice!U98)+(V98*WholesalePrice!V98)</f>
        <v>0</v>
      </c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</row>
    <row r="99" spans="1:22" ht="12.95" customHeight="1" x14ac:dyDescent="0.2">
      <c r="A99" s="37"/>
      <c r="B99" s="42" t="str">
        <f>HYPERLINK("https://us-east-2-production9-hive-20200324201045952400000002.s3.amazonaws.com/import-files/timberland/product_images/original-TB1A4499_214_P_1.png","TB1A44992141")</f>
        <v>TB1A44992141</v>
      </c>
      <c r="C99" s="37" t="s">
        <v>34</v>
      </c>
      <c r="D99" s="37" t="s">
        <v>68</v>
      </c>
      <c r="E99" s="37" t="s">
        <v>36</v>
      </c>
      <c r="F99" s="37" t="s">
        <v>125</v>
      </c>
      <c r="G99" s="43">
        <v>160</v>
      </c>
      <c r="H99" s="37">
        <f>J99+K99+L99+M99+N99+O99+P99+Q99+R99+S99+T99+U99+V99</f>
        <v>0</v>
      </c>
      <c r="I99" s="44">
        <f>(J99*WholesalePrice!J99)+(K99*WholesalePrice!K99)+(L99*WholesalePrice!L99)+(M99*WholesalePrice!M99)+(N99*WholesalePrice!N99)+(O99*WholesalePrice!O99)+(P99*WholesalePrice!P99)+(Q99*WholesalePrice!Q99)+(R99*WholesalePrice!R99)+(S99*WholesalePrice!S99)+(T99*WholesalePrice!T99)+(U99*WholesalePrice!U99)+(V99*WholesalePrice!V99)</f>
        <v>0</v>
      </c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</row>
    <row r="100" spans="1:22" ht="12.75" x14ac:dyDescent="0.2">
      <c r="A100" s="38" t="s">
        <v>126</v>
      </c>
      <c r="B100" s="37"/>
      <c r="C100" s="37"/>
      <c r="D100" s="37"/>
      <c r="E100" s="37"/>
      <c r="F100" s="37"/>
      <c r="G100" s="37" t="s">
        <v>9</v>
      </c>
      <c r="H100" s="37" t="s">
        <v>9</v>
      </c>
      <c r="I100" s="37" t="s">
        <v>9</v>
      </c>
      <c r="J100" s="39" t="s">
        <v>50</v>
      </c>
      <c r="K100" s="39" t="s">
        <v>52</v>
      </c>
      <c r="L100" s="39" t="s">
        <v>54</v>
      </c>
      <c r="M100" s="39" t="s">
        <v>20</v>
      </c>
      <c r="N100" s="39" t="s">
        <v>22</v>
      </c>
      <c r="O100" s="39" t="s">
        <v>24</v>
      </c>
      <c r="P100" s="39" t="s">
        <v>26</v>
      </c>
      <c r="Q100" s="39" t="s">
        <v>28</v>
      </c>
      <c r="R100" s="39" t="s">
        <v>29</v>
      </c>
      <c r="S100" s="39" t="s">
        <v>30</v>
      </c>
      <c r="T100" s="39" t="s">
        <v>31</v>
      </c>
      <c r="U100" s="39" t="s">
        <v>32</v>
      </c>
      <c r="V100" s="39" t="s">
        <v>127</v>
      </c>
    </row>
    <row r="101" spans="1:22" ht="12.95" customHeight="1" x14ac:dyDescent="0.2">
      <c r="A101" s="37"/>
      <c r="B101" s="42" t="str">
        <f>HYPERLINK("https://us-east-2-production9-hive-20200324201045952400000002.s3.amazonaws.com/import-files/timberland/product_images/original-TB1A5QXJ_001_P_1.png","TB1A5QXJ0011")</f>
        <v>TB1A5QXJ0011</v>
      </c>
      <c r="C101" s="37" t="s">
        <v>34</v>
      </c>
      <c r="D101" s="37" t="s">
        <v>46</v>
      </c>
      <c r="E101" s="37" t="s">
        <v>36</v>
      </c>
      <c r="F101" s="37" t="s">
        <v>128</v>
      </c>
      <c r="G101" s="43">
        <v>187.5</v>
      </c>
      <c r="H101" s="37">
        <f>J101+K101+L101+M101+N101+O101+P101+Q101+R101+S101+T101+U101+V101</f>
        <v>0</v>
      </c>
      <c r="I101" s="44">
        <f>(J101*WholesalePrice!J101)+(K101*WholesalePrice!K101)+(L101*WholesalePrice!L101)+(M101*WholesalePrice!M101)+(N101*WholesalePrice!N101)+(O101*WholesalePrice!O101)+(P101*WholesalePrice!P101)+(Q101*WholesalePrice!Q101)+(R101*WholesalePrice!R101)+(S101*WholesalePrice!S101)+(T101*WholesalePrice!T101)+(U101*WholesalePrice!U101)+(V101*WholesalePrice!V101)</f>
        <v>0</v>
      </c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</row>
    <row r="102" spans="1:22" ht="12.75" x14ac:dyDescent="0.2">
      <c r="A102" s="38" t="s">
        <v>129</v>
      </c>
      <c r="B102" s="37"/>
      <c r="C102" s="37"/>
      <c r="D102" s="37"/>
      <c r="E102" s="37"/>
      <c r="F102" s="37"/>
      <c r="G102" s="37" t="s">
        <v>9</v>
      </c>
      <c r="H102" s="37" t="s">
        <v>9</v>
      </c>
      <c r="I102" s="37" t="s">
        <v>9</v>
      </c>
      <c r="J102" s="39" t="s">
        <v>53</v>
      </c>
      <c r="K102" s="39" t="s">
        <v>54</v>
      </c>
      <c r="L102" s="39" t="s">
        <v>55</v>
      </c>
      <c r="M102" s="39" t="s">
        <v>20</v>
      </c>
      <c r="N102" s="39" t="s">
        <v>21</v>
      </c>
      <c r="O102" s="39" t="s">
        <v>22</v>
      </c>
      <c r="P102" s="39" t="s">
        <v>23</v>
      </c>
      <c r="Q102" s="39" t="s">
        <v>24</v>
      </c>
      <c r="R102" s="39" t="s">
        <v>25</v>
      </c>
      <c r="S102" s="39" t="s">
        <v>26</v>
      </c>
      <c r="T102" s="39" t="s">
        <v>28</v>
      </c>
    </row>
    <row r="103" spans="1:22" ht="12.95" customHeight="1" x14ac:dyDescent="0.2">
      <c r="A103" s="37"/>
      <c r="B103" s="42" t="str">
        <f>HYPERLINK("https://us-east-2-production9-hive-20200324201045952400000002.s3.amazonaws.com/import-files/timberland/product_images/original-TB1A1KQS_001_P_1.png","TB1A1KQS0011")</f>
        <v>TB1A1KQS0011</v>
      </c>
      <c r="C103" s="37" t="s">
        <v>34</v>
      </c>
      <c r="D103" s="37" t="s">
        <v>46</v>
      </c>
      <c r="E103" s="37" t="s">
        <v>130</v>
      </c>
      <c r="F103" s="37" t="s">
        <v>131</v>
      </c>
      <c r="G103" s="43">
        <v>135</v>
      </c>
      <c r="H103" s="37">
        <f>J103+K103+L103+M103+N103+O103+P103+Q103+R103+S103+T103</f>
        <v>0</v>
      </c>
      <c r="I103" s="44">
        <f>(J103*WholesalePrice!J103)+(K103*WholesalePrice!K103)+(L103*WholesalePrice!L103)+(M103*WholesalePrice!M103)+(N103*WholesalePrice!N103)+(O103*WholesalePrice!O103)+(P103*WholesalePrice!P103)+(Q103*WholesalePrice!Q103)+(R103*WholesalePrice!R103)+(S103*WholesalePrice!S103)+(T103*WholesalePrice!T103)</f>
        <v>0</v>
      </c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</row>
    <row r="104" spans="1:22" ht="12.95" customHeight="1" x14ac:dyDescent="0.2">
      <c r="A104" s="37"/>
      <c r="B104" s="42" t="str">
        <f>HYPERLINK("https://us-east-2-production9-hive-20200324201045952400000002.s3.amazonaws.com/import-files/timberland/product_images/original-TB1A22SD_231_P_1.png","TB1A22SD2311")</f>
        <v>TB1A22SD2311</v>
      </c>
      <c r="C104" s="37" t="s">
        <v>34</v>
      </c>
      <c r="D104" s="37" t="s">
        <v>132</v>
      </c>
      <c r="E104" s="37" t="s">
        <v>130</v>
      </c>
      <c r="F104" s="37" t="s">
        <v>131</v>
      </c>
      <c r="G104" s="43">
        <v>135</v>
      </c>
      <c r="H104" s="37">
        <f>J104+K104+L104+M104+N104+O104+P104+Q104+R104+S104+T104</f>
        <v>0</v>
      </c>
      <c r="I104" s="44">
        <f>(J104*WholesalePrice!J104)+(K104*WholesalePrice!K104)+(L104*WholesalePrice!L104)+(M104*WholesalePrice!M104)+(N104*WholesalePrice!N104)+(O104*WholesalePrice!O104)+(P104*WholesalePrice!P104)+(Q104*WholesalePrice!Q104)+(R104*WholesalePrice!R104)+(S104*WholesalePrice!S104)+(T104*WholesalePrice!T104)</f>
        <v>0</v>
      </c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</row>
    <row r="105" spans="1:22" ht="12.75" x14ac:dyDescent="0.2">
      <c r="A105" s="38" t="s">
        <v>133</v>
      </c>
      <c r="B105" s="37"/>
      <c r="C105" s="37"/>
      <c r="D105" s="37"/>
      <c r="E105" s="37"/>
      <c r="F105" s="37"/>
      <c r="G105" s="37" t="s">
        <v>9</v>
      </c>
      <c r="H105" s="37" t="s">
        <v>9</v>
      </c>
      <c r="I105" s="37" t="s">
        <v>9</v>
      </c>
      <c r="J105" s="39" t="s">
        <v>52</v>
      </c>
      <c r="K105" s="39" t="s">
        <v>53</v>
      </c>
      <c r="L105" s="39" t="s">
        <v>54</v>
      </c>
      <c r="M105" s="39" t="s">
        <v>55</v>
      </c>
      <c r="N105" s="39" t="s">
        <v>20</v>
      </c>
      <c r="O105" s="39" t="s">
        <v>21</v>
      </c>
      <c r="P105" s="39" t="s">
        <v>22</v>
      </c>
      <c r="Q105" s="39" t="s">
        <v>23</v>
      </c>
      <c r="R105" s="39" t="s">
        <v>24</v>
      </c>
      <c r="S105" s="39" t="s">
        <v>25</v>
      </c>
      <c r="T105" s="39" t="s">
        <v>26</v>
      </c>
      <c r="U105" s="39" t="s">
        <v>28</v>
      </c>
    </row>
    <row r="106" spans="1:22" ht="12.95" customHeight="1" x14ac:dyDescent="0.2">
      <c r="A106" s="37"/>
      <c r="B106" s="42" t="str">
        <f>HYPERLINK("https://us-east-2-production9-hive-20200324201045952400000002.s3.amazonaws.com/import-files/timberland/product_images/original-TB0A612F_214_P_1.png","TB0A612F2141")</f>
        <v>TB0A612F2141</v>
      </c>
      <c r="C106" s="37" t="s">
        <v>57</v>
      </c>
      <c r="D106" s="37" t="s">
        <v>68</v>
      </c>
      <c r="E106" s="37" t="s">
        <v>130</v>
      </c>
      <c r="F106" s="37" t="s">
        <v>109</v>
      </c>
      <c r="G106" s="43">
        <v>115</v>
      </c>
      <c r="H106" s="37">
        <f>J106+K106+L106+M106+N106+O106+P106+Q106+R106+S106+T106+U106</f>
        <v>0</v>
      </c>
      <c r="I106" s="44">
        <f>(J106*WholesalePrice!J106)+(K106*WholesalePrice!K106)+(L106*WholesalePrice!L106)+(M106*WholesalePrice!M106)+(N106*WholesalePrice!N106)+(O106*WholesalePrice!O106)+(P106*WholesalePrice!P106)+(Q106*WholesalePrice!Q106)+(R106*WholesalePrice!R106)+(S106*WholesalePrice!S106)+(T106*WholesalePrice!T106)+(U106*WholesalePrice!U106)</f>
        <v>0</v>
      </c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</row>
    <row r="107" spans="1:22" ht="12.75" x14ac:dyDescent="0.2">
      <c r="A107" s="38" t="s">
        <v>134</v>
      </c>
      <c r="B107" s="37"/>
      <c r="C107" s="37"/>
      <c r="D107" s="37"/>
      <c r="E107" s="37"/>
      <c r="F107" s="37"/>
      <c r="G107" s="37" t="s">
        <v>9</v>
      </c>
      <c r="H107" s="37" t="s">
        <v>9</v>
      </c>
      <c r="I107" s="37" t="s">
        <v>9</v>
      </c>
      <c r="J107" s="39" t="s">
        <v>53</v>
      </c>
      <c r="K107" s="39" t="s">
        <v>54</v>
      </c>
      <c r="L107" s="39" t="s">
        <v>55</v>
      </c>
      <c r="M107" s="39" t="s">
        <v>20</v>
      </c>
      <c r="N107" s="39" t="s">
        <v>21</v>
      </c>
      <c r="O107" s="39" t="s">
        <v>22</v>
      </c>
      <c r="P107" s="39" t="s">
        <v>23</v>
      </c>
      <c r="Q107" s="39" t="s">
        <v>24</v>
      </c>
      <c r="R107" s="39" t="s">
        <v>25</v>
      </c>
      <c r="S107" s="39" t="s">
        <v>26</v>
      </c>
      <c r="T107" s="39" t="s">
        <v>28</v>
      </c>
    </row>
    <row r="108" spans="1:22" ht="12.95" customHeight="1" x14ac:dyDescent="0.2">
      <c r="A108" s="37"/>
      <c r="B108" s="42" t="str">
        <f>HYPERLINK("https://us-east-2-production9-hive-20200324201045952400000002.s3.amazonaws.com/import-files/timberland/product_images/original-TB0A66T7_ECS_P_1.png","TB0A66T7ECS1")</f>
        <v>TB0A66T7ECS1</v>
      </c>
      <c r="C108" s="37" t="s">
        <v>34</v>
      </c>
      <c r="D108" s="37" t="s">
        <v>135</v>
      </c>
      <c r="E108" s="37" t="s">
        <v>130</v>
      </c>
      <c r="F108" s="37" t="s">
        <v>40</v>
      </c>
      <c r="G108" s="43">
        <v>75</v>
      </c>
      <c r="H108" s="37">
        <f>J108+K108+L108+M108+N108+O108+P108+Q108+R108+S108+T108</f>
        <v>0</v>
      </c>
      <c r="I108" s="44">
        <f>(J108*WholesalePrice!J108)+(K108*WholesalePrice!K108)+(L108*WholesalePrice!L108)+(M108*WholesalePrice!M108)+(N108*WholesalePrice!N108)+(O108*WholesalePrice!O108)+(P108*WholesalePrice!P108)+(Q108*WholesalePrice!Q108)+(R108*WholesalePrice!R108)+(S108*WholesalePrice!S108)+(T108*WholesalePrice!T108)</f>
        <v>0</v>
      </c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</row>
    <row r="109" spans="1:22" ht="12.95" customHeight="1" x14ac:dyDescent="0.2">
      <c r="A109" s="37"/>
      <c r="B109" s="42" t="str">
        <f>HYPERLINK("https://us-east-2-production9-hive-20200324201045952400000002.s3.amazonaws.com/import-files/timberland/product_images/original-TB0A632U_001_P_1.png","TB0A632U0011")</f>
        <v>TB0A632U0011</v>
      </c>
      <c r="C109" s="37" t="s">
        <v>34</v>
      </c>
      <c r="D109" s="37" t="s">
        <v>46</v>
      </c>
      <c r="E109" s="37" t="s">
        <v>130</v>
      </c>
      <c r="F109" s="37" t="s">
        <v>93</v>
      </c>
      <c r="G109" s="43">
        <v>65</v>
      </c>
      <c r="H109" s="37">
        <f>J109+K109+L109+M109+N109+O109+P109+Q109+R109+S109+T109</f>
        <v>0</v>
      </c>
      <c r="I109" s="44">
        <f>(J109*WholesalePrice!J109)+(K109*WholesalePrice!K109)+(L109*WholesalePrice!L109)+(M109*WholesalePrice!M109)+(N109*WholesalePrice!N109)+(O109*WholesalePrice!O109)+(P109*WholesalePrice!P109)+(Q109*WholesalePrice!Q109)+(R109*WholesalePrice!R109)+(S109*WholesalePrice!S109)+(T109*WholesalePrice!T109)</f>
        <v>0</v>
      </c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</row>
    <row r="110" spans="1:22" ht="12.95" customHeight="1" x14ac:dyDescent="0.2">
      <c r="A110" s="37"/>
      <c r="B110" s="42" t="str">
        <f>HYPERLINK("https://us-east-2-production9-hive-20200324201045952400000002.s3.amazonaws.com/import-files/timberland/product_images/original-TB0A6247_065_P_1.png","TB0A62470651")</f>
        <v>TB0A62470651</v>
      </c>
      <c r="C110" s="37" t="s">
        <v>34</v>
      </c>
      <c r="D110" s="37" t="s">
        <v>94</v>
      </c>
      <c r="E110" s="37" t="s">
        <v>130</v>
      </c>
      <c r="F110" s="37" t="s">
        <v>93</v>
      </c>
      <c r="G110" s="43">
        <v>65</v>
      </c>
      <c r="H110" s="37">
        <f>J110+K110+L110+M110+N110+O110+P110+Q110+R110+S110+T110</f>
        <v>0</v>
      </c>
      <c r="I110" s="44">
        <f>(J110*WholesalePrice!J110)+(K110*WholesalePrice!K110)+(L110*WholesalePrice!L110)+(M110*WholesalePrice!M110)+(N110*WholesalePrice!N110)+(O110*WholesalePrice!O110)+(P110*WholesalePrice!P110)+(Q110*WholesalePrice!Q110)+(R110*WholesalePrice!R110)+(S110*WholesalePrice!S110)+(T110*WholesalePrice!T110)</f>
        <v>0</v>
      </c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</row>
    <row r="111" spans="1:22" ht="12.95" customHeight="1" x14ac:dyDescent="0.2">
      <c r="A111" s="37"/>
      <c r="B111" s="42" t="str">
        <f>HYPERLINK("https://us-east-2-production9-hive-20200324201045952400000002.s3.amazonaws.com/import-files/timberland/product_images/original-TB1A2A63_001_P_1.png","TB1A2A630011")</f>
        <v>TB1A2A630011</v>
      </c>
      <c r="C111" s="37" t="s">
        <v>34</v>
      </c>
      <c r="D111" s="37" t="s">
        <v>46</v>
      </c>
      <c r="E111" s="37" t="s">
        <v>130</v>
      </c>
      <c r="F111" s="37" t="s">
        <v>47</v>
      </c>
      <c r="G111" s="43">
        <v>85</v>
      </c>
      <c r="H111" s="37">
        <f>L111+M111+N111+O111+P111</f>
        <v>0</v>
      </c>
      <c r="I111" s="44">
        <f>(L111*WholesalePrice!L111)+(M111*WholesalePrice!M111)+(N111*WholesalePrice!N111)+(O111*WholesalePrice!O111)+(P111*WholesalePrice!P111)</f>
        <v>0</v>
      </c>
      <c r="J111" s="45"/>
      <c r="K111" s="45"/>
      <c r="L111" s="37"/>
      <c r="M111" s="37"/>
      <c r="N111" s="37"/>
      <c r="O111" s="37"/>
      <c r="P111" s="37"/>
      <c r="Q111" s="45"/>
      <c r="R111" s="45"/>
      <c r="S111" s="45"/>
      <c r="T111" s="45"/>
    </row>
    <row r="112" spans="1:22" ht="12.75" x14ac:dyDescent="0.2">
      <c r="A112" s="38" t="s">
        <v>136</v>
      </c>
      <c r="B112" s="37"/>
      <c r="C112" s="37"/>
      <c r="D112" s="37"/>
      <c r="E112" s="37"/>
      <c r="F112" s="37"/>
      <c r="G112" s="37" t="s">
        <v>9</v>
      </c>
      <c r="H112" s="37" t="s">
        <v>9</v>
      </c>
      <c r="I112" s="37" t="s">
        <v>9</v>
      </c>
      <c r="J112" s="39" t="s">
        <v>53</v>
      </c>
      <c r="K112" s="39" t="s">
        <v>54</v>
      </c>
      <c r="L112" s="39" t="s">
        <v>55</v>
      </c>
      <c r="M112" s="39" t="s">
        <v>20</v>
      </c>
      <c r="N112" s="39" t="s">
        <v>21</v>
      </c>
      <c r="O112" s="39" t="s">
        <v>22</v>
      </c>
      <c r="P112" s="39" t="s">
        <v>23</v>
      </c>
      <c r="Q112" s="39" t="s">
        <v>24</v>
      </c>
      <c r="R112" s="39" t="s">
        <v>25</v>
      </c>
      <c r="S112" s="39" t="s">
        <v>26</v>
      </c>
      <c r="T112" s="39" t="s">
        <v>28</v>
      </c>
    </row>
    <row r="113" spans="1:28" ht="12.95" customHeight="1" x14ac:dyDescent="0.2">
      <c r="A113" s="37"/>
      <c r="B113" s="42" t="str">
        <f>HYPERLINK("https://us-east-2-production9-hive-20200324201045952400000002.s3.amazonaws.com/import-files/timberland/product_images/original-TB1A2KAJ_231_P_1.png","TB1A2KAJ2311")</f>
        <v>TB1A2KAJ2311</v>
      </c>
      <c r="C113" s="37" t="s">
        <v>34</v>
      </c>
      <c r="D113" s="37" t="s">
        <v>76</v>
      </c>
      <c r="E113" s="37" t="s">
        <v>130</v>
      </c>
      <c r="F113" s="37" t="s">
        <v>107</v>
      </c>
      <c r="G113" s="43">
        <v>120</v>
      </c>
      <c r="H113" s="37">
        <f>J113+K113+L113+M113+N113+O113+P113+Q113+R113+S113+T113</f>
        <v>0</v>
      </c>
      <c r="I113" s="44">
        <f>(J113*WholesalePrice!J113)+(K113*WholesalePrice!K113)+(L113*WholesalePrice!L113)+(M113*WholesalePrice!M113)+(N113*WholesalePrice!N113)+(O113*WholesalePrice!O113)+(P113*WholesalePrice!P113)+(Q113*WholesalePrice!Q113)+(R113*WholesalePrice!R113)+(S113*WholesalePrice!S113)+(T113*WholesalePrice!T113)</f>
        <v>0</v>
      </c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</row>
    <row r="114" spans="1:28" ht="12.75" x14ac:dyDescent="0.2">
      <c r="A114" s="38" t="s">
        <v>137</v>
      </c>
      <c r="B114" s="37"/>
      <c r="C114" s="37"/>
      <c r="D114" s="37"/>
      <c r="E114" s="37"/>
      <c r="F114" s="37"/>
      <c r="G114" s="37" t="s">
        <v>9</v>
      </c>
      <c r="H114" s="37" t="s">
        <v>9</v>
      </c>
      <c r="I114" s="37" t="s">
        <v>9</v>
      </c>
      <c r="J114" s="39" t="s">
        <v>53</v>
      </c>
      <c r="K114" s="39" t="s">
        <v>54</v>
      </c>
      <c r="L114" s="39" t="s">
        <v>55</v>
      </c>
      <c r="M114" s="39" t="s">
        <v>20</v>
      </c>
      <c r="N114" s="39" t="s">
        <v>21</v>
      </c>
      <c r="O114" s="39" t="s">
        <v>22</v>
      </c>
      <c r="P114" s="39" t="s">
        <v>23</v>
      </c>
      <c r="Q114" s="39" t="s">
        <v>24</v>
      </c>
      <c r="R114" s="39" t="s">
        <v>25</v>
      </c>
      <c r="S114" s="39" t="s">
        <v>26</v>
      </c>
      <c r="T114" s="39" t="s">
        <v>28</v>
      </c>
    </row>
    <row r="115" spans="1:28" ht="12.95" customHeight="1" x14ac:dyDescent="0.2">
      <c r="A115" s="37"/>
      <c r="B115" s="42" t="str">
        <f>HYPERLINK("https://us-east-2-production9-hive-20200324201045952400000002.s3.amazonaws.com/import-files/timberland/product_images/original-TB0A67T3_EL0_P_1.png","TB0A67T3EL01")</f>
        <v>TB0A67T3EL01</v>
      </c>
      <c r="C115" s="37" t="s">
        <v>34</v>
      </c>
      <c r="D115" s="37" t="s">
        <v>112</v>
      </c>
      <c r="E115" s="37" t="s">
        <v>130</v>
      </c>
      <c r="F115" s="37" t="s">
        <v>138</v>
      </c>
      <c r="G115" s="43">
        <v>70</v>
      </c>
      <c r="H115" s="37">
        <f>J115+K115+L115+M115+N115+O115+P115+Q115+R115+S115+T115</f>
        <v>0</v>
      </c>
      <c r="I115" s="44">
        <f>(J115*WholesalePrice!J115)+(K115*WholesalePrice!K115)+(L115*WholesalePrice!L115)+(M115*WholesalePrice!M115)+(N115*WholesalePrice!N115)+(O115*WholesalePrice!O115)+(P115*WholesalePrice!P115)+(Q115*WholesalePrice!Q115)+(R115*WholesalePrice!R115)+(S115*WholesalePrice!S115)+(T115*WholesalePrice!T115)</f>
        <v>0</v>
      </c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</row>
    <row r="116" spans="1:28" ht="12.75" x14ac:dyDescent="0.2">
      <c r="A116" s="38" t="s">
        <v>139</v>
      </c>
      <c r="B116" s="37"/>
      <c r="C116" s="37"/>
      <c r="D116" s="37"/>
      <c r="E116" s="37"/>
      <c r="F116" s="37"/>
      <c r="G116" s="37" t="s">
        <v>9</v>
      </c>
      <c r="H116" s="37" t="s">
        <v>9</v>
      </c>
      <c r="I116" s="37" t="s">
        <v>9</v>
      </c>
      <c r="J116" s="39" t="s">
        <v>140</v>
      </c>
      <c r="K116" s="39" t="s">
        <v>50</v>
      </c>
      <c r="L116" s="39" t="s">
        <v>54</v>
      </c>
      <c r="M116" s="39" t="s">
        <v>22</v>
      </c>
      <c r="N116" s="39" t="s">
        <v>26</v>
      </c>
      <c r="O116" s="39" t="s">
        <v>29</v>
      </c>
      <c r="P116" s="39" t="s">
        <v>31</v>
      </c>
      <c r="Q116" s="39" t="s">
        <v>127</v>
      </c>
    </row>
    <row r="117" spans="1:28" ht="12.95" customHeight="1" x14ac:dyDescent="0.2">
      <c r="A117" s="37"/>
      <c r="B117" s="42" t="str">
        <f>HYPERLINK("https://us-east-2-production9-hive-20200324201045952400000002.s3.amazonaws.com/import-files/timberland/product_images/original-TB0A6DBP_001_P_1.png","TB0A6DBP0011")</f>
        <v>TB0A6DBP0011</v>
      </c>
      <c r="C117" s="37" t="s">
        <v>141</v>
      </c>
      <c r="D117" s="37" t="s">
        <v>46</v>
      </c>
      <c r="E117" s="37" t="s">
        <v>130</v>
      </c>
      <c r="F117" s="37" t="s">
        <v>142</v>
      </c>
      <c r="G117" s="43">
        <v>50</v>
      </c>
      <c r="H117" s="37"/>
      <c r="I117" s="44" t="s">
        <v>9</v>
      </c>
      <c r="J117" s="45"/>
      <c r="K117" s="45"/>
      <c r="L117" s="45"/>
      <c r="M117" s="45"/>
      <c r="N117" s="45"/>
      <c r="O117" s="45"/>
      <c r="P117" s="45"/>
      <c r="Q117" s="45"/>
    </row>
    <row r="118" spans="1:28" ht="12.75" x14ac:dyDescent="0.2">
      <c r="A118" s="38" t="s">
        <v>143</v>
      </c>
      <c r="B118" s="37"/>
      <c r="C118" s="37"/>
      <c r="D118" s="37"/>
      <c r="E118" s="37"/>
      <c r="F118" s="37"/>
      <c r="G118" s="37" t="s">
        <v>9</v>
      </c>
      <c r="H118" s="37" t="s">
        <v>9</v>
      </c>
      <c r="I118" s="37" t="s">
        <v>9</v>
      </c>
      <c r="J118" s="39" t="s">
        <v>144</v>
      </c>
      <c r="K118" s="39" t="s">
        <v>145</v>
      </c>
      <c r="L118" s="39" t="s">
        <v>146</v>
      </c>
      <c r="M118" s="39" t="s">
        <v>147</v>
      </c>
      <c r="N118" s="39" t="s">
        <v>148</v>
      </c>
      <c r="O118" s="39" t="s">
        <v>149</v>
      </c>
      <c r="P118" s="39" t="s">
        <v>150</v>
      </c>
      <c r="Q118" s="39" t="s">
        <v>151</v>
      </c>
      <c r="R118" s="39" t="s">
        <v>152</v>
      </c>
      <c r="S118" s="39" t="s">
        <v>153</v>
      </c>
      <c r="T118" s="39" t="s">
        <v>154</v>
      </c>
      <c r="U118" s="39" t="s">
        <v>155</v>
      </c>
      <c r="V118" s="39" t="s">
        <v>156</v>
      </c>
      <c r="W118" s="39" t="s">
        <v>157</v>
      </c>
      <c r="X118" s="39" t="s">
        <v>158</v>
      </c>
      <c r="Y118" s="39" t="s">
        <v>159</v>
      </c>
      <c r="Z118" s="39" t="s">
        <v>160</v>
      </c>
      <c r="AA118" s="39" t="s">
        <v>161</v>
      </c>
      <c r="AB118" s="39" t="s">
        <v>162</v>
      </c>
    </row>
    <row r="119" spans="1:28" ht="12.95" customHeight="1" x14ac:dyDescent="0.2">
      <c r="A119" s="37"/>
      <c r="B119" s="42" t="str">
        <f>HYPERLINK("https://us-east-2-production9-hive-20200324201045952400000002.s3.amazonaws.com/import-files/timberland/product_images/original-TB0A5MT2_D02_P_1.png","TB0A5MT2D021")</f>
        <v>TB0A5MT2D021</v>
      </c>
      <c r="C119" s="37" t="s">
        <v>145</v>
      </c>
      <c r="D119" s="37" t="s">
        <v>163</v>
      </c>
      <c r="E119" s="37" t="s">
        <v>36</v>
      </c>
      <c r="F119" s="37" t="s">
        <v>164</v>
      </c>
      <c r="G119" s="43">
        <v>35</v>
      </c>
      <c r="H119" s="37">
        <f>J119+K119+L119+M119+N119+O119+P119+Q119+R119+S119+T119+U119</f>
        <v>0</v>
      </c>
      <c r="I119" s="44">
        <f>(J119*WholesalePrice!J119)+(K119*WholesalePrice!K119)+(L119*WholesalePrice!L119)+(M119*WholesalePrice!M119)+(N119*WholesalePrice!N119)+(O119*WholesalePrice!O119)+(P119*WholesalePrice!P119)+(Q119*WholesalePrice!Q119)+(R119*WholesalePrice!R119)+(S119*WholesalePrice!S119)+(T119*WholesalePrice!T119)+(U119*WholesalePrice!U119)</f>
        <v>0</v>
      </c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45"/>
      <c r="W119" s="45"/>
      <c r="X119" s="45"/>
      <c r="Y119" s="45"/>
      <c r="Z119" s="45"/>
      <c r="AA119" s="45"/>
      <c r="AB119" s="45"/>
    </row>
    <row r="120" spans="1:28" ht="12.95" customHeight="1" x14ac:dyDescent="0.2">
      <c r="A120" s="37"/>
      <c r="B120" s="42" t="str">
        <f>HYPERLINK("https://us-east-2-production9-hive-20200324201045952400000002.s3.amazonaws.com/import-files/timberland/product_images/original-TB0A5MT2_D02_P_1.png","TB0A5MT2D021")</f>
        <v>TB0A5MT2D021</v>
      </c>
      <c r="C120" s="37" t="s">
        <v>147</v>
      </c>
      <c r="D120" s="37" t="s">
        <v>163</v>
      </c>
      <c r="E120" s="37" t="s">
        <v>36</v>
      </c>
      <c r="F120" s="37" t="s">
        <v>164</v>
      </c>
      <c r="G120" s="43">
        <v>35</v>
      </c>
      <c r="H120" s="37">
        <f>J120+K120+L120+M120+N120+O120+P120+Q120+R120+S120+T120+U120</f>
        <v>0</v>
      </c>
      <c r="I120" s="44">
        <f>(J120*WholesalePrice!J120)+(K120*WholesalePrice!K120)+(L120*WholesalePrice!L120)+(M120*WholesalePrice!M120)+(N120*WholesalePrice!N120)+(O120*WholesalePrice!O120)+(P120*WholesalePrice!P120)+(Q120*WholesalePrice!Q120)+(R120*WholesalePrice!R120)+(S120*WholesalePrice!S120)+(T120*WholesalePrice!T120)+(U120*WholesalePrice!U120)</f>
        <v>0</v>
      </c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45"/>
      <c r="W120" s="45"/>
      <c r="X120" s="45"/>
      <c r="Y120" s="45"/>
      <c r="Z120" s="45"/>
      <c r="AA120" s="45"/>
      <c r="AB120" s="45"/>
    </row>
    <row r="121" spans="1:28" ht="12.95" customHeight="1" x14ac:dyDescent="0.2">
      <c r="A121" s="37"/>
      <c r="B121" s="42" t="str">
        <f>HYPERLINK("https://us-east-2-production9-hive-20200324201045952400000002.s3.amazonaws.com/import-files/timberland/product_images/original-TB0A5MT2_D02_P_1.png","TB0A5MT2D021")</f>
        <v>TB0A5MT2D021</v>
      </c>
      <c r="C121" s="37" t="s">
        <v>149</v>
      </c>
      <c r="D121" s="37" t="s">
        <v>163</v>
      </c>
      <c r="E121" s="37" t="s">
        <v>36</v>
      </c>
      <c r="F121" s="37" t="s">
        <v>164</v>
      </c>
      <c r="G121" s="43">
        <v>35</v>
      </c>
      <c r="H121" s="37">
        <f>J121+K121+L121+M121+N121+O121+P121+Q121+R121+S121+T121+U121</f>
        <v>0</v>
      </c>
      <c r="I121" s="44">
        <f>(J121*WholesalePrice!J121)+(K121*WholesalePrice!K121)+(L121*WholesalePrice!L121)+(M121*WholesalePrice!M121)+(N121*WholesalePrice!N121)+(O121*WholesalePrice!O121)+(P121*WholesalePrice!P121)+(Q121*WholesalePrice!Q121)+(R121*WholesalePrice!R121)+(S121*WholesalePrice!S121)+(T121*WholesalePrice!T121)+(U121*WholesalePrice!U121)</f>
        <v>0</v>
      </c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45"/>
      <c r="W121" s="45"/>
      <c r="X121" s="45"/>
      <c r="Y121" s="45"/>
      <c r="Z121" s="45"/>
      <c r="AA121" s="45"/>
      <c r="AB121" s="45"/>
    </row>
    <row r="122" spans="1:28" ht="12.95" customHeight="1" x14ac:dyDescent="0.2">
      <c r="A122" s="37"/>
      <c r="B122" s="42" t="str">
        <f>HYPERLINK("https://us-east-2-production9-hive-20200324201045952400000002.s3.amazonaws.com/import-files/timberland/product_images/original-TB0A5MT2_D02_P_1.png","TB0A5MT2D021")</f>
        <v>TB0A5MT2D021</v>
      </c>
      <c r="C122" s="37" t="s">
        <v>165</v>
      </c>
      <c r="D122" s="37" t="s">
        <v>163</v>
      </c>
      <c r="E122" s="37" t="s">
        <v>36</v>
      </c>
      <c r="F122" s="37" t="s">
        <v>164</v>
      </c>
      <c r="G122" s="43">
        <v>35</v>
      </c>
      <c r="H122" s="37">
        <f>J122+K122+M122+O122+P122+Q122+R122+S122+T122+U122+V122+W122+X122+Y122+Z122+AA122+AB122</f>
        <v>0</v>
      </c>
      <c r="I122" s="44">
        <f>(J122*WholesalePrice!J122)+(K122*WholesalePrice!K122)+(M122*WholesalePrice!M122)+(O122*WholesalePrice!O122)+(P122*WholesalePrice!P122)+(Q122*WholesalePrice!Q122)+(R122*WholesalePrice!R122)+(S122*WholesalePrice!S122)+(T122*WholesalePrice!T122)+(U122*WholesalePrice!U122)+(V122*WholesalePrice!V122)+(W122*WholesalePrice!W122)+(X122*WholesalePrice!X122)+(Y122*WholesalePrice!Y122)+(Z122*WholesalePrice!Z122)+(AA122*WholesalePrice!AA122)+(AB122*WholesalePrice!AB122)</f>
        <v>0</v>
      </c>
      <c r="J122" s="37"/>
      <c r="K122" s="37"/>
      <c r="L122" s="45"/>
      <c r="M122" s="37"/>
      <c r="N122" s="45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</row>
    <row r="123" spans="1:28" ht="12.75" x14ac:dyDescent="0.2">
      <c r="A123" s="38" t="s">
        <v>166</v>
      </c>
      <c r="B123" s="37"/>
      <c r="C123" s="37"/>
      <c r="D123" s="37"/>
      <c r="E123" s="37"/>
      <c r="F123" s="37"/>
      <c r="G123" s="37" t="s">
        <v>9</v>
      </c>
      <c r="H123" s="37" t="s">
        <v>9</v>
      </c>
      <c r="I123" s="37" t="s">
        <v>9</v>
      </c>
      <c r="J123" s="39" t="s">
        <v>167</v>
      </c>
      <c r="K123" s="39" t="s">
        <v>168</v>
      </c>
      <c r="L123" s="39" t="s">
        <v>169</v>
      </c>
      <c r="M123" s="39" t="s">
        <v>170</v>
      </c>
      <c r="N123" s="39" t="s">
        <v>171</v>
      </c>
    </row>
    <row r="124" spans="1:28" ht="12.95" customHeight="1" x14ac:dyDescent="0.2">
      <c r="A124" s="37"/>
      <c r="B124" s="42" t="str">
        <f>HYPERLINK("https://us-east-2-production9-hive-20200324201045952400000002.s3.amazonaws.com/import-files/timberland/product_images/original-TB1A237T_D02_P_1.png","TB1A237TD021")</f>
        <v>TB1A237TD021</v>
      </c>
      <c r="C124" s="37" t="s">
        <v>9</v>
      </c>
      <c r="D124" s="37" t="s">
        <v>163</v>
      </c>
      <c r="E124" s="37" t="s">
        <v>36</v>
      </c>
      <c r="F124" s="37" t="s">
        <v>172</v>
      </c>
      <c r="G124" s="43">
        <v>100</v>
      </c>
      <c r="H124" s="37">
        <f>J124+K124+N124</f>
        <v>0</v>
      </c>
      <c r="I124" s="44">
        <f>(J124*WholesalePrice!J124)+(K124*WholesalePrice!K124)+(N124*WholesalePrice!N124)</f>
        <v>0</v>
      </c>
      <c r="J124" s="37"/>
      <c r="K124" s="37"/>
      <c r="L124" s="45"/>
      <c r="M124" s="45"/>
      <c r="N124" s="37"/>
    </row>
    <row r="125" spans="1:28" ht="12.75" x14ac:dyDescent="0.2">
      <c r="A125" s="38" t="s">
        <v>173</v>
      </c>
      <c r="B125" s="37"/>
      <c r="C125" s="37"/>
      <c r="D125" s="37"/>
      <c r="E125" s="37"/>
      <c r="F125" s="37"/>
      <c r="G125" s="37" t="s">
        <v>9</v>
      </c>
      <c r="H125" s="37" t="s">
        <v>9</v>
      </c>
      <c r="I125" s="37" t="s">
        <v>9</v>
      </c>
      <c r="J125" s="39" t="s">
        <v>50</v>
      </c>
      <c r="K125" s="39" t="s">
        <v>52</v>
      </c>
      <c r="L125" s="39" t="s">
        <v>54</v>
      </c>
      <c r="M125" s="39" t="s">
        <v>20</v>
      </c>
      <c r="N125" s="39" t="s">
        <v>22</v>
      </c>
      <c r="O125" s="39" t="s">
        <v>24</v>
      </c>
      <c r="P125" s="39" t="s">
        <v>26</v>
      </c>
      <c r="Q125" s="39" t="s">
        <v>28</v>
      </c>
      <c r="R125" s="39" t="s">
        <v>29</v>
      </c>
      <c r="S125" s="39" t="s">
        <v>30</v>
      </c>
      <c r="T125" s="39" t="s">
        <v>31</v>
      </c>
      <c r="U125" s="39" t="s">
        <v>32</v>
      </c>
      <c r="V125" s="39" t="s">
        <v>127</v>
      </c>
    </row>
    <row r="126" spans="1:28" ht="12.95" customHeight="1" x14ac:dyDescent="0.2">
      <c r="A126" s="37"/>
      <c r="B126" s="42" t="str">
        <f>HYPERLINK("https://us-east-2-production9-hive-20200324201045952400000002.s3.amazonaws.com/import-files/timberland/product_images/original-TB0A5MR2_827_P_1.png","TB0A5MR28271")</f>
        <v>TB0A5MR28271</v>
      </c>
      <c r="C126" s="37" t="s">
        <v>34</v>
      </c>
      <c r="D126" s="37" t="s">
        <v>174</v>
      </c>
      <c r="E126" s="37" t="s">
        <v>36</v>
      </c>
      <c r="F126" s="37" t="s">
        <v>175</v>
      </c>
      <c r="G126" s="43">
        <v>50</v>
      </c>
      <c r="H126" s="37">
        <f>J126+K126+L126+M126+N126+O126+P126+Q126+R126+S126+T126+U126+V126</f>
        <v>0</v>
      </c>
      <c r="I126" s="44">
        <f>(J126*WholesalePrice!J126)+(K126*WholesalePrice!K126)+(L126*WholesalePrice!L126)+(M126*WholesalePrice!M126)+(N126*WholesalePrice!N126)+(O126*WholesalePrice!O126)+(P126*WholesalePrice!P126)+(Q126*WholesalePrice!Q126)+(R126*WholesalePrice!R126)+(S126*WholesalePrice!S126)+(T126*WholesalePrice!T126)+(U126*WholesalePrice!U126)+(V126*WholesalePrice!V126)</f>
        <v>0</v>
      </c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</row>
    <row r="127" spans="1:28" ht="12.95" customHeight="1" x14ac:dyDescent="0.2">
      <c r="A127" s="37"/>
      <c r="B127" s="42" t="str">
        <f>HYPERLINK("https://us-east-2-production9-hive-20200324201045952400000002.s3.amazonaws.com/import-files/timberland/product_images/original-TB0A5TTB_484_P_1.png","TB0A5TTB4841")</f>
        <v>TB0A5TTB4841</v>
      </c>
      <c r="C127" s="37" t="s">
        <v>34</v>
      </c>
      <c r="D127" s="37" t="s">
        <v>176</v>
      </c>
      <c r="E127" s="37" t="s">
        <v>36</v>
      </c>
      <c r="F127" s="37" t="s">
        <v>177</v>
      </c>
      <c r="G127" s="43">
        <v>50</v>
      </c>
      <c r="H127" s="37">
        <f>J127+K127+L127+M127+N127+O127+P127+Q127+R127+S127+U127+V127</f>
        <v>0</v>
      </c>
      <c r="I127" s="44">
        <f>(J127*WholesalePrice!J127)+(K127*WholesalePrice!K127)+(L127*WholesalePrice!L127)+(M127*WholesalePrice!M127)+(N127*WholesalePrice!N127)+(O127*WholesalePrice!O127)+(P127*WholesalePrice!P127)+(Q127*WholesalePrice!Q127)+(R127*WholesalePrice!R127)+(S127*WholesalePrice!S127)+(U127*WholesalePrice!U127)+(V127*WholesalePrice!V127)</f>
        <v>0</v>
      </c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45"/>
      <c r="U127" s="37"/>
      <c r="V127" s="37"/>
    </row>
    <row r="128" spans="1:28" ht="12.75" x14ac:dyDescent="0.2">
      <c r="A128" s="38" t="s">
        <v>178</v>
      </c>
      <c r="B128" s="37"/>
      <c r="C128" s="37"/>
      <c r="D128" s="37"/>
      <c r="E128" s="37"/>
      <c r="F128" s="37"/>
      <c r="G128" s="37" t="s">
        <v>9</v>
      </c>
      <c r="H128" s="37" t="s">
        <v>9</v>
      </c>
      <c r="I128" s="37" t="s">
        <v>9</v>
      </c>
      <c r="J128" s="39" t="s">
        <v>179</v>
      </c>
      <c r="K128" s="39" t="s">
        <v>167</v>
      </c>
      <c r="L128" s="39" t="s">
        <v>168</v>
      </c>
      <c r="M128" s="39" t="s">
        <v>169</v>
      </c>
      <c r="N128" s="39" t="s">
        <v>170</v>
      </c>
      <c r="O128" s="39" t="s">
        <v>171</v>
      </c>
    </row>
    <row r="129" spans="1:15" ht="12.95" customHeight="1" x14ac:dyDescent="0.2">
      <c r="A129" s="37"/>
      <c r="B129" s="42" t="str">
        <f>HYPERLINK("https://us-east-2-production9-hive-20200324201045952400000002.s3.amazonaws.com/import-files/timberland/product_images/original-TB0A6667_EOQ_P_1.png","TB0A6667EOQ1")</f>
        <v>TB0A6667EOQ1</v>
      </c>
      <c r="C129" s="37" t="s">
        <v>57</v>
      </c>
      <c r="D129" s="37" t="s">
        <v>180</v>
      </c>
      <c r="E129" s="37" t="s">
        <v>181</v>
      </c>
      <c r="F129" s="37" t="s">
        <v>182</v>
      </c>
      <c r="G129" s="43">
        <v>22.5</v>
      </c>
      <c r="H129" s="37">
        <f>J129+K129+L129+M129+N129+O129</f>
        <v>0</v>
      </c>
      <c r="I129" s="44">
        <f>(J129*WholesalePrice!J129)+(K129*WholesalePrice!K129)+(L129*WholesalePrice!L129)+(M129*WholesalePrice!M129)+(N129*WholesalePrice!N129)+(O129*WholesalePrice!O129)</f>
        <v>0</v>
      </c>
      <c r="J129" s="37"/>
      <c r="K129" s="37"/>
      <c r="L129" s="37"/>
      <c r="M129" s="37"/>
      <c r="N129" s="37"/>
      <c r="O129" s="37"/>
    </row>
    <row r="130" spans="1:15" ht="12.95" customHeight="1" x14ac:dyDescent="0.2">
      <c r="A130" s="37"/>
      <c r="B130" s="42" t="str">
        <f>HYPERLINK("https://us-east-2-production9-hive-20200324201045952400000002.s3.amazonaws.com/import-files/timberland/product_images/original-TB091621_827_P_1.png","TB0916218271")</f>
        <v>TB0916218271</v>
      </c>
      <c r="C130" s="37" t="s">
        <v>57</v>
      </c>
      <c r="D130" s="37" t="s">
        <v>174</v>
      </c>
      <c r="E130" s="37" t="s">
        <v>181</v>
      </c>
      <c r="F130" s="37" t="s">
        <v>183</v>
      </c>
      <c r="G130" s="43">
        <v>20</v>
      </c>
      <c r="H130" s="37">
        <f>J130+K130+L130+M130+N130+O130</f>
        <v>0</v>
      </c>
      <c r="I130" s="44">
        <f>(J130*WholesalePrice!J130)+(K130*WholesalePrice!K130)+(L130*WholesalePrice!L130)+(M130*WholesalePrice!M130)+(N130*WholesalePrice!N130)+(O130*WholesalePrice!O130)</f>
        <v>0</v>
      </c>
      <c r="J130" s="37"/>
      <c r="K130" s="37"/>
      <c r="L130" s="37"/>
      <c r="M130" s="37"/>
      <c r="N130" s="37"/>
      <c r="O130" s="37"/>
    </row>
    <row r="131" spans="1:15" ht="12.95" customHeight="1" x14ac:dyDescent="0.2">
      <c r="A131" s="37"/>
      <c r="B131" s="42" t="str">
        <f>HYPERLINK("https://us-east-2-production9-hive-20200324201045952400000002.s3.amazonaws.com/import-files/timberland/product_images/original-TB0A1ORE_827_P_1.png","TB0A1ORE8271")</f>
        <v>TB0A1ORE8271</v>
      </c>
      <c r="C131" s="37" t="s">
        <v>57</v>
      </c>
      <c r="D131" s="37" t="s">
        <v>174</v>
      </c>
      <c r="E131" s="37" t="s">
        <v>181</v>
      </c>
      <c r="F131" s="37" t="s">
        <v>184</v>
      </c>
      <c r="G131" s="43">
        <v>20</v>
      </c>
      <c r="H131" s="37"/>
      <c r="I131" s="44"/>
      <c r="J131" s="45"/>
      <c r="K131" s="45"/>
      <c r="L131" s="45"/>
      <c r="M131" s="45"/>
      <c r="N131" s="45"/>
      <c r="O131" s="45"/>
    </row>
    <row r="132" spans="1:15" ht="12.75" x14ac:dyDescent="0.2">
      <c r="A132" s="38" t="s">
        <v>185</v>
      </c>
      <c r="B132" s="37"/>
      <c r="C132" s="37"/>
      <c r="D132" s="37"/>
      <c r="E132" s="37"/>
      <c r="F132" s="37"/>
      <c r="G132" s="37" t="s">
        <v>9</v>
      </c>
      <c r="H132" s="37" t="s">
        <v>9</v>
      </c>
      <c r="I132" s="37" t="s">
        <v>9</v>
      </c>
      <c r="J132" s="39" t="s">
        <v>186</v>
      </c>
    </row>
    <row r="133" spans="1:15" ht="12.95" customHeight="1" x14ac:dyDescent="0.2">
      <c r="A133" s="37"/>
      <c r="B133" s="42" t="str">
        <f>HYPERLINK("https://us-east-2-production9-hive-20200324201045952400000002.s3.amazonaws.com/import-files/timberland/product_images/original-TB0A2EPW_000_P_1.png","TB0A2EPW0001")</f>
        <v>TB0A2EPW0001</v>
      </c>
      <c r="C133" s="37" t="s">
        <v>9</v>
      </c>
      <c r="D133" s="37" t="s">
        <v>187</v>
      </c>
      <c r="E133" s="37" t="s">
        <v>181</v>
      </c>
      <c r="F133" s="37" t="s">
        <v>188</v>
      </c>
      <c r="G133" s="43">
        <v>15</v>
      </c>
      <c r="H133" s="37">
        <f>J133</f>
        <v>0</v>
      </c>
      <c r="I133" s="44">
        <f>(J133*WholesalePrice!J133)</f>
        <v>0</v>
      </c>
      <c r="J133" s="37"/>
    </row>
    <row r="134" spans="1:15" ht="12.95" customHeight="1" x14ac:dyDescent="0.2">
      <c r="G134" s="46" t="s">
        <v>189</v>
      </c>
      <c r="H134" s="47">
        <f>0+SUM(H16:H133)</f>
        <v>0</v>
      </c>
      <c r="I134" s="44">
        <f>0+SUM(I16:I133)</f>
        <v>0</v>
      </c>
    </row>
    <row r="136" spans="1:15" ht="12.75" x14ac:dyDescent="0.2">
      <c r="H136" s="105" t="s">
        <v>190</v>
      </c>
      <c r="I136" s="106" t="s">
        <v>190</v>
      </c>
      <c r="J136" s="107">
        <f t="shared" ref="J136:K136" si="1">0+SUM(H134:H134)</f>
        <v>0</v>
      </c>
      <c r="K136" s="108">
        <f t="shared" si="1"/>
        <v>0</v>
      </c>
    </row>
    <row r="137" spans="1:15" ht="12.75" x14ac:dyDescent="0.2">
      <c r="H137" s="105" t="s">
        <v>18</v>
      </c>
      <c r="I137" s="106" t="s">
        <v>18</v>
      </c>
      <c r="J137" s="107">
        <f t="shared" ref="J137:K137" si="2">0+SUM(I134:I134)</f>
        <v>0</v>
      </c>
      <c r="K137" s="108">
        <f t="shared" si="2"/>
        <v>0</v>
      </c>
    </row>
  </sheetData>
  <autoFilter ref="A14:AD137" xr:uid="{00000000-0009-0000-0000-00000A000000}"/>
  <mergeCells count="13">
    <mergeCell ref="H137:I137"/>
    <mergeCell ref="J137:K137"/>
    <mergeCell ref="A11:C11"/>
    <mergeCell ref="A12:F12"/>
    <mergeCell ref="G12:I12"/>
    <mergeCell ref="J13:V13"/>
    <mergeCell ref="H136:I136"/>
    <mergeCell ref="J136:K136"/>
    <mergeCell ref="D5:F5"/>
    <mergeCell ref="D6:F6"/>
    <mergeCell ref="D7:F7"/>
    <mergeCell ref="D8:F8"/>
    <mergeCell ref="D9:F9"/>
  </mergeCells>
  <phoneticPr fontId="2" type="noConversion"/>
  <pageMargins left="0.7" right="0.7" top="0.75" bottom="0.75" header="0.3" footer="0.3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B1195"/>
  <sheetViews>
    <sheetView workbookViewId="0">
      <selection sqref="A1:XFD1048576"/>
    </sheetView>
  </sheetViews>
  <sheetFormatPr defaultColWidth="9" defaultRowHeight="15" x14ac:dyDescent="0.25"/>
  <cols>
    <col min="1" max="1" width="17.5703125" style="2" bestFit="1" customWidth="1"/>
    <col min="2" max="22" width="13.7109375" style="2" customWidth="1"/>
    <col min="23" max="23" width="9" style="2" customWidth="1"/>
    <col min="24" max="16384" width="9" style="2"/>
  </cols>
  <sheetData>
    <row r="1" spans="1:2" x14ac:dyDescent="0.25">
      <c r="B1" s="2" t="s">
        <v>218</v>
      </c>
    </row>
    <row r="2" spans="1:2" x14ac:dyDescent="0.25">
      <c r="A2" s="2" t="s">
        <v>219</v>
      </c>
      <c r="B2" s="2" t="str">
        <f>'09Mar2026'!D5&amp;""</f>
        <v>10193767</v>
      </c>
    </row>
    <row r="3" spans="1:2" x14ac:dyDescent="0.25">
      <c r="A3" s="2" t="s">
        <v>220</v>
      </c>
      <c r="B3" s="2" t="str">
        <f>'09Mar2026'!D6&amp;""</f>
        <v/>
      </c>
    </row>
    <row r="4" spans="1:2" x14ac:dyDescent="0.25">
      <c r="A4" s="2" t="s">
        <v>221</v>
      </c>
      <c r="B4" s="2" t="str">
        <f>'09Mar2026'!D7&amp;""</f>
        <v/>
      </c>
    </row>
    <row r="5" spans="1:2" x14ac:dyDescent="0.25">
      <c r="A5" s="2" t="s">
        <v>222</v>
      </c>
      <c r="B5" s="76">
        <f>'09Mar2026'!D8</f>
        <v>46090</v>
      </c>
    </row>
    <row r="6" spans="1:2" x14ac:dyDescent="0.25">
      <c r="A6" s="2" t="s">
        <v>223</v>
      </c>
      <c r="B6" s="76">
        <f>'09Mar2026'!D9</f>
        <v>46120</v>
      </c>
    </row>
    <row r="7" spans="1:2" x14ac:dyDescent="0.25">
      <c r="A7" s="2" t="s">
        <v>224</v>
      </c>
    </row>
    <row r="8" spans="1:2" x14ac:dyDescent="0.25">
      <c r="A8" s="2" t="s">
        <v>225</v>
      </c>
    </row>
    <row r="20" spans="1:2" x14ac:dyDescent="0.25">
      <c r="A20" s="2" t="s">
        <v>226</v>
      </c>
      <c r="B20" s="77">
        <f>'09Mar2026'!J16</f>
        <v>0</v>
      </c>
    </row>
    <row r="21" spans="1:2" x14ac:dyDescent="0.25">
      <c r="A21" s="2" t="s">
        <v>227</v>
      </c>
      <c r="B21" s="77">
        <f>'09Mar2026'!K16</f>
        <v>0</v>
      </c>
    </row>
    <row r="22" spans="1:2" x14ac:dyDescent="0.25">
      <c r="A22" s="2" t="s">
        <v>228</v>
      </c>
      <c r="B22" s="77">
        <f>'09Mar2026'!L16</f>
        <v>0</v>
      </c>
    </row>
    <row r="23" spans="1:2" x14ac:dyDescent="0.25">
      <c r="A23" s="2" t="s">
        <v>229</v>
      </c>
      <c r="B23" s="77">
        <f>'09Mar2026'!M16</f>
        <v>0</v>
      </c>
    </row>
    <row r="24" spans="1:2" x14ac:dyDescent="0.25">
      <c r="A24" s="2" t="s">
        <v>230</v>
      </c>
      <c r="B24" s="77">
        <f>'09Mar2026'!N16</f>
        <v>0</v>
      </c>
    </row>
    <row r="25" spans="1:2" x14ac:dyDescent="0.25">
      <c r="A25" s="2" t="s">
        <v>231</v>
      </c>
      <c r="B25" s="77">
        <f>'09Mar2026'!O16</f>
        <v>0</v>
      </c>
    </row>
    <row r="26" spans="1:2" x14ac:dyDescent="0.25">
      <c r="A26" s="2" t="s">
        <v>232</v>
      </c>
      <c r="B26" s="77">
        <f>'09Mar2026'!P16</f>
        <v>0</v>
      </c>
    </row>
    <row r="27" spans="1:2" x14ac:dyDescent="0.25">
      <c r="A27" s="2" t="s">
        <v>233</v>
      </c>
      <c r="B27" s="77">
        <f>'09Mar2026'!Q16</f>
        <v>0</v>
      </c>
    </row>
    <row r="28" spans="1:2" x14ac:dyDescent="0.25">
      <c r="A28" s="2" t="s">
        <v>234</v>
      </c>
      <c r="B28" s="77">
        <f>'09Mar2026'!R16</f>
        <v>0</v>
      </c>
    </row>
    <row r="29" spans="1:2" x14ac:dyDescent="0.25">
      <c r="A29" s="2" t="s">
        <v>235</v>
      </c>
      <c r="B29" s="77">
        <f>'09Mar2026'!S16</f>
        <v>0</v>
      </c>
    </row>
    <row r="30" spans="1:2" x14ac:dyDescent="0.25">
      <c r="A30" s="2" t="s">
        <v>236</v>
      </c>
      <c r="B30" s="77">
        <f>'09Mar2026'!T16</f>
        <v>0</v>
      </c>
    </row>
    <row r="31" spans="1:2" x14ac:dyDescent="0.25">
      <c r="A31" s="2" t="s">
        <v>237</v>
      </c>
      <c r="B31" s="77">
        <f>'09Mar2026'!U16</f>
        <v>0</v>
      </c>
    </row>
    <row r="32" spans="1:2" x14ac:dyDescent="0.25">
      <c r="A32" s="2" t="s">
        <v>238</v>
      </c>
      <c r="B32" s="77">
        <f>'09Mar2026'!V16</f>
        <v>0</v>
      </c>
    </row>
    <row r="33" spans="1:2" x14ac:dyDescent="0.25">
      <c r="A33" s="2" t="s">
        <v>239</v>
      </c>
      <c r="B33" s="77">
        <f>'09Mar2026'!J17</f>
        <v>0</v>
      </c>
    </row>
    <row r="34" spans="1:2" x14ac:dyDescent="0.25">
      <c r="A34" s="2" t="s">
        <v>240</v>
      </c>
      <c r="B34" s="77">
        <f>'09Mar2026'!K17</f>
        <v>0</v>
      </c>
    </row>
    <row r="35" spans="1:2" x14ac:dyDescent="0.25">
      <c r="A35" s="2" t="s">
        <v>241</v>
      </c>
      <c r="B35" s="77">
        <f>'09Mar2026'!L17</f>
        <v>0</v>
      </c>
    </row>
    <row r="36" spans="1:2" x14ac:dyDescent="0.25">
      <c r="A36" s="2" t="s">
        <v>242</v>
      </c>
      <c r="B36" s="77">
        <f>'09Mar2026'!M17</f>
        <v>0</v>
      </c>
    </row>
    <row r="37" spans="1:2" x14ac:dyDescent="0.25">
      <c r="A37" s="2" t="s">
        <v>243</v>
      </c>
      <c r="B37" s="77">
        <f>'09Mar2026'!N17</f>
        <v>0</v>
      </c>
    </row>
    <row r="38" spans="1:2" x14ac:dyDescent="0.25">
      <c r="A38" s="2" t="s">
        <v>244</v>
      </c>
      <c r="B38" s="77">
        <f>'09Mar2026'!O17</f>
        <v>0</v>
      </c>
    </row>
    <row r="39" spans="1:2" x14ac:dyDescent="0.25">
      <c r="A39" s="2" t="s">
        <v>245</v>
      </c>
      <c r="B39" s="77">
        <f>'09Mar2026'!P17</f>
        <v>0</v>
      </c>
    </row>
    <row r="40" spans="1:2" x14ac:dyDescent="0.25">
      <c r="A40" s="2" t="s">
        <v>246</v>
      </c>
      <c r="B40" s="77">
        <f>'09Mar2026'!Q17</f>
        <v>0</v>
      </c>
    </row>
    <row r="41" spans="1:2" x14ac:dyDescent="0.25">
      <c r="A41" s="2" t="s">
        <v>247</v>
      </c>
      <c r="B41" s="77">
        <f>'09Mar2026'!R17</f>
        <v>0</v>
      </c>
    </row>
    <row r="42" spans="1:2" x14ac:dyDescent="0.25">
      <c r="A42" s="2" t="s">
        <v>248</v>
      </c>
      <c r="B42" s="77">
        <f>'09Mar2026'!S17</f>
        <v>0</v>
      </c>
    </row>
    <row r="43" spans="1:2" x14ac:dyDescent="0.25">
      <c r="A43" s="2" t="s">
        <v>249</v>
      </c>
      <c r="B43" s="77">
        <f>'09Mar2026'!T17</f>
        <v>0</v>
      </c>
    </row>
    <row r="44" spans="1:2" x14ac:dyDescent="0.25">
      <c r="A44" s="2" t="s">
        <v>250</v>
      </c>
      <c r="B44" s="77">
        <f>'09Mar2026'!U17</f>
        <v>0</v>
      </c>
    </row>
    <row r="45" spans="1:2" x14ac:dyDescent="0.25">
      <c r="A45" s="2" t="s">
        <v>251</v>
      </c>
      <c r="B45" s="77">
        <f>'09Mar2026'!V17</f>
        <v>0</v>
      </c>
    </row>
    <row r="46" spans="1:2" x14ac:dyDescent="0.25">
      <c r="A46" s="2" t="s">
        <v>252</v>
      </c>
      <c r="B46" s="77">
        <f>'09Mar2026'!J18</f>
        <v>0</v>
      </c>
    </row>
    <row r="47" spans="1:2" x14ac:dyDescent="0.25">
      <c r="A47" s="2" t="s">
        <v>253</v>
      </c>
      <c r="B47" s="77">
        <f>'09Mar2026'!K18</f>
        <v>0</v>
      </c>
    </row>
    <row r="48" spans="1:2" x14ac:dyDescent="0.25">
      <c r="A48" s="2" t="s">
        <v>254</v>
      </c>
      <c r="B48" s="77">
        <f>'09Mar2026'!L18</f>
        <v>0</v>
      </c>
    </row>
    <row r="49" spans="1:2" x14ac:dyDescent="0.25">
      <c r="A49" s="2" t="s">
        <v>255</v>
      </c>
      <c r="B49" s="77">
        <f>'09Mar2026'!M18</f>
        <v>0</v>
      </c>
    </row>
    <row r="50" spans="1:2" x14ac:dyDescent="0.25">
      <c r="A50" s="2" t="s">
        <v>256</v>
      </c>
      <c r="B50" s="77">
        <f>'09Mar2026'!N18</f>
        <v>0</v>
      </c>
    </row>
    <row r="51" spans="1:2" x14ac:dyDescent="0.25">
      <c r="A51" s="2" t="s">
        <v>257</v>
      </c>
      <c r="B51" s="77">
        <f>'09Mar2026'!O18</f>
        <v>0</v>
      </c>
    </row>
    <row r="52" spans="1:2" x14ac:dyDescent="0.25">
      <c r="A52" s="2" t="s">
        <v>258</v>
      </c>
      <c r="B52" s="77">
        <f>'09Mar2026'!P18</f>
        <v>0</v>
      </c>
    </row>
    <row r="53" spans="1:2" x14ac:dyDescent="0.25">
      <c r="A53" s="2" t="s">
        <v>259</v>
      </c>
      <c r="B53" s="77">
        <f>'09Mar2026'!Q18</f>
        <v>0</v>
      </c>
    </row>
    <row r="54" spans="1:2" x14ac:dyDescent="0.25">
      <c r="A54" s="2" t="s">
        <v>260</v>
      </c>
      <c r="B54" s="77">
        <f>'09Mar2026'!R18</f>
        <v>0</v>
      </c>
    </row>
    <row r="55" spans="1:2" x14ac:dyDescent="0.25">
      <c r="A55" s="2" t="s">
        <v>261</v>
      </c>
      <c r="B55" s="77">
        <f>'09Mar2026'!S18</f>
        <v>0</v>
      </c>
    </row>
    <row r="56" spans="1:2" x14ac:dyDescent="0.25">
      <c r="A56" s="2" t="s">
        <v>262</v>
      </c>
      <c r="B56" s="77">
        <f>'09Mar2026'!T18</f>
        <v>0</v>
      </c>
    </row>
    <row r="57" spans="1:2" x14ac:dyDescent="0.25">
      <c r="A57" s="2" t="s">
        <v>263</v>
      </c>
      <c r="B57" s="77">
        <f>'09Mar2026'!U18</f>
        <v>0</v>
      </c>
    </row>
    <row r="58" spans="1:2" x14ac:dyDescent="0.25">
      <c r="A58" s="2" t="s">
        <v>264</v>
      </c>
      <c r="B58" s="77">
        <f>'09Mar2026'!V18</f>
        <v>0</v>
      </c>
    </row>
    <row r="59" spans="1:2" x14ac:dyDescent="0.25">
      <c r="A59" s="2" t="s">
        <v>265</v>
      </c>
      <c r="B59" s="77">
        <f>'09Mar2026'!J19</f>
        <v>0</v>
      </c>
    </row>
    <row r="60" spans="1:2" x14ac:dyDescent="0.25">
      <c r="A60" s="2" t="s">
        <v>266</v>
      </c>
      <c r="B60" s="77">
        <f>'09Mar2026'!K19</f>
        <v>0</v>
      </c>
    </row>
    <row r="61" spans="1:2" x14ac:dyDescent="0.25">
      <c r="A61" s="2" t="s">
        <v>267</v>
      </c>
      <c r="B61" s="77">
        <f>'09Mar2026'!L19</f>
        <v>0</v>
      </c>
    </row>
    <row r="62" spans="1:2" x14ac:dyDescent="0.25">
      <c r="A62" s="2" t="s">
        <v>268</v>
      </c>
      <c r="B62" s="77">
        <f>'09Mar2026'!M19</f>
        <v>0</v>
      </c>
    </row>
    <row r="63" spans="1:2" x14ac:dyDescent="0.25">
      <c r="A63" s="2" t="s">
        <v>269</v>
      </c>
      <c r="B63" s="77">
        <f>'09Mar2026'!N19</f>
        <v>0</v>
      </c>
    </row>
    <row r="64" spans="1:2" x14ac:dyDescent="0.25">
      <c r="A64" s="2" t="s">
        <v>270</v>
      </c>
      <c r="B64" s="77">
        <f>'09Mar2026'!O19</f>
        <v>0</v>
      </c>
    </row>
    <row r="65" spans="1:2" x14ac:dyDescent="0.25">
      <c r="A65" s="2" t="s">
        <v>271</v>
      </c>
      <c r="B65" s="77">
        <f>'09Mar2026'!P19</f>
        <v>0</v>
      </c>
    </row>
    <row r="66" spans="1:2" x14ac:dyDescent="0.25">
      <c r="A66" s="2" t="s">
        <v>272</v>
      </c>
      <c r="B66" s="77">
        <f>'09Mar2026'!Q19</f>
        <v>0</v>
      </c>
    </row>
    <row r="67" spans="1:2" x14ac:dyDescent="0.25">
      <c r="A67" s="2" t="s">
        <v>273</v>
      </c>
      <c r="B67" s="77">
        <f>'09Mar2026'!R19</f>
        <v>0</v>
      </c>
    </row>
    <row r="68" spans="1:2" x14ac:dyDescent="0.25">
      <c r="A68" s="2" t="s">
        <v>274</v>
      </c>
      <c r="B68" s="77">
        <f>'09Mar2026'!S19</f>
        <v>0</v>
      </c>
    </row>
    <row r="69" spans="1:2" x14ac:dyDescent="0.25">
      <c r="A69" s="2" t="s">
        <v>275</v>
      </c>
      <c r="B69" s="77">
        <f>'09Mar2026'!T19</f>
        <v>0</v>
      </c>
    </row>
    <row r="70" spans="1:2" x14ac:dyDescent="0.25">
      <c r="A70" s="2" t="s">
        <v>276</v>
      </c>
      <c r="B70" s="77">
        <f>'09Mar2026'!U19</f>
        <v>0</v>
      </c>
    </row>
    <row r="71" spans="1:2" x14ac:dyDescent="0.25">
      <c r="A71" s="2" t="s">
        <v>277</v>
      </c>
      <c r="B71" s="77">
        <f>'09Mar2026'!V19</f>
        <v>0</v>
      </c>
    </row>
    <row r="72" spans="1:2" x14ac:dyDescent="0.25">
      <c r="A72" s="2" t="s">
        <v>278</v>
      </c>
      <c r="B72" s="77">
        <f>'09Mar2026'!J20</f>
        <v>0</v>
      </c>
    </row>
    <row r="73" spans="1:2" x14ac:dyDescent="0.25">
      <c r="A73" s="2" t="s">
        <v>279</v>
      </c>
      <c r="B73" s="77">
        <f>'09Mar2026'!K20</f>
        <v>0</v>
      </c>
    </row>
    <row r="74" spans="1:2" x14ac:dyDescent="0.25">
      <c r="A74" s="2" t="s">
        <v>280</v>
      </c>
      <c r="B74" s="77">
        <f>'09Mar2026'!L20</f>
        <v>0</v>
      </c>
    </row>
    <row r="75" spans="1:2" x14ac:dyDescent="0.25">
      <c r="A75" s="2" t="s">
        <v>281</v>
      </c>
      <c r="B75" s="77">
        <f>'09Mar2026'!M20</f>
        <v>0</v>
      </c>
    </row>
    <row r="76" spans="1:2" x14ac:dyDescent="0.25">
      <c r="A76" s="2" t="s">
        <v>282</v>
      </c>
      <c r="B76" s="77">
        <f>'09Mar2026'!N20</f>
        <v>0</v>
      </c>
    </row>
    <row r="77" spans="1:2" x14ac:dyDescent="0.25">
      <c r="A77" s="2" t="s">
        <v>283</v>
      </c>
      <c r="B77" s="77">
        <f>'09Mar2026'!O20</f>
        <v>0</v>
      </c>
    </row>
    <row r="78" spans="1:2" x14ac:dyDescent="0.25">
      <c r="A78" s="2" t="s">
        <v>284</v>
      </c>
      <c r="B78" s="77">
        <f>'09Mar2026'!P20</f>
        <v>0</v>
      </c>
    </row>
    <row r="79" spans="1:2" x14ac:dyDescent="0.25">
      <c r="A79" s="2" t="s">
        <v>285</v>
      </c>
      <c r="B79" s="77">
        <f>'09Mar2026'!Q20</f>
        <v>0</v>
      </c>
    </row>
    <row r="80" spans="1:2" x14ac:dyDescent="0.25">
      <c r="A80" s="2" t="s">
        <v>286</v>
      </c>
      <c r="B80" s="77">
        <f>'09Mar2026'!R20</f>
        <v>0</v>
      </c>
    </row>
    <row r="81" spans="1:2" x14ac:dyDescent="0.25">
      <c r="A81" s="2" t="s">
        <v>287</v>
      </c>
      <c r="B81" s="77">
        <f>'09Mar2026'!S20</f>
        <v>0</v>
      </c>
    </row>
    <row r="82" spans="1:2" x14ac:dyDescent="0.25">
      <c r="A82" s="2" t="s">
        <v>288</v>
      </c>
      <c r="B82" s="77">
        <f>'09Mar2026'!T20</f>
        <v>0</v>
      </c>
    </row>
    <row r="83" spans="1:2" x14ac:dyDescent="0.25">
      <c r="A83" s="2" t="s">
        <v>289</v>
      </c>
      <c r="B83" s="77">
        <f>'09Mar2026'!U20</f>
        <v>0</v>
      </c>
    </row>
    <row r="84" spans="1:2" x14ac:dyDescent="0.25">
      <c r="A84" s="2" t="s">
        <v>290</v>
      </c>
      <c r="B84" s="77">
        <f>'09Mar2026'!V20</f>
        <v>0</v>
      </c>
    </row>
    <row r="85" spans="1:2" x14ac:dyDescent="0.25">
      <c r="A85" s="2" t="s">
        <v>291</v>
      </c>
      <c r="B85" s="77">
        <f>'09Mar2026'!V21</f>
        <v>0</v>
      </c>
    </row>
    <row r="86" spans="1:2" x14ac:dyDescent="0.25">
      <c r="A86" s="2" t="s">
        <v>292</v>
      </c>
      <c r="B86" s="77">
        <f>'09Mar2026'!J22</f>
        <v>0</v>
      </c>
    </row>
    <row r="87" spans="1:2" x14ac:dyDescent="0.25">
      <c r="A87" s="2" t="s">
        <v>293</v>
      </c>
      <c r="B87" s="77">
        <f>'09Mar2026'!K22</f>
        <v>0</v>
      </c>
    </row>
    <row r="88" spans="1:2" x14ac:dyDescent="0.25">
      <c r="A88" s="2" t="s">
        <v>294</v>
      </c>
      <c r="B88" s="77">
        <f>'09Mar2026'!L22</f>
        <v>0</v>
      </c>
    </row>
    <row r="89" spans="1:2" x14ac:dyDescent="0.25">
      <c r="A89" s="2" t="s">
        <v>295</v>
      </c>
      <c r="B89" s="77">
        <f>'09Mar2026'!M22</f>
        <v>0</v>
      </c>
    </row>
    <row r="90" spans="1:2" x14ac:dyDescent="0.25">
      <c r="A90" s="2" t="s">
        <v>296</v>
      </c>
      <c r="B90" s="77">
        <f>'09Mar2026'!N22</f>
        <v>0</v>
      </c>
    </row>
    <row r="91" spans="1:2" x14ac:dyDescent="0.25">
      <c r="A91" s="2" t="s">
        <v>297</v>
      </c>
      <c r="B91" s="77">
        <f>'09Mar2026'!O22</f>
        <v>0</v>
      </c>
    </row>
    <row r="92" spans="1:2" x14ac:dyDescent="0.25">
      <c r="A92" s="2" t="s">
        <v>298</v>
      </c>
      <c r="B92" s="77">
        <f>'09Mar2026'!P22</f>
        <v>0</v>
      </c>
    </row>
    <row r="93" spans="1:2" x14ac:dyDescent="0.25">
      <c r="A93" s="2" t="s">
        <v>299</v>
      </c>
      <c r="B93" s="77">
        <f>'09Mar2026'!Q22</f>
        <v>0</v>
      </c>
    </row>
    <row r="94" spans="1:2" x14ac:dyDescent="0.25">
      <c r="A94" s="2" t="s">
        <v>300</v>
      </c>
      <c r="B94" s="77">
        <f>'09Mar2026'!R22</f>
        <v>0</v>
      </c>
    </row>
    <row r="95" spans="1:2" x14ac:dyDescent="0.25">
      <c r="A95" s="2" t="s">
        <v>301</v>
      </c>
      <c r="B95" s="77">
        <f>'09Mar2026'!S22</f>
        <v>0</v>
      </c>
    </row>
    <row r="96" spans="1:2" x14ac:dyDescent="0.25">
      <c r="A96" s="2" t="s">
        <v>302</v>
      </c>
      <c r="B96" s="77">
        <f>'09Mar2026'!T22</f>
        <v>0</v>
      </c>
    </row>
    <row r="97" spans="1:2" x14ac:dyDescent="0.25">
      <c r="A97" s="2" t="s">
        <v>303</v>
      </c>
      <c r="B97" s="77">
        <f>'09Mar2026'!U22</f>
        <v>0</v>
      </c>
    </row>
    <row r="98" spans="1:2" x14ac:dyDescent="0.25">
      <c r="A98" s="2" t="s">
        <v>304</v>
      </c>
      <c r="B98" s="77">
        <f>'09Mar2026'!V22</f>
        <v>0</v>
      </c>
    </row>
    <row r="99" spans="1:2" x14ac:dyDescent="0.25">
      <c r="A99" s="2" t="s">
        <v>305</v>
      </c>
      <c r="B99" s="77">
        <f>'09Mar2026'!Z24</f>
        <v>0</v>
      </c>
    </row>
    <row r="100" spans="1:2" x14ac:dyDescent="0.25">
      <c r="A100" s="2" t="s">
        <v>306</v>
      </c>
      <c r="B100" s="77">
        <f>'09Mar2026'!Q25</f>
        <v>0</v>
      </c>
    </row>
    <row r="101" spans="1:2" x14ac:dyDescent="0.25">
      <c r="A101" s="2" t="s">
        <v>307</v>
      </c>
      <c r="B101" s="77">
        <f>'09Mar2026'!R25</f>
        <v>0</v>
      </c>
    </row>
    <row r="102" spans="1:2" x14ac:dyDescent="0.25">
      <c r="A102" s="2" t="s">
        <v>308</v>
      </c>
      <c r="B102" s="77">
        <f>'09Mar2026'!S25</f>
        <v>0</v>
      </c>
    </row>
    <row r="103" spans="1:2" x14ac:dyDescent="0.25">
      <c r="A103" s="2" t="s">
        <v>309</v>
      </c>
      <c r="B103" s="77">
        <f>'09Mar2026'!T25</f>
        <v>0</v>
      </c>
    </row>
    <row r="104" spans="1:2" x14ac:dyDescent="0.25">
      <c r="A104" s="2" t="s">
        <v>310</v>
      </c>
      <c r="B104" s="77">
        <f>'09Mar2026'!U25</f>
        <v>0</v>
      </c>
    </row>
    <row r="105" spans="1:2" x14ac:dyDescent="0.25">
      <c r="A105" s="2" t="s">
        <v>311</v>
      </c>
      <c r="B105" s="77">
        <f>'09Mar2026'!V25</f>
        <v>0</v>
      </c>
    </row>
    <row r="106" spans="1:2" x14ac:dyDescent="0.25">
      <c r="A106" s="2" t="s">
        <v>312</v>
      </c>
      <c r="B106" s="77">
        <f>'09Mar2026'!W25</f>
        <v>0</v>
      </c>
    </row>
    <row r="107" spans="1:2" x14ac:dyDescent="0.25">
      <c r="A107" s="2" t="s">
        <v>313</v>
      </c>
      <c r="B107" s="77">
        <f>'09Mar2026'!X25</f>
        <v>0</v>
      </c>
    </row>
    <row r="108" spans="1:2" x14ac:dyDescent="0.25">
      <c r="A108" s="2" t="s">
        <v>314</v>
      </c>
      <c r="B108" s="77">
        <f>'09Mar2026'!Y25</f>
        <v>0</v>
      </c>
    </row>
    <row r="109" spans="1:2" x14ac:dyDescent="0.25">
      <c r="A109" s="2" t="s">
        <v>315</v>
      </c>
      <c r="B109" s="77">
        <f>'09Mar2026'!Z25</f>
        <v>0</v>
      </c>
    </row>
    <row r="110" spans="1:2" x14ac:dyDescent="0.25">
      <c r="A110" s="2" t="s">
        <v>316</v>
      </c>
      <c r="B110" s="77">
        <f>'09Mar2026'!AA25</f>
        <v>0</v>
      </c>
    </row>
    <row r="111" spans="1:2" x14ac:dyDescent="0.25">
      <c r="A111" s="2" t="s">
        <v>317</v>
      </c>
      <c r="B111" s="77">
        <f>'09Mar2026'!AB25</f>
        <v>0</v>
      </c>
    </row>
    <row r="112" spans="1:2" x14ac:dyDescent="0.25">
      <c r="A112" s="2" t="s">
        <v>318</v>
      </c>
      <c r="B112" s="77">
        <f>'09Mar2026'!AC25</f>
        <v>0</v>
      </c>
    </row>
    <row r="113" spans="1:2" x14ac:dyDescent="0.25">
      <c r="A113" s="2" t="s">
        <v>319</v>
      </c>
      <c r="B113" s="77">
        <f>'09Mar2026'!AD25</f>
        <v>0</v>
      </c>
    </row>
    <row r="114" spans="1:2" x14ac:dyDescent="0.25">
      <c r="A114" s="2" t="s">
        <v>320</v>
      </c>
      <c r="B114" s="77">
        <f>'09Mar2026'!Q26</f>
        <v>0</v>
      </c>
    </row>
    <row r="115" spans="1:2" x14ac:dyDescent="0.25">
      <c r="A115" s="2" t="s">
        <v>321</v>
      </c>
      <c r="B115" s="77">
        <f>'09Mar2026'!R26</f>
        <v>0</v>
      </c>
    </row>
    <row r="116" spans="1:2" x14ac:dyDescent="0.25">
      <c r="A116" s="2" t="s">
        <v>322</v>
      </c>
      <c r="B116" s="77">
        <f>'09Mar2026'!S26</f>
        <v>0</v>
      </c>
    </row>
    <row r="117" spans="1:2" x14ac:dyDescent="0.25">
      <c r="A117" s="2" t="s">
        <v>323</v>
      </c>
      <c r="B117" s="77">
        <f>'09Mar2026'!T26</f>
        <v>0</v>
      </c>
    </row>
    <row r="118" spans="1:2" x14ac:dyDescent="0.25">
      <c r="A118" s="2" t="s">
        <v>324</v>
      </c>
      <c r="B118" s="77">
        <f>'09Mar2026'!U26</f>
        <v>0</v>
      </c>
    </row>
    <row r="119" spans="1:2" x14ac:dyDescent="0.25">
      <c r="A119" s="2" t="s">
        <v>325</v>
      </c>
      <c r="B119" s="77">
        <f>'09Mar2026'!V26</f>
        <v>0</v>
      </c>
    </row>
    <row r="120" spans="1:2" x14ac:dyDescent="0.25">
      <c r="A120" s="2" t="s">
        <v>326</v>
      </c>
      <c r="B120" s="77">
        <f>'09Mar2026'!W26</f>
        <v>0</v>
      </c>
    </row>
    <row r="121" spans="1:2" x14ac:dyDescent="0.25">
      <c r="A121" s="2" t="s">
        <v>327</v>
      </c>
      <c r="B121" s="77">
        <f>'09Mar2026'!X26</f>
        <v>0</v>
      </c>
    </row>
    <row r="122" spans="1:2" x14ac:dyDescent="0.25">
      <c r="A122" s="2" t="s">
        <v>328</v>
      </c>
      <c r="B122" s="77">
        <f>'09Mar2026'!Y26</f>
        <v>0</v>
      </c>
    </row>
    <row r="123" spans="1:2" x14ac:dyDescent="0.25">
      <c r="A123" s="2" t="s">
        <v>329</v>
      </c>
      <c r="B123" s="77">
        <f>'09Mar2026'!AA26</f>
        <v>0</v>
      </c>
    </row>
    <row r="124" spans="1:2" x14ac:dyDescent="0.25">
      <c r="A124" s="2" t="s">
        <v>330</v>
      </c>
      <c r="B124" s="77">
        <f>'09Mar2026'!AB26</f>
        <v>0</v>
      </c>
    </row>
    <row r="125" spans="1:2" x14ac:dyDescent="0.25">
      <c r="A125" s="2" t="s">
        <v>331</v>
      </c>
      <c r="B125" s="77">
        <f>'09Mar2026'!AC26</f>
        <v>0</v>
      </c>
    </row>
    <row r="126" spans="1:2" x14ac:dyDescent="0.25">
      <c r="A126" s="2" t="s">
        <v>332</v>
      </c>
      <c r="B126" s="77">
        <f>'09Mar2026'!AD26</f>
        <v>0</v>
      </c>
    </row>
    <row r="127" spans="1:2" x14ac:dyDescent="0.25">
      <c r="A127" s="2" t="s">
        <v>333</v>
      </c>
      <c r="B127" s="77">
        <f>'09Mar2026'!J27</f>
        <v>0</v>
      </c>
    </row>
    <row r="128" spans="1:2" x14ac:dyDescent="0.25">
      <c r="A128" s="2" t="s">
        <v>334</v>
      </c>
      <c r="B128" s="77">
        <f>'09Mar2026'!K27</f>
        <v>0</v>
      </c>
    </row>
    <row r="129" spans="1:2" x14ac:dyDescent="0.25">
      <c r="A129" s="2" t="s">
        <v>335</v>
      </c>
      <c r="B129" s="77">
        <f>'09Mar2026'!L27</f>
        <v>0</v>
      </c>
    </row>
    <row r="130" spans="1:2" x14ac:dyDescent="0.25">
      <c r="A130" s="2" t="s">
        <v>336</v>
      </c>
      <c r="B130" s="77">
        <f>'09Mar2026'!M27</f>
        <v>0</v>
      </c>
    </row>
    <row r="131" spans="1:2" x14ac:dyDescent="0.25">
      <c r="A131" s="2" t="s">
        <v>337</v>
      </c>
      <c r="B131" s="77">
        <f>'09Mar2026'!N27</f>
        <v>0</v>
      </c>
    </row>
    <row r="132" spans="1:2" x14ac:dyDescent="0.25">
      <c r="A132" s="2" t="s">
        <v>338</v>
      </c>
      <c r="B132" s="77">
        <f>'09Mar2026'!O27</f>
        <v>0</v>
      </c>
    </row>
    <row r="133" spans="1:2" x14ac:dyDescent="0.25">
      <c r="A133" s="2" t="s">
        <v>339</v>
      </c>
      <c r="B133" s="77">
        <f>'09Mar2026'!P27</f>
        <v>0</v>
      </c>
    </row>
    <row r="134" spans="1:2" x14ac:dyDescent="0.25">
      <c r="A134" s="2" t="s">
        <v>340</v>
      </c>
      <c r="B134" s="77">
        <f>'09Mar2026'!Q27</f>
        <v>0</v>
      </c>
    </row>
    <row r="135" spans="1:2" x14ac:dyDescent="0.25">
      <c r="A135" s="2" t="s">
        <v>341</v>
      </c>
      <c r="B135" s="77">
        <f>'09Mar2026'!R27</f>
        <v>0</v>
      </c>
    </row>
    <row r="136" spans="1:2" x14ac:dyDescent="0.25">
      <c r="A136" s="2" t="s">
        <v>342</v>
      </c>
      <c r="B136" s="77">
        <f>'09Mar2026'!S27</f>
        <v>0</v>
      </c>
    </row>
    <row r="137" spans="1:2" x14ac:dyDescent="0.25">
      <c r="A137" s="2" t="s">
        <v>343</v>
      </c>
      <c r="B137" s="77">
        <f>'09Mar2026'!T27</f>
        <v>0</v>
      </c>
    </row>
    <row r="138" spans="1:2" x14ac:dyDescent="0.25">
      <c r="A138" s="2" t="s">
        <v>344</v>
      </c>
      <c r="B138" s="77">
        <f>'09Mar2026'!U27</f>
        <v>0</v>
      </c>
    </row>
    <row r="139" spans="1:2" x14ac:dyDescent="0.25">
      <c r="A139" s="2" t="s">
        <v>345</v>
      </c>
      <c r="B139" s="77">
        <f>'09Mar2026'!V27</f>
        <v>0</v>
      </c>
    </row>
    <row r="140" spans="1:2" x14ac:dyDescent="0.25">
      <c r="A140" s="2" t="s">
        <v>346</v>
      </c>
      <c r="B140" s="77">
        <f>'09Mar2026'!W27</f>
        <v>0</v>
      </c>
    </row>
    <row r="141" spans="1:2" x14ac:dyDescent="0.25">
      <c r="A141" s="2" t="s">
        <v>347</v>
      </c>
      <c r="B141" s="77">
        <f>'09Mar2026'!X27</f>
        <v>0</v>
      </c>
    </row>
    <row r="142" spans="1:2" x14ac:dyDescent="0.25">
      <c r="A142" s="2" t="s">
        <v>348</v>
      </c>
      <c r="B142" s="77">
        <f>'09Mar2026'!Y27</f>
        <v>0</v>
      </c>
    </row>
    <row r="143" spans="1:2" x14ac:dyDescent="0.25">
      <c r="A143" s="2" t="s">
        <v>349</v>
      </c>
      <c r="B143" s="77">
        <f>'09Mar2026'!Z27</f>
        <v>0</v>
      </c>
    </row>
    <row r="144" spans="1:2" x14ac:dyDescent="0.25">
      <c r="A144" s="2" t="s">
        <v>350</v>
      </c>
      <c r="B144" s="77">
        <f>'09Mar2026'!AA27</f>
        <v>0</v>
      </c>
    </row>
    <row r="145" spans="1:2" x14ac:dyDescent="0.25">
      <c r="A145" s="2" t="s">
        <v>351</v>
      </c>
      <c r="B145" s="77">
        <f>'09Mar2026'!AB27</f>
        <v>0</v>
      </c>
    </row>
    <row r="146" spans="1:2" x14ac:dyDescent="0.25">
      <c r="A146" s="2" t="s">
        <v>352</v>
      </c>
      <c r="B146" s="77">
        <f>'09Mar2026'!AC27</f>
        <v>0</v>
      </c>
    </row>
    <row r="147" spans="1:2" x14ac:dyDescent="0.25">
      <c r="A147" s="2" t="s">
        <v>353</v>
      </c>
      <c r="B147" s="77">
        <f>'09Mar2026'!AD27</f>
        <v>0</v>
      </c>
    </row>
    <row r="148" spans="1:2" x14ac:dyDescent="0.25">
      <c r="A148" s="2" t="s">
        <v>354</v>
      </c>
      <c r="B148" s="77">
        <f>'09Mar2026'!J28</f>
        <v>0</v>
      </c>
    </row>
    <row r="149" spans="1:2" x14ac:dyDescent="0.25">
      <c r="A149" s="2" t="s">
        <v>355</v>
      </c>
      <c r="B149" s="77">
        <f>'09Mar2026'!K28</f>
        <v>0</v>
      </c>
    </row>
    <row r="150" spans="1:2" x14ac:dyDescent="0.25">
      <c r="A150" s="2" t="s">
        <v>356</v>
      </c>
      <c r="B150" s="77">
        <f>'09Mar2026'!L28</f>
        <v>0</v>
      </c>
    </row>
    <row r="151" spans="1:2" x14ac:dyDescent="0.25">
      <c r="A151" s="2" t="s">
        <v>357</v>
      </c>
      <c r="B151" s="77">
        <f>'09Mar2026'!M28</f>
        <v>0</v>
      </c>
    </row>
    <row r="152" spans="1:2" x14ac:dyDescent="0.25">
      <c r="A152" s="2" t="s">
        <v>358</v>
      </c>
      <c r="B152" s="77">
        <f>'09Mar2026'!N28</f>
        <v>0</v>
      </c>
    </row>
    <row r="153" spans="1:2" x14ac:dyDescent="0.25">
      <c r="A153" s="2" t="s">
        <v>359</v>
      </c>
      <c r="B153" s="77">
        <f>'09Mar2026'!O28</f>
        <v>0</v>
      </c>
    </row>
    <row r="154" spans="1:2" x14ac:dyDescent="0.25">
      <c r="A154" s="2" t="s">
        <v>360</v>
      </c>
      <c r="B154" s="77">
        <f>'09Mar2026'!P28</f>
        <v>0</v>
      </c>
    </row>
    <row r="155" spans="1:2" x14ac:dyDescent="0.25">
      <c r="A155" s="2" t="s">
        <v>361</v>
      </c>
      <c r="B155" s="77">
        <f>'09Mar2026'!Q28</f>
        <v>0</v>
      </c>
    </row>
    <row r="156" spans="1:2" x14ac:dyDescent="0.25">
      <c r="A156" s="2" t="s">
        <v>362</v>
      </c>
      <c r="B156" s="77">
        <f>'09Mar2026'!R28</f>
        <v>0</v>
      </c>
    </row>
    <row r="157" spans="1:2" x14ac:dyDescent="0.25">
      <c r="A157" s="2" t="s">
        <v>363</v>
      </c>
      <c r="B157" s="77">
        <f>'09Mar2026'!S28</f>
        <v>0</v>
      </c>
    </row>
    <row r="158" spans="1:2" x14ac:dyDescent="0.25">
      <c r="A158" s="2" t="s">
        <v>364</v>
      </c>
      <c r="B158" s="77">
        <f>'09Mar2026'!T28</f>
        <v>0</v>
      </c>
    </row>
    <row r="159" spans="1:2" x14ac:dyDescent="0.25">
      <c r="A159" s="2" t="s">
        <v>365</v>
      </c>
      <c r="B159" s="77">
        <f>'09Mar2026'!U28</f>
        <v>0</v>
      </c>
    </row>
    <row r="160" spans="1:2" x14ac:dyDescent="0.25">
      <c r="A160" s="2" t="s">
        <v>366</v>
      </c>
      <c r="B160" s="77">
        <f>'09Mar2026'!V28</f>
        <v>0</v>
      </c>
    </row>
    <row r="161" spans="1:2" x14ac:dyDescent="0.25">
      <c r="A161" s="2" t="s">
        <v>367</v>
      </c>
      <c r="B161" s="77">
        <f>'09Mar2026'!W28</f>
        <v>0</v>
      </c>
    </row>
    <row r="162" spans="1:2" x14ac:dyDescent="0.25">
      <c r="A162" s="2" t="s">
        <v>368</v>
      </c>
      <c r="B162" s="77">
        <f>'09Mar2026'!X28</f>
        <v>0</v>
      </c>
    </row>
    <row r="163" spans="1:2" x14ac:dyDescent="0.25">
      <c r="A163" s="2" t="s">
        <v>369</v>
      </c>
      <c r="B163" s="77">
        <f>'09Mar2026'!Y28</f>
        <v>0</v>
      </c>
    </row>
    <row r="164" spans="1:2" x14ac:dyDescent="0.25">
      <c r="A164" s="2" t="s">
        <v>370</v>
      </c>
      <c r="B164" s="77">
        <f>'09Mar2026'!Z28</f>
        <v>0</v>
      </c>
    </row>
    <row r="165" spans="1:2" x14ac:dyDescent="0.25">
      <c r="A165" s="2" t="s">
        <v>371</v>
      </c>
      <c r="B165" s="77">
        <f>'09Mar2026'!AA28</f>
        <v>0</v>
      </c>
    </row>
    <row r="166" spans="1:2" x14ac:dyDescent="0.25">
      <c r="A166" s="2" t="s">
        <v>372</v>
      </c>
      <c r="B166" s="77">
        <f>'09Mar2026'!AB28</f>
        <v>0</v>
      </c>
    </row>
    <row r="167" spans="1:2" x14ac:dyDescent="0.25">
      <c r="A167" s="2" t="s">
        <v>373</v>
      </c>
      <c r="B167" s="77">
        <f>'09Mar2026'!AC28</f>
        <v>0</v>
      </c>
    </row>
    <row r="168" spans="1:2" x14ac:dyDescent="0.25">
      <c r="A168" s="2" t="s">
        <v>374</v>
      </c>
      <c r="B168" s="77">
        <f>'09Mar2026'!AD28</f>
        <v>0</v>
      </c>
    </row>
    <row r="169" spans="1:2" x14ac:dyDescent="0.25">
      <c r="A169" s="2" t="s">
        <v>375</v>
      </c>
      <c r="B169" s="77">
        <f>'09Mar2026'!Q29</f>
        <v>0</v>
      </c>
    </row>
    <row r="170" spans="1:2" x14ac:dyDescent="0.25">
      <c r="A170" s="2" t="s">
        <v>376</v>
      </c>
      <c r="B170" s="77">
        <f>'09Mar2026'!R29</f>
        <v>0</v>
      </c>
    </row>
    <row r="171" spans="1:2" x14ac:dyDescent="0.25">
      <c r="A171" s="2" t="s">
        <v>377</v>
      </c>
      <c r="B171" s="77">
        <f>'09Mar2026'!S29</f>
        <v>0</v>
      </c>
    </row>
    <row r="172" spans="1:2" x14ac:dyDescent="0.25">
      <c r="A172" s="2" t="s">
        <v>378</v>
      </c>
      <c r="B172" s="77">
        <f>'09Mar2026'!T29</f>
        <v>0</v>
      </c>
    </row>
    <row r="173" spans="1:2" x14ac:dyDescent="0.25">
      <c r="A173" s="2" t="s">
        <v>379</v>
      </c>
      <c r="B173" s="77">
        <f>'09Mar2026'!U29</f>
        <v>0</v>
      </c>
    </row>
    <row r="174" spans="1:2" x14ac:dyDescent="0.25">
      <c r="A174" s="2" t="s">
        <v>380</v>
      </c>
      <c r="B174" s="77">
        <f>'09Mar2026'!V29</f>
        <v>0</v>
      </c>
    </row>
    <row r="175" spans="1:2" x14ac:dyDescent="0.25">
      <c r="A175" s="2" t="s">
        <v>381</v>
      </c>
      <c r="B175" s="77">
        <f>'09Mar2026'!W29</f>
        <v>0</v>
      </c>
    </row>
    <row r="176" spans="1:2" x14ac:dyDescent="0.25">
      <c r="A176" s="2" t="s">
        <v>382</v>
      </c>
      <c r="B176" s="77">
        <f>'09Mar2026'!X29</f>
        <v>0</v>
      </c>
    </row>
    <row r="177" spans="1:2" x14ac:dyDescent="0.25">
      <c r="A177" s="2" t="s">
        <v>383</v>
      </c>
      <c r="B177" s="77">
        <f>'09Mar2026'!Y29</f>
        <v>0</v>
      </c>
    </row>
    <row r="178" spans="1:2" x14ac:dyDescent="0.25">
      <c r="A178" s="2" t="s">
        <v>384</v>
      </c>
      <c r="B178" s="77">
        <f>'09Mar2026'!Z29</f>
        <v>0</v>
      </c>
    </row>
    <row r="179" spans="1:2" x14ac:dyDescent="0.25">
      <c r="A179" s="2" t="s">
        <v>385</v>
      </c>
      <c r="B179" s="77">
        <f>'09Mar2026'!AA29</f>
        <v>0</v>
      </c>
    </row>
    <row r="180" spans="1:2" x14ac:dyDescent="0.25">
      <c r="A180" s="2" t="s">
        <v>386</v>
      </c>
      <c r="B180" s="77">
        <f>'09Mar2026'!AB29</f>
        <v>0</v>
      </c>
    </row>
    <row r="181" spans="1:2" x14ac:dyDescent="0.25">
      <c r="A181" s="2" t="s">
        <v>387</v>
      </c>
      <c r="B181" s="77">
        <f>'09Mar2026'!AC29</f>
        <v>0</v>
      </c>
    </row>
    <row r="182" spans="1:2" x14ac:dyDescent="0.25">
      <c r="A182" s="2" t="s">
        <v>388</v>
      </c>
      <c r="B182" s="77">
        <f>'09Mar2026'!AD29</f>
        <v>0</v>
      </c>
    </row>
    <row r="183" spans="1:2" x14ac:dyDescent="0.25">
      <c r="A183" s="2" t="s">
        <v>389</v>
      </c>
      <c r="B183" s="77">
        <f>'09Mar2026'!Q30</f>
        <v>0</v>
      </c>
    </row>
    <row r="184" spans="1:2" x14ac:dyDescent="0.25">
      <c r="A184" s="2" t="s">
        <v>390</v>
      </c>
      <c r="B184" s="77">
        <f>'09Mar2026'!R30</f>
        <v>0</v>
      </c>
    </row>
    <row r="185" spans="1:2" x14ac:dyDescent="0.25">
      <c r="A185" s="2" t="s">
        <v>391</v>
      </c>
      <c r="B185" s="77">
        <f>'09Mar2026'!S30</f>
        <v>0</v>
      </c>
    </row>
    <row r="186" spans="1:2" x14ac:dyDescent="0.25">
      <c r="A186" s="2" t="s">
        <v>392</v>
      </c>
      <c r="B186" s="77">
        <f>'09Mar2026'!T30</f>
        <v>0</v>
      </c>
    </row>
    <row r="187" spans="1:2" x14ac:dyDescent="0.25">
      <c r="A187" s="2" t="s">
        <v>393</v>
      </c>
      <c r="B187" s="77">
        <f>'09Mar2026'!U30</f>
        <v>0</v>
      </c>
    </row>
    <row r="188" spans="1:2" x14ac:dyDescent="0.25">
      <c r="A188" s="2" t="s">
        <v>394</v>
      </c>
      <c r="B188" s="77">
        <f>'09Mar2026'!V30</f>
        <v>0</v>
      </c>
    </row>
    <row r="189" spans="1:2" x14ac:dyDescent="0.25">
      <c r="A189" s="2" t="s">
        <v>395</v>
      </c>
      <c r="B189" s="77">
        <f>'09Mar2026'!W30</f>
        <v>0</v>
      </c>
    </row>
    <row r="190" spans="1:2" x14ac:dyDescent="0.25">
      <c r="A190" s="2" t="s">
        <v>396</v>
      </c>
      <c r="B190" s="77">
        <f>'09Mar2026'!X30</f>
        <v>0</v>
      </c>
    </row>
    <row r="191" spans="1:2" x14ac:dyDescent="0.25">
      <c r="A191" s="2" t="s">
        <v>397</v>
      </c>
      <c r="B191" s="77">
        <f>'09Mar2026'!Y30</f>
        <v>0</v>
      </c>
    </row>
    <row r="192" spans="1:2" x14ac:dyDescent="0.25">
      <c r="A192" s="2" t="s">
        <v>398</v>
      </c>
      <c r="B192" s="77">
        <f>'09Mar2026'!Z30</f>
        <v>0</v>
      </c>
    </row>
    <row r="193" spans="1:2" x14ac:dyDescent="0.25">
      <c r="A193" s="2" t="s">
        <v>399</v>
      </c>
      <c r="B193" s="77">
        <f>'09Mar2026'!AA30</f>
        <v>0</v>
      </c>
    </row>
    <row r="194" spans="1:2" x14ac:dyDescent="0.25">
      <c r="A194" s="2" t="s">
        <v>400</v>
      </c>
      <c r="B194" s="77">
        <f>'09Mar2026'!AB30</f>
        <v>0</v>
      </c>
    </row>
    <row r="195" spans="1:2" x14ac:dyDescent="0.25">
      <c r="A195" s="2" t="s">
        <v>401</v>
      </c>
      <c r="B195" s="77">
        <f>'09Mar2026'!AC30</f>
        <v>0</v>
      </c>
    </row>
    <row r="196" spans="1:2" x14ac:dyDescent="0.25">
      <c r="A196" s="2" t="s">
        <v>402</v>
      </c>
      <c r="B196" s="77">
        <f>'09Mar2026'!Z31</f>
        <v>0</v>
      </c>
    </row>
    <row r="197" spans="1:2" x14ac:dyDescent="0.25">
      <c r="A197" s="2" t="s">
        <v>403</v>
      </c>
      <c r="B197" s="77">
        <f>'09Mar2026'!Q32</f>
        <v>0</v>
      </c>
    </row>
    <row r="198" spans="1:2" x14ac:dyDescent="0.25">
      <c r="A198" s="2" t="s">
        <v>404</v>
      </c>
      <c r="B198" s="77">
        <f>'09Mar2026'!R32</f>
        <v>0</v>
      </c>
    </row>
    <row r="199" spans="1:2" x14ac:dyDescent="0.25">
      <c r="A199" s="2" t="s">
        <v>405</v>
      </c>
      <c r="B199" s="77">
        <f>'09Mar2026'!S32</f>
        <v>0</v>
      </c>
    </row>
    <row r="200" spans="1:2" x14ac:dyDescent="0.25">
      <c r="A200" s="2" t="s">
        <v>406</v>
      </c>
      <c r="B200" s="77">
        <f>'09Mar2026'!T32</f>
        <v>0</v>
      </c>
    </row>
    <row r="201" spans="1:2" x14ac:dyDescent="0.25">
      <c r="A201" s="2" t="s">
        <v>407</v>
      </c>
      <c r="B201" s="77">
        <f>'09Mar2026'!U32</f>
        <v>0</v>
      </c>
    </row>
    <row r="202" spans="1:2" x14ac:dyDescent="0.25">
      <c r="A202" s="2" t="s">
        <v>408</v>
      </c>
      <c r="B202" s="77">
        <f>'09Mar2026'!V32</f>
        <v>0</v>
      </c>
    </row>
    <row r="203" spans="1:2" x14ac:dyDescent="0.25">
      <c r="A203" s="2" t="s">
        <v>409</v>
      </c>
      <c r="B203" s="77">
        <f>'09Mar2026'!W32</f>
        <v>0</v>
      </c>
    </row>
    <row r="204" spans="1:2" x14ac:dyDescent="0.25">
      <c r="A204" s="2" t="s">
        <v>410</v>
      </c>
      <c r="B204" s="77">
        <f>'09Mar2026'!X32</f>
        <v>0</v>
      </c>
    </row>
    <row r="205" spans="1:2" x14ac:dyDescent="0.25">
      <c r="A205" s="2" t="s">
        <v>411</v>
      </c>
      <c r="B205" s="77">
        <f>'09Mar2026'!Y32</f>
        <v>0</v>
      </c>
    </row>
    <row r="206" spans="1:2" x14ac:dyDescent="0.25">
      <c r="A206" s="2" t="s">
        <v>412</v>
      </c>
      <c r="B206" s="77">
        <f>'09Mar2026'!Z32</f>
        <v>0</v>
      </c>
    </row>
    <row r="207" spans="1:2" x14ac:dyDescent="0.25">
      <c r="A207" s="2" t="s">
        <v>413</v>
      </c>
      <c r="B207" s="77">
        <f>'09Mar2026'!Z33</f>
        <v>0</v>
      </c>
    </row>
    <row r="208" spans="1:2" x14ac:dyDescent="0.25">
      <c r="A208" s="2" t="s">
        <v>414</v>
      </c>
      <c r="B208" s="77">
        <f>'09Mar2026'!Q34</f>
        <v>0</v>
      </c>
    </row>
    <row r="209" spans="1:2" x14ac:dyDescent="0.25">
      <c r="A209" s="2" t="s">
        <v>415</v>
      </c>
      <c r="B209" s="77">
        <f>'09Mar2026'!R34</f>
        <v>0</v>
      </c>
    </row>
    <row r="210" spans="1:2" x14ac:dyDescent="0.25">
      <c r="A210" s="2" t="s">
        <v>416</v>
      </c>
      <c r="B210" s="77">
        <f>'09Mar2026'!S34</f>
        <v>0</v>
      </c>
    </row>
    <row r="211" spans="1:2" x14ac:dyDescent="0.25">
      <c r="A211" s="2" t="s">
        <v>417</v>
      </c>
      <c r="B211" s="77">
        <f>'09Mar2026'!T34</f>
        <v>0</v>
      </c>
    </row>
    <row r="212" spans="1:2" x14ac:dyDescent="0.25">
      <c r="A212" s="2" t="s">
        <v>418</v>
      </c>
      <c r="B212" s="77">
        <f>'09Mar2026'!U34</f>
        <v>0</v>
      </c>
    </row>
    <row r="213" spans="1:2" x14ac:dyDescent="0.25">
      <c r="A213" s="2" t="s">
        <v>419</v>
      </c>
      <c r="B213" s="77">
        <f>'09Mar2026'!V34</f>
        <v>0</v>
      </c>
    </row>
    <row r="214" spans="1:2" x14ac:dyDescent="0.25">
      <c r="A214" s="2" t="s">
        <v>420</v>
      </c>
      <c r="B214" s="77">
        <f>'09Mar2026'!W34</f>
        <v>0</v>
      </c>
    </row>
    <row r="215" spans="1:2" x14ac:dyDescent="0.25">
      <c r="A215" s="2" t="s">
        <v>421</v>
      </c>
      <c r="B215" s="77">
        <f>'09Mar2026'!X34</f>
        <v>0</v>
      </c>
    </row>
    <row r="216" spans="1:2" x14ac:dyDescent="0.25">
      <c r="A216" s="2" t="s">
        <v>422</v>
      </c>
      <c r="B216" s="77">
        <f>'09Mar2026'!Y34</f>
        <v>0</v>
      </c>
    </row>
    <row r="217" spans="1:2" x14ac:dyDescent="0.25">
      <c r="A217" s="2" t="s">
        <v>423</v>
      </c>
      <c r="B217" s="77">
        <f>'09Mar2026'!Z34</f>
        <v>0</v>
      </c>
    </row>
    <row r="218" spans="1:2" x14ac:dyDescent="0.25">
      <c r="A218" s="2" t="s">
        <v>424</v>
      </c>
      <c r="B218" s="77">
        <f>'09Mar2026'!AA34</f>
        <v>0</v>
      </c>
    </row>
    <row r="219" spans="1:2" x14ac:dyDescent="0.25">
      <c r="A219" s="2" t="s">
        <v>425</v>
      </c>
      <c r="B219" s="77">
        <f>'09Mar2026'!AB34</f>
        <v>0</v>
      </c>
    </row>
    <row r="220" spans="1:2" x14ac:dyDescent="0.25">
      <c r="A220" s="2" t="s">
        <v>426</v>
      </c>
      <c r="B220" s="77">
        <f>'09Mar2026'!AC34</f>
        <v>0</v>
      </c>
    </row>
    <row r="221" spans="1:2" x14ac:dyDescent="0.25">
      <c r="A221" s="2" t="s">
        <v>427</v>
      </c>
      <c r="B221" s="77">
        <f>'09Mar2026'!AD34</f>
        <v>0</v>
      </c>
    </row>
    <row r="222" spans="1:2" x14ac:dyDescent="0.25">
      <c r="A222" s="2" t="s">
        <v>428</v>
      </c>
      <c r="B222" s="77">
        <f>'09Mar2026'!Q35</f>
        <v>0</v>
      </c>
    </row>
    <row r="223" spans="1:2" x14ac:dyDescent="0.25">
      <c r="A223" s="2" t="s">
        <v>429</v>
      </c>
      <c r="B223" s="77">
        <f>'09Mar2026'!R35</f>
        <v>0</v>
      </c>
    </row>
    <row r="224" spans="1:2" x14ac:dyDescent="0.25">
      <c r="A224" s="2" t="s">
        <v>430</v>
      </c>
      <c r="B224" s="77">
        <f>'09Mar2026'!S35</f>
        <v>0</v>
      </c>
    </row>
    <row r="225" spans="1:2" x14ac:dyDescent="0.25">
      <c r="A225" s="2" t="s">
        <v>431</v>
      </c>
      <c r="B225" s="77">
        <f>'09Mar2026'!T35</f>
        <v>0</v>
      </c>
    </row>
    <row r="226" spans="1:2" x14ac:dyDescent="0.25">
      <c r="A226" s="2" t="s">
        <v>432</v>
      </c>
      <c r="B226" s="77">
        <f>'09Mar2026'!U35</f>
        <v>0</v>
      </c>
    </row>
    <row r="227" spans="1:2" x14ac:dyDescent="0.25">
      <c r="A227" s="2" t="s">
        <v>433</v>
      </c>
      <c r="B227" s="77">
        <f>'09Mar2026'!V35</f>
        <v>0</v>
      </c>
    </row>
    <row r="228" spans="1:2" x14ac:dyDescent="0.25">
      <c r="A228" s="2" t="s">
        <v>434</v>
      </c>
      <c r="B228" s="77">
        <f>'09Mar2026'!W35</f>
        <v>0</v>
      </c>
    </row>
    <row r="229" spans="1:2" x14ac:dyDescent="0.25">
      <c r="A229" s="2" t="s">
        <v>435</v>
      </c>
      <c r="B229" s="77">
        <f>'09Mar2026'!X35</f>
        <v>0</v>
      </c>
    </row>
    <row r="230" spans="1:2" x14ac:dyDescent="0.25">
      <c r="A230" s="2" t="s">
        <v>436</v>
      </c>
      <c r="B230" s="77">
        <f>'09Mar2026'!Y35</f>
        <v>0</v>
      </c>
    </row>
    <row r="231" spans="1:2" x14ac:dyDescent="0.25">
      <c r="A231" s="2" t="s">
        <v>437</v>
      </c>
      <c r="B231" s="77">
        <f>'09Mar2026'!Z35</f>
        <v>0</v>
      </c>
    </row>
    <row r="232" spans="1:2" x14ac:dyDescent="0.25">
      <c r="A232" s="2" t="s">
        <v>438</v>
      </c>
      <c r="B232" s="77">
        <f>'09Mar2026'!AA35</f>
        <v>0</v>
      </c>
    </row>
    <row r="233" spans="1:2" x14ac:dyDescent="0.25">
      <c r="A233" s="2" t="s">
        <v>439</v>
      </c>
      <c r="B233" s="77">
        <f>'09Mar2026'!AB35</f>
        <v>0</v>
      </c>
    </row>
    <row r="234" spans="1:2" x14ac:dyDescent="0.25">
      <c r="A234" s="2" t="s">
        <v>440</v>
      </c>
      <c r="B234" s="77">
        <f>'09Mar2026'!AC35</f>
        <v>0</v>
      </c>
    </row>
    <row r="235" spans="1:2" x14ac:dyDescent="0.25">
      <c r="A235" s="2" t="s">
        <v>441</v>
      </c>
      <c r="B235" s="77">
        <f>'09Mar2026'!AD35</f>
        <v>0</v>
      </c>
    </row>
    <row r="236" spans="1:2" x14ac:dyDescent="0.25">
      <c r="A236" s="2" t="s">
        <v>442</v>
      </c>
      <c r="B236" s="77">
        <f>'09Mar2026'!Q36</f>
        <v>0</v>
      </c>
    </row>
    <row r="237" spans="1:2" x14ac:dyDescent="0.25">
      <c r="A237" s="2" t="s">
        <v>443</v>
      </c>
      <c r="B237" s="77">
        <f>'09Mar2026'!R36</f>
        <v>0</v>
      </c>
    </row>
    <row r="238" spans="1:2" x14ac:dyDescent="0.25">
      <c r="A238" s="2" t="s">
        <v>444</v>
      </c>
      <c r="B238" s="77">
        <f>'09Mar2026'!S36</f>
        <v>0</v>
      </c>
    </row>
    <row r="239" spans="1:2" x14ac:dyDescent="0.25">
      <c r="A239" s="2" t="s">
        <v>445</v>
      </c>
      <c r="B239" s="77">
        <f>'09Mar2026'!T36</f>
        <v>0</v>
      </c>
    </row>
    <row r="240" spans="1:2" x14ac:dyDescent="0.25">
      <c r="A240" s="2" t="s">
        <v>446</v>
      </c>
      <c r="B240" s="77">
        <f>'09Mar2026'!U36</f>
        <v>0</v>
      </c>
    </row>
    <row r="241" spans="1:2" x14ac:dyDescent="0.25">
      <c r="A241" s="2" t="s">
        <v>447</v>
      </c>
      <c r="B241" s="77">
        <f>'09Mar2026'!V36</f>
        <v>0</v>
      </c>
    </row>
    <row r="242" spans="1:2" x14ac:dyDescent="0.25">
      <c r="A242" s="2" t="s">
        <v>448</v>
      </c>
      <c r="B242" s="77">
        <f>'09Mar2026'!W36</f>
        <v>0</v>
      </c>
    </row>
    <row r="243" spans="1:2" x14ac:dyDescent="0.25">
      <c r="A243" s="2" t="s">
        <v>449</v>
      </c>
      <c r="B243" s="77">
        <f>'09Mar2026'!X36</f>
        <v>0</v>
      </c>
    </row>
    <row r="244" spans="1:2" x14ac:dyDescent="0.25">
      <c r="A244" s="2" t="s">
        <v>450</v>
      </c>
      <c r="B244" s="77">
        <f>'09Mar2026'!Y36</f>
        <v>0</v>
      </c>
    </row>
    <row r="245" spans="1:2" x14ac:dyDescent="0.25">
      <c r="A245" s="2" t="s">
        <v>451</v>
      </c>
      <c r="B245" s="77">
        <f>'09Mar2026'!AA36</f>
        <v>0</v>
      </c>
    </row>
    <row r="246" spans="1:2" x14ac:dyDescent="0.25">
      <c r="A246" s="2" t="s">
        <v>452</v>
      </c>
      <c r="B246" s="77">
        <f>'09Mar2026'!AB36</f>
        <v>0</v>
      </c>
    </row>
    <row r="247" spans="1:2" x14ac:dyDescent="0.25">
      <c r="A247" s="2" t="s">
        <v>453</v>
      </c>
      <c r="B247" s="77">
        <f>'09Mar2026'!AC36</f>
        <v>0</v>
      </c>
    </row>
    <row r="248" spans="1:2" x14ac:dyDescent="0.25">
      <c r="A248" s="2" t="s">
        <v>454</v>
      </c>
      <c r="B248" s="77">
        <f>'09Mar2026'!AD36</f>
        <v>0</v>
      </c>
    </row>
    <row r="249" spans="1:2" x14ac:dyDescent="0.25">
      <c r="A249" s="2" t="s">
        <v>455</v>
      </c>
      <c r="B249" s="77">
        <f>'09Mar2026'!AD37</f>
        <v>0</v>
      </c>
    </row>
    <row r="250" spans="1:2" x14ac:dyDescent="0.25">
      <c r="A250" s="2" t="s">
        <v>456</v>
      </c>
      <c r="B250" s="77">
        <f>'09Mar2026'!Q38</f>
        <v>0</v>
      </c>
    </row>
    <row r="251" spans="1:2" x14ac:dyDescent="0.25">
      <c r="A251" s="2" t="s">
        <v>457</v>
      </c>
      <c r="B251" s="77">
        <f>'09Mar2026'!R38</f>
        <v>0</v>
      </c>
    </row>
    <row r="252" spans="1:2" x14ac:dyDescent="0.25">
      <c r="A252" s="2" t="s">
        <v>458</v>
      </c>
      <c r="B252" s="77">
        <f>'09Mar2026'!S38</f>
        <v>0</v>
      </c>
    </row>
    <row r="253" spans="1:2" x14ac:dyDescent="0.25">
      <c r="A253" s="2" t="s">
        <v>459</v>
      </c>
      <c r="B253" s="77">
        <f>'09Mar2026'!T38</f>
        <v>0</v>
      </c>
    </row>
    <row r="254" spans="1:2" x14ac:dyDescent="0.25">
      <c r="A254" s="2" t="s">
        <v>460</v>
      </c>
      <c r="B254" s="77">
        <f>'09Mar2026'!U38</f>
        <v>0</v>
      </c>
    </row>
    <row r="255" spans="1:2" x14ac:dyDescent="0.25">
      <c r="A255" s="2" t="s">
        <v>461</v>
      </c>
      <c r="B255" s="77">
        <f>'09Mar2026'!V38</f>
        <v>0</v>
      </c>
    </row>
    <row r="256" spans="1:2" x14ac:dyDescent="0.25">
      <c r="A256" s="2" t="s">
        <v>462</v>
      </c>
      <c r="B256" s="77">
        <f>'09Mar2026'!W38</f>
        <v>0</v>
      </c>
    </row>
    <row r="257" spans="1:2" x14ac:dyDescent="0.25">
      <c r="A257" s="2" t="s">
        <v>463</v>
      </c>
      <c r="B257" s="77">
        <f>'09Mar2026'!X38</f>
        <v>0</v>
      </c>
    </row>
    <row r="258" spans="1:2" x14ac:dyDescent="0.25">
      <c r="A258" s="2" t="s">
        <v>464</v>
      </c>
      <c r="B258" s="77">
        <f>'09Mar2026'!Y38</f>
        <v>0</v>
      </c>
    </row>
    <row r="259" spans="1:2" x14ac:dyDescent="0.25">
      <c r="A259" s="2" t="s">
        <v>465</v>
      </c>
      <c r="B259" s="77">
        <f>'09Mar2026'!AA38</f>
        <v>0</v>
      </c>
    </row>
    <row r="260" spans="1:2" x14ac:dyDescent="0.25">
      <c r="A260" s="2" t="s">
        <v>466</v>
      </c>
      <c r="B260" s="77">
        <f>'09Mar2026'!AB38</f>
        <v>0</v>
      </c>
    </row>
    <row r="261" spans="1:2" x14ac:dyDescent="0.25">
      <c r="A261" s="2" t="s">
        <v>467</v>
      </c>
      <c r="B261" s="77">
        <f>'09Mar2026'!AC38</f>
        <v>0</v>
      </c>
    </row>
    <row r="262" spans="1:2" x14ac:dyDescent="0.25">
      <c r="A262" s="2" t="s">
        <v>468</v>
      </c>
      <c r="B262" s="77">
        <f>'09Mar2026'!AD38</f>
        <v>0</v>
      </c>
    </row>
    <row r="263" spans="1:2" x14ac:dyDescent="0.25">
      <c r="A263" s="2" t="s">
        <v>469</v>
      </c>
      <c r="B263" s="77">
        <f>'09Mar2026'!Q39</f>
        <v>0</v>
      </c>
    </row>
    <row r="264" spans="1:2" x14ac:dyDescent="0.25">
      <c r="A264" s="2" t="s">
        <v>470</v>
      </c>
      <c r="B264" s="77">
        <f>'09Mar2026'!R39</f>
        <v>0</v>
      </c>
    </row>
    <row r="265" spans="1:2" x14ac:dyDescent="0.25">
      <c r="A265" s="2" t="s">
        <v>471</v>
      </c>
      <c r="B265" s="77">
        <f>'09Mar2026'!S39</f>
        <v>0</v>
      </c>
    </row>
    <row r="266" spans="1:2" x14ac:dyDescent="0.25">
      <c r="A266" s="2" t="s">
        <v>472</v>
      </c>
      <c r="B266" s="77">
        <f>'09Mar2026'!T39</f>
        <v>0</v>
      </c>
    </row>
    <row r="267" spans="1:2" x14ac:dyDescent="0.25">
      <c r="A267" s="2" t="s">
        <v>473</v>
      </c>
      <c r="B267" s="77">
        <f>'09Mar2026'!U39</f>
        <v>0</v>
      </c>
    </row>
    <row r="268" spans="1:2" x14ac:dyDescent="0.25">
      <c r="A268" s="2" t="s">
        <v>474</v>
      </c>
      <c r="B268" s="77">
        <f>'09Mar2026'!V39</f>
        <v>0</v>
      </c>
    </row>
    <row r="269" spans="1:2" x14ac:dyDescent="0.25">
      <c r="A269" s="2" t="s">
        <v>475</v>
      </c>
      <c r="B269" s="77">
        <f>'09Mar2026'!W39</f>
        <v>0</v>
      </c>
    </row>
    <row r="270" spans="1:2" x14ac:dyDescent="0.25">
      <c r="A270" s="2" t="s">
        <v>476</v>
      </c>
      <c r="B270" s="77">
        <f>'09Mar2026'!X39</f>
        <v>0</v>
      </c>
    </row>
    <row r="271" spans="1:2" x14ac:dyDescent="0.25">
      <c r="A271" s="2" t="s">
        <v>477</v>
      </c>
      <c r="B271" s="77">
        <f>'09Mar2026'!Y39</f>
        <v>0</v>
      </c>
    </row>
    <row r="272" spans="1:2" x14ac:dyDescent="0.25">
      <c r="A272" s="2" t="s">
        <v>478</v>
      </c>
      <c r="B272" s="77">
        <f>'09Mar2026'!AA39</f>
        <v>0</v>
      </c>
    </row>
    <row r="273" spans="1:2" x14ac:dyDescent="0.25">
      <c r="A273" s="2" t="s">
        <v>479</v>
      </c>
      <c r="B273" s="77">
        <f>'09Mar2026'!AB39</f>
        <v>0</v>
      </c>
    </row>
    <row r="274" spans="1:2" x14ac:dyDescent="0.25">
      <c r="A274" s="2" t="s">
        <v>480</v>
      </c>
      <c r="B274" s="77">
        <f>'09Mar2026'!AC39</f>
        <v>0</v>
      </c>
    </row>
    <row r="275" spans="1:2" x14ac:dyDescent="0.25">
      <c r="A275" s="2" t="s">
        <v>481</v>
      </c>
      <c r="B275" s="77">
        <f>'09Mar2026'!AD39</f>
        <v>0</v>
      </c>
    </row>
    <row r="276" spans="1:2" x14ac:dyDescent="0.25">
      <c r="A276" s="2" t="s">
        <v>482</v>
      </c>
      <c r="B276" s="77">
        <f>'09Mar2026'!Q40</f>
        <v>0</v>
      </c>
    </row>
    <row r="277" spans="1:2" x14ac:dyDescent="0.25">
      <c r="A277" s="2" t="s">
        <v>483</v>
      </c>
      <c r="B277" s="77">
        <f>'09Mar2026'!R40</f>
        <v>0</v>
      </c>
    </row>
    <row r="278" spans="1:2" x14ac:dyDescent="0.25">
      <c r="A278" s="2" t="s">
        <v>484</v>
      </c>
      <c r="B278" s="77">
        <f>'09Mar2026'!S40</f>
        <v>0</v>
      </c>
    </row>
    <row r="279" spans="1:2" x14ac:dyDescent="0.25">
      <c r="A279" s="2" t="s">
        <v>485</v>
      </c>
      <c r="B279" s="77">
        <f>'09Mar2026'!T40</f>
        <v>0</v>
      </c>
    </row>
    <row r="280" spans="1:2" x14ac:dyDescent="0.25">
      <c r="A280" s="2" t="s">
        <v>486</v>
      </c>
      <c r="B280" s="77">
        <f>'09Mar2026'!U40</f>
        <v>0</v>
      </c>
    </row>
    <row r="281" spans="1:2" x14ac:dyDescent="0.25">
      <c r="A281" s="2" t="s">
        <v>487</v>
      </c>
      <c r="B281" s="77">
        <f>'09Mar2026'!V40</f>
        <v>0</v>
      </c>
    </row>
    <row r="282" spans="1:2" x14ac:dyDescent="0.25">
      <c r="A282" s="2" t="s">
        <v>488</v>
      </c>
      <c r="B282" s="77">
        <f>'09Mar2026'!W40</f>
        <v>0</v>
      </c>
    </row>
    <row r="283" spans="1:2" x14ac:dyDescent="0.25">
      <c r="A283" s="2" t="s">
        <v>489</v>
      </c>
      <c r="B283" s="77">
        <f>'09Mar2026'!X40</f>
        <v>0</v>
      </c>
    </row>
    <row r="284" spans="1:2" x14ac:dyDescent="0.25">
      <c r="A284" s="2" t="s">
        <v>490</v>
      </c>
      <c r="B284" s="77">
        <f>'09Mar2026'!Y40</f>
        <v>0</v>
      </c>
    </row>
    <row r="285" spans="1:2" x14ac:dyDescent="0.25">
      <c r="A285" s="2" t="s">
        <v>491</v>
      </c>
      <c r="B285" s="77">
        <f>'09Mar2026'!AA40</f>
        <v>0</v>
      </c>
    </row>
    <row r="286" spans="1:2" x14ac:dyDescent="0.25">
      <c r="A286" s="2" t="s">
        <v>492</v>
      </c>
      <c r="B286" s="77">
        <f>'09Mar2026'!AB40</f>
        <v>0</v>
      </c>
    </row>
    <row r="287" spans="1:2" x14ac:dyDescent="0.25">
      <c r="A287" s="2" t="s">
        <v>493</v>
      </c>
      <c r="B287" s="77">
        <f>'09Mar2026'!AC40</f>
        <v>0</v>
      </c>
    </row>
    <row r="288" spans="1:2" x14ac:dyDescent="0.25">
      <c r="A288" s="2" t="s">
        <v>494</v>
      </c>
      <c r="B288" s="77">
        <f>'09Mar2026'!AD40</f>
        <v>0</v>
      </c>
    </row>
    <row r="289" spans="1:2" x14ac:dyDescent="0.25">
      <c r="A289" s="2" t="s">
        <v>495</v>
      </c>
      <c r="B289" s="77">
        <f>'09Mar2026'!Q41</f>
        <v>0</v>
      </c>
    </row>
    <row r="290" spans="1:2" x14ac:dyDescent="0.25">
      <c r="A290" s="2" t="s">
        <v>496</v>
      </c>
      <c r="B290" s="77">
        <f>'09Mar2026'!R41</f>
        <v>0</v>
      </c>
    </row>
    <row r="291" spans="1:2" x14ac:dyDescent="0.25">
      <c r="A291" s="2" t="s">
        <v>497</v>
      </c>
      <c r="B291" s="77">
        <f>'09Mar2026'!S41</f>
        <v>0</v>
      </c>
    </row>
    <row r="292" spans="1:2" x14ac:dyDescent="0.25">
      <c r="A292" s="2" t="s">
        <v>498</v>
      </c>
      <c r="B292" s="77">
        <f>'09Mar2026'!T41</f>
        <v>0</v>
      </c>
    </row>
    <row r="293" spans="1:2" x14ac:dyDescent="0.25">
      <c r="A293" s="2" t="s">
        <v>499</v>
      </c>
      <c r="B293" s="77">
        <f>'09Mar2026'!U41</f>
        <v>0</v>
      </c>
    </row>
    <row r="294" spans="1:2" x14ac:dyDescent="0.25">
      <c r="A294" s="2" t="s">
        <v>500</v>
      </c>
      <c r="B294" s="77">
        <f>'09Mar2026'!V41</f>
        <v>0</v>
      </c>
    </row>
    <row r="295" spans="1:2" x14ac:dyDescent="0.25">
      <c r="A295" s="2" t="s">
        <v>501</v>
      </c>
      <c r="B295" s="77">
        <f>'09Mar2026'!W41</f>
        <v>0</v>
      </c>
    </row>
    <row r="296" spans="1:2" x14ac:dyDescent="0.25">
      <c r="A296" s="2" t="s">
        <v>502</v>
      </c>
      <c r="B296" s="77">
        <f>'09Mar2026'!X41</f>
        <v>0</v>
      </c>
    </row>
    <row r="297" spans="1:2" x14ac:dyDescent="0.25">
      <c r="A297" s="2" t="s">
        <v>503</v>
      </c>
      <c r="B297" s="77">
        <f>'09Mar2026'!Y41</f>
        <v>0</v>
      </c>
    </row>
    <row r="298" spans="1:2" x14ac:dyDescent="0.25">
      <c r="A298" s="2" t="s">
        <v>504</v>
      </c>
      <c r="B298" s="77">
        <f>'09Mar2026'!AA41</f>
        <v>0</v>
      </c>
    </row>
    <row r="299" spans="1:2" x14ac:dyDescent="0.25">
      <c r="A299" s="2" t="s">
        <v>505</v>
      </c>
      <c r="B299" s="77">
        <f>'09Mar2026'!AB41</f>
        <v>0</v>
      </c>
    </row>
    <row r="300" spans="1:2" x14ac:dyDescent="0.25">
      <c r="A300" s="2" t="s">
        <v>506</v>
      </c>
      <c r="B300" s="77">
        <f>'09Mar2026'!AC41</f>
        <v>0</v>
      </c>
    </row>
    <row r="301" spans="1:2" x14ac:dyDescent="0.25">
      <c r="A301" s="2" t="s">
        <v>507</v>
      </c>
      <c r="B301" s="77">
        <f>'09Mar2026'!AD41</f>
        <v>0</v>
      </c>
    </row>
    <row r="302" spans="1:2" x14ac:dyDescent="0.25">
      <c r="A302" s="2" t="s">
        <v>508</v>
      </c>
      <c r="B302" s="77">
        <f>'09Mar2026'!Q42</f>
        <v>0</v>
      </c>
    </row>
    <row r="303" spans="1:2" x14ac:dyDescent="0.25">
      <c r="A303" s="2" t="s">
        <v>509</v>
      </c>
      <c r="B303" s="77">
        <f>'09Mar2026'!R42</f>
        <v>0</v>
      </c>
    </row>
    <row r="304" spans="1:2" x14ac:dyDescent="0.25">
      <c r="A304" s="2" t="s">
        <v>510</v>
      </c>
      <c r="B304" s="77">
        <f>'09Mar2026'!S42</f>
        <v>0</v>
      </c>
    </row>
    <row r="305" spans="1:2" x14ac:dyDescent="0.25">
      <c r="A305" s="2" t="s">
        <v>511</v>
      </c>
      <c r="B305" s="77">
        <f>'09Mar2026'!T42</f>
        <v>0</v>
      </c>
    </row>
    <row r="306" spans="1:2" x14ac:dyDescent="0.25">
      <c r="A306" s="2" t="s">
        <v>512</v>
      </c>
      <c r="B306" s="77">
        <f>'09Mar2026'!U42</f>
        <v>0</v>
      </c>
    </row>
    <row r="307" spans="1:2" x14ac:dyDescent="0.25">
      <c r="A307" s="2" t="s">
        <v>513</v>
      </c>
      <c r="B307" s="77">
        <f>'09Mar2026'!V42</f>
        <v>0</v>
      </c>
    </row>
    <row r="308" spans="1:2" x14ac:dyDescent="0.25">
      <c r="A308" s="2" t="s">
        <v>514</v>
      </c>
      <c r="B308" s="77">
        <f>'09Mar2026'!W42</f>
        <v>0</v>
      </c>
    </row>
    <row r="309" spans="1:2" x14ac:dyDescent="0.25">
      <c r="A309" s="2" t="s">
        <v>515</v>
      </c>
      <c r="B309" s="77">
        <f>'09Mar2026'!X42</f>
        <v>0</v>
      </c>
    </row>
    <row r="310" spans="1:2" x14ac:dyDescent="0.25">
      <c r="A310" s="2" t="s">
        <v>516</v>
      </c>
      <c r="B310" s="77">
        <f>'09Mar2026'!Y42</f>
        <v>0</v>
      </c>
    </row>
    <row r="311" spans="1:2" x14ac:dyDescent="0.25">
      <c r="A311" s="2" t="s">
        <v>517</v>
      </c>
      <c r="B311" s="77">
        <f>'09Mar2026'!AA42</f>
        <v>0</v>
      </c>
    </row>
    <row r="312" spans="1:2" x14ac:dyDescent="0.25">
      <c r="A312" s="2" t="s">
        <v>518</v>
      </c>
      <c r="B312" s="77">
        <f>'09Mar2026'!AB42</f>
        <v>0</v>
      </c>
    </row>
    <row r="313" spans="1:2" x14ac:dyDescent="0.25">
      <c r="A313" s="2" t="s">
        <v>519</v>
      </c>
      <c r="B313" s="77">
        <f>'09Mar2026'!AC42</f>
        <v>0</v>
      </c>
    </row>
    <row r="314" spans="1:2" x14ac:dyDescent="0.25">
      <c r="A314" s="2" t="s">
        <v>520</v>
      </c>
      <c r="B314" s="77">
        <f>'09Mar2026'!AD42</f>
        <v>0</v>
      </c>
    </row>
    <row r="315" spans="1:2" x14ac:dyDescent="0.25">
      <c r="A315" s="2" t="s">
        <v>521</v>
      </c>
      <c r="B315" s="77">
        <f>'09Mar2026'!Q43</f>
        <v>0</v>
      </c>
    </row>
    <row r="316" spans="1:2" x14ac:dyDescent="0.25">
      <c r="A316" s="2" t="s">
        <v>522</v>
      </c>
      <c r="B316" s="77">
        <f>'09Mar2026'!R43</f>
        <v>0</v>
      </c>
    </row>
    <row r="317" spans="1:2" x14ac:dyDescent="0.25">
      <c r="A317" s="2" t="s">
        <v>523</v>
      </c>
      <c r="B317" s="77">
        <f>'09Mar2026'!S43</f>
        <v>0</v>
      </c>
    </row>
    <row r="318" spans="1:2" x14ac:dyDescent="0.25">
      <c r="A318" s="2" t="s">
        <v>524</v>
      </c>
      <c r="B318" s="77">
        <f>'09Mar2026'!T43</f>
        <v>0</v>
      </c>
    </row>
    <row r="319" spans="1:2" x14ac:dyDescent="0.25">
      <c r="A319" s="2" t="s">
        <v>525</v>
      </c>
      <c r="B319" s="77">
        <f>'09Mar2026'!U43</f>
        <v>0</v>
      </c>
    </row>
    <row r="320" spans="1:2" x14ac:dyDescent="0.25">
      <c r="A320" s="2" t="s">
        <v>526</v>
      </c>
      <c r="B320" s="77">
        <f>'09Mar2026'!V43</f>
        <v>0</v>
      </c>
    </row>
    <row r="321" spans="1:2" x14ac:dyDescent="0.25">
      <c r="A321" s="2" t="s">
        <v>527</v>
      </c>
      <c r="B321" s="77">
        <f>'09Mar2026'!W43</f>
        <v>0</v>
      </c>
    </row>
    <row r="322" spans="1:2" x14ac:dyDescent="0.25">
      <c r="A322" s="2" t="s">
        <v>528</v>
      </c>
      <c r="B322" s="77">
        <f>'09Mar2026'!X43</f>
        <v>0</v>
      </c>
    </row>
    <row r="323" spans="1:2" x14ac:dyDescent="0.25">
      <c r="A323" s="2" t="s">
        <v>529</v>
      </c>
      <c r="B323" s="77">
        <f>'09Mar2026'!Y43</f>
        <v>0</v>
      </c>
    </row>
    <row r="324" spans="1:2" x14ac:dyDescent="0.25">
      <c r="A324" s="2" t="s">
        <v>530</v>
      </c>
      <c r="B324" s="77">
        <f>'09Mar2026'!AA43</f>
        <v>0</v>
      </c>
    </row>
    <row r="325" spans="1:2" x14ac:dyDescent="0.25">
      <c r="A325" s="2" t="s">
        <v>531</v>
      </c>
      <c r="B325" s="77">
        <f>'09Mar2026'!AB43</f>
        <v>0</v>
      </c>
    </row>
    <row r="326" spans="1:2" x14ac:dyDescent="0.25">
      <c r="A326" s="2" t="s">
        <v>532</v>
      </c>
      <c r="B326" s="77">
        <f>'09Mar2026'!AC43</f>
        <v>0</v>
      </c>
    </row>
    <row r="327" spans="1:2" x14ac:dyDescent="0.25">
      <c r="A327" s="2" t="s">
        <v>533</v>
      </c>
      <c r="B327" s="77">
        <f>'09Mar2026'!AD43</f>
        <v>0</v>
      </c>
    </row>
    <row r="328" spans="1:2" x14ac:dyDescent="0.25">
      <c r="A328" s="2" t="s">
        <v>534</v>
      </c>
      <c r="B328" s="77">
        <f>'09Mar2026'!Q44</f>
        <v>0</v>
      </c>
    </row>
    <row r="329" spans="1:2" x14ac:dyDescent="0.25">
      <c r="A329" s="2" t="s">
        <v>535</v>
      </c>
      <c r="B329" s="77">
        <f>'09Mar2026'!R44</f>
        <v>0</v>
      </c>
    </row>
    <row r="330" spans="1:2" x14ac:dyDescent="0.25">
      <c r="A330" s="2" t="s">
        <v>536</v>
      </c>
      <c r="B330" s="77">
        <f>'09Mar2026'!S44</f>
        <v>0</v>
      </c>
    </row>
    <row r="331" spans="1:2" x14ac:dyDescent="0.25">
      <c r="A331" s="2" t="s">
        <v>537</v>
      </c>
      <c r="B331" s="77">
        <f>'09Mar2026'!T44</f>
        <v>0</v>
      </c>
    </row>
    <row r="332" spans="1:2" x14ac:dyDescent="0.25">
      <c r="A332" s="2" t="s">
        <v>538</v>
      </c>
      <c r="B332" s="77">
        <f>'09Mar2026'!U44</f>
        <v>0</v>
      </c>
    </row>
    <row r="333" spans="1:2" x14ac:dyDescent="0.25">
      <c r="A333" s="2" t="s">
        <v>539</v>
      </c>
      <c r="B333" s="77">
        <f>'09Mar2026'!V44</f>
        <v>0</v>
      </c>
    </row>
    <row r="334" spans="1:2" x14ac:dyDescent="0.25">
      <c r="A334" s="2" t="s">
        <v>540</v>
      </c>
      <c r="B334" s="77">
        <f>'09Mar2026'!W44</f>
        <v>0</v>
      </c>
    </row>
    <row r="335" spans="1:2" x14ac:dyDescent="0.25">
      <c r="A335" s="2" t="s">
        <v>541</v>
      </c>
      <c r="B335" s="77">
        <f>'09Mar2026'!X44</f>
        <v>0</v>
      </c>
    </row>
    <row r="336" spans="1:2" x14ac:dyDescent="0.25">
      <c r="A336" s="2" t="s">
        <v>542</v>
      </c>
      <c r="B336" s="77">
        <f>'09Mar2026'!Y44</f>
        <v>0</v>
      </c>
    </row>
    <row r="337" spans="1:2" x14ac:dyDescent="0.25">
      <c r="A337" s="2" t="s">
        <v>543</v>
      </c>
      <c r="B337" s="77">
        <f>'09Mar2026'!Z44</f>
        <v>0</v>
      </c>
    </row>
    <row r="338" spans="1:2" x14ac:dyDescent="0.25">
      <c r="A338" s="2" t="s">
        <v>544</v>
      </c>
      <c r="B338" s="77">
        <f>'09Mar2026'!AA44</f>
        <v>0</v>
      </c>
    </row>
    <row r="339" spans="1:2" x14ac:dyDescent="0.25">
      <c r="A339" s="2" t="s">
        <v>545</v>
      </c>
      <c r="B339" s="77">
        <f>'09Mar2026'!AB44</f>
        <v>0</v>
      </c>
    </row>
    <row r="340" spans="1:2" x14ac:dyDescent="0.25">
      <c r="A340" s="2" t="s">
        <v>546</v>
      </c>
      <c r="B340" s="77">
        <f>'09Mar2026'!AC44</f>
        <v>0</v>
      </c>
    </row>
    <row r="341" spans="1:2" x14ac:dyDescent="0.25">
      <c r="A341" s="2" t="s">
        <v>547</v>
      </c>
      <c r="B341" s="77">
        <f>'09Mar2026'!AD44</f>
        <v>0</v>
      </c>
    </row>
    <row r="342" spans="1:2" x14ac:dyDescent="0.25">
      <c r="A342" s="2" t="s">
        <v>548</v>
      </c>
      <c r="B342" s="77">
        <f>'09Mar2026'!Q45</f>
        <v>0</v>
      </c>
    </row>
    <row r="343" spans="1:2" x14ac:dyDescent="0.25">
      <c r="A343" s="2" t="s">
        <v>549</v>
      </c>
      <c r="B343" s="77">
        <f>'09Mar2026'!R45</f>
        <v>0</v>
      </c>
    </row>
    <row r="344" spans="1:2" x14ac:dyDescent="0.25">
      <c r="A344" s="2" t="s">
        <v>550</v>
      </c>
      <c r="B344" s="77">
        <f>'09Mar2026'!S45</f>
        <v>0</v>
      </c>
    </row>
    <row r="345" spans="1:2" x14ac:dyDescent="0.25">
      <c r="A345" s="2" t="s">
        <v>551</v>
      </c>
      <c r="B345" s="77">
        <f>'09Mar2026'!T45</f>
        <v>0</v>
      </c>
    </row>
    <row r="346" spans="1:2" x14ac:dyDescent="0.25">
      <c r="A346" s="2" t="s">
        <v>552</v>
      </c>
      <c r="B346" s="77">
        <f>'09Mar2026'!U45</f>
        <v>0</v>
      </c>
    </row>
    <row r="347" spans="1:2" x14ac:dyDescent="0.25">
      <c r="A347" s="2" t="s">
        <v>553</v>
      </c>
      <c r="B347" s="77">
        <f>'09Mar2026'!V45</f>
        <v>0</v>
      </c>
    </row>
    <row r="348" spans="1:2" x14ac:dyDescent="0.25">
      <c r="A348" s="2" t="s">
        <v>554</v>
      </c>
      <c r="B348" s="77">
        <f>'09Mar2026'!W45</f>
        <v>0</v>
      </c>
    </row>
    <row r="349" spans="1:2" x14ac:dyDescent="0.25">
      <c r="A349" s="2" t="s">
        <v>555</v>
      </c>
      <c r="B349" s="77">
        <f>'09Mar2026'!X45</f>
        <v>0</v>
      </c>
    </row>
    <row r="350" spans="1:2" x14ac:dyDescent="0.25">
      <c r="A350" s="2" t="s">
        <v>556</v>
      </c>
      <c r="B350" s="77">
        <f>'09Mar2026'!Y45</f>
        <v>0</v>
      </c>
    </row>
    <row r="351" spans="1:2" x14ac:dyDescent="0.25">
      <c r="A351" s="2" t="s">
        <v>557</v>
      </c>
      <c r="B351" s="77">
        <f>'09Mar2026'!Z45</f>
        <v>0</v>
      </c>
    </row>
    <row r="352" spans="1:2" x14ac:dyDescent="0.25">
      <c r="A352" s="2" t="s">
        <v>558</v>
      </c>
      <c r="B352" s="77">
        <f>'09Mar2026'!AA45</f>
        <v>0</v>
      </c>
    </row>
    <row r="353" spans="1:2" x14ac:dyDescent="0.25">
      <c r="A353" s="2" t="s">
        <v>559</v>
      </c>
      <c r="B353" s="77">
        <f>'09Mar2026'!AB45</f>
        <v>0</v>
      </c>
    </row>
    <row r="354" spans="1:2" x14ac:dyDescent="0.25">
      <c r="A354" s="2" t="s">
        <v>560</v>
      </c>
      <c r="B354" s="77">
        <f>'09Mar2026'!AC45</f>
        <v>0</v>
      </c>
    </row>
    <row r="355" spans="1:2" x14ac:dyDescent="0.25">
      <c r="A355" s="2" t="s">
        <v>561</v>
      </c>
      <c r="B355" s="77">
        <f>'09Mar2026'!AD45</f>
        <v>0</v>
      </c>
    </row>
    <row r="356" spans="1:2" x14ac:dyDescent="0.25">
      <c r="A356" s="2" t="s">
        <v>562</v>
      </c>
      <c r="B356" s="77">
        <f>'09Mar2026'!Q46</f>
        <v>0</v>
      </c>
    </row>
    <row r="357" spans="1:2" x14ac:dyDescent="0.25">
      <c r="A357" s="2" t="s">
        <v>563</v>
      </c>
      <c r="B357" s="77">
        <f>'09Mar2026'!R46</f>
        <v>0</v>
      </c>
    </row>
    <row r="358" spans="1:2" x14ac:dyDescent="0.25">
      <c r="A358" s="2" t="s">
        <v>564</v>
      </c>
      <c r="B358" s="77">
        <f>'09Mar2026'!S46</f>
        <v>0</v>
      </c>
    </row>
    <row r="359" spans="1:2" x14ac:dyDescent="0.25">
      <c r="A359" s="2" t="s">
        <v>565</v>
      </c>
      <c r="B359" s="77">
        <f>'09Mar2026'!T46</f>
        <v>0</v>
      </c>
    </row>
    <row r="360" spans="1:2" x14ac:dyDescent="0.25">
      <c r="A360" s="2" t="s">
        <v>566</v>
      </c>
      <c r="B360" s="77">
        <f>'09Mar2026'!U46</f>
        <v>0</v>
      </c>
    </row>
    <row r="361" spans="1:2" x14ac:dyDescent="0.25">
      <c r="A361" s="2" t="s">
        <v>567</v>
      </c>
      <c r="B361" s="77">
        <f>'09Mar2026'!V46</f>
        <v>0</v>
      </c>
    </row>
    <row r="362" spans="1:2" x14ac:dyDescent="0.25">
      <c r="A362" s="2" t="s">
        <v>568</v>
      </c>
      <c r="B362" s="77">
        <f>'09Mar2026'!W46</f>
        <v>0</v>
      </c>
    </row>
    <row r="363" spans="1:2" x14ac:dyDescent="0.25">
      <c r="A363" s="2" t="s">
        <v>569</v>
      </c>
      <c r="B363" s="77">
        <f>'09Mar2026'!X46</f>
        <v>0</v>
      </c>
    </row>
    <row r="364" spans="1:2" x14ac:dyDescent="0.25">
      <c r="A364" s="2" t="s">
        <v>570</v>
      </c>
      <c r="B364" s="77">
        <f>'09Mar2026'!Y46</f>
        <v>0</v>
      </c>
    </row>
    <row r="365" spans="1:2" x14ac:dyDescent="0.25">
      <c r="A365" s="2" t="s">
        <v>571</v>
      </c>
      <c r="B365" s="77">
        <f>'09Mar2026'!Z46</f>
        <v>0</v>
      </c>
    </row>
    <row r="366" spans="1:2" x14ac:dyDescent="0.25">
      <c r="A366" s="2" t="s">
        <v>572</v>
      </c>
      <c r="B366" s="77">
        <f>'09Mar2026'!AA46</f>
        <v>0</v>
      </c>
    </row>
    <row r="367" spans="1:2" x14ac:dyDescent="0.25">
      <c r="A367" s="2" t="s">
        <v>573</v>
      </c>
      <c r="B367" s="77">
        <f>'09Mar2026'!AB46</f>
        <v>0</v>
      </c>
    </row>
    <row r="368" spans="1:2" x14ac:dyDescent="0.25">
      <c r="A368" s="2" t="s">
        <v>574</v>
      </c>
      <c r="B368" s="77">
        <f>'09Mar2026'!AC46</f>
        <v>0</v>
      </c>
    </row>
    <row r="369" spans="1:2" x14ac:dyDescent="0.25">
      <c r="A369" s="2" t="s">
        <v>575</v>
      </c>
      <c r="B369" s="77">
        <f>'09Mar2026'!AD46</f>
        <v>0</v>
      </c>
    </row>
    <row r="370" spans="1:2" x14ac:dyDescent="0.25">
      <c r="A370" s="2" t="s">
        <v>576</v>
      </c>
      <c r="B370" s="77">
        <f>'09Mar2026'!Q47</f>
        <v>0</v>
      </c>
    </row>
    <row r="371" spans="1:2" x14ac:dyDescent="0.25">
      <c r="A371" s="2" t="s">
        <v>577</v>
      </c>
      <c r="B371" s="77">
        <f>'09Mar2026'!R47</f>
        <v>0</v>
      </c>
    </row>
    <row r="372" spans="1:2" x14ac:dyDescent="0.25">
      <c r="A372" s="2" t="s">
        <v>578</v>
      </c>
      <c r="B372" s="77">
        <f>'09Mar2026'!S47</f>
        <v>0</v>
      </c>
    </row>
    <row r="373" spans="1:2" x14ac:dyDescent="0.25">
      <c r="A373" s="2" t="s">
        <v>579</v>
      </c>
      <c r="B373" s="77">
        <f>'09Mar2026'!T47</f>
        <v>0</v>
      </c>
    </row>
    <row r="374" spans="1:2" x14ac:dyDescent="0.25">
      <c r="A374" s="2" t="s">
        <v>580</v>
      </c>
      <c r="B374" s="77">
        <f>'09Mar2026'!U47</f>
        <v>0</v>
      </c>
    </row>
    <row r="375" spans="1:2" x14ac:dyDescent="0.25">
      <c r="A375" s="2" t="s">
        <v>581</v>
      </c>
      <c r="B375" s="77">
        <f>'09Mar2026'!V47</f>
        <v>0</v>
      </c>
    </row>
    <row r="376" spans="1:2" x14ac:dyDescent="0.25">
      <c r="A376" s="2" t="s">
        <v>582</v>
      </c>
      <c r="B376" s="77">
        <f>'09Mar2026'!W47</f>
        <v>0</v>
      </c>
    </row>
    <row r="377" spans="1:2" x14ac:dyDescent="0.25">
      <c r="A377" s="2" t="s">
        <v>583</v>
      </c>
      <c r="B377" s="77">
        <f>'09Mar2026'!X47</f>
        <v>0</v>
      </c>
    </row>
    <row r="378" spans="1:2" x14ac:dyDescent="0.25">
      <c r="A378" s="2" t="s">
        <v>584</v>
      </c>
      <c r="B378" s="77">
        <f>'09Mar2026'!Y47</f>
        <v>0</v>
      </c>
    </row>
    <row r="379" spans="1:2" x14ac:dyDescent="0.25">
      <c r="A379" s="2" t="s">
        <v>585</v>
      </c>
      <c r="B379" s="77">
        <f>'09Mar2026'!AA47</f>
        <v>0</v>
      </c>
    </row>
    <row r="380" spans="1:2" x14ac:dyDescent="0.25">
      <c r="A380" s="2" t="s">
        <v>586</v>
      </c>
      <c r="B380" s="77">
        <f>'09Mar2026'!AB47</f>
        <v>0</v>
      </c>
    </row>
    <row r="381" spans="1:2" x14ac:dyDescent="0.25">
      <c r="A381" s="2" t="s">
        <v>587</v>
      </c>
      <c r="B381" s="77">
        <f>'09Mar2026'!AC47</f>
        <v>0</v>
      </c>
    </row>
    <row r="382" spans="1:2" x14ac:dyDescent="0.25">
      <c r="A382" s="2" t="s">
        <v>588</v>
      </c>
      <c r="B382" s="77">
        <f>'09Mar2026'!AD47</f>
        <v>0</v>
      </c>
    </row>
    <row r="383" spans="1:2" x14ac:dyDescent="0.25">
      <c r="A383" s="2" t="s">
        <v>589</v>
      </c>
      <c r="B383" s="77">
        <f>'09Mar2026'!Q48</f>
        <v>0</v>
      </c>
    </row>
    <row r="384" spans="1:2" x14ac:dyDescent="0.25">
      <c r="A384" s="2" t="s">
        <v>590</v>
      </c>
      <c r="B384" s="77">
        <f>'09Mar2026'!R48</f>
        <v>0</v>
      </c>
    </row>
    <row r="385" spans="1:2" x14ac:dyDescent="0.25">
      <c r="A385" s="2" t="s">
        <v>591</v>
      </c>
      <c r="B385" s="77">
        <f>'09Mar2026'!S48</f>
        <v>0</v>
      </c>
    </row>
    <row r="386" spans="1:2" x14ac:dyDescent="0.25">
      <c r="A386" s="2" t="s">
        <v>592</v>
      </c>
      <c r="B386" s="77">
        <f>'09Mar2026'!T48</f>
        <v>0</v>
      </c>
    </row>
    <row r="387" spans="1:2" x14ac:dyDescent="0.25">
      <c r="A387" s="2" t="s">
        <v>593</v>
      </c>
      <c r="B387" s="77">
        <f>'09Mar2026'!U48</f>
        <v>0</v>
      </c>
    </row>
    <row r="388" spans="1:2" x14ac:dyDescent="0.25">
      <c r="A388" s="2" t="s">
        <v>594</v>
      </c>
      <c r="B388" s="77">
        <f>'09Mar2026'!V48</f>
        <v>0</v>
      </c>
    </row>
    <row r="389" spans="1:2" x14ac:dyDescent="0.25">
      <c r="A389" s="2" t="s">
        <v>595</v>
      </c>
      <c r="B389" s="77">
        <f>'09Mar2026'!W48</f>
        <v>0</v>
      </c>
    </row>
    <row r="390" spans="1:2" x14ac:dyDescent="0.25">
      <c r="A390" s="2" t="s">
        <v>596</v>
      </c>
      <c r="B390" s="77">
        <f>'09Mar2026'!X48</f>
        <v>0</v>
      </c>
    </row>
    <row r="391" spans="1:2" x14ac:dyDescent="0.25">
      <c r="A391" s="2" t="s">
        <v>597</v>
      </c>
      <c r="B391" s="77">
        <f>'09Mar2026'!Y48</f>
        <v>0</v>
      </c>
    </row>
    <row r="392" spans="1:2" x14ac:dyDescent="0.25">
      <c r="A392" s="2" t="s">
        <v>598</v>
      </c>
      <c r="B392" s="77">
        <f>'09Mar2026'!Z48</f>
        <v>0</v>
      </c>
    </row>
    <row r="393" spans="1:2" x14ac:dyDescent="0.25">
      <c r="A393" s="2" t="s">
        <v>599</v>
      </c>
      <c r="B393" s="77">
        <f>'09Mar2026'!AA48</f>
        <v>0</v>
      </c>
    </row>
    <row r="394" spans="1:2" x14ac:dyDescent="0.25">
      <c r="A394" s="2" t="s">
        <v>600</v>
      </c>
      <c r="B394" s="77">
        <f>'09Mar2026'!AB48</f>
        <v>0</v>
      </c>
    </row>
    <row r="395" spans="1:2" x14ac:dyDescent="0.25">
      <c r="A395" s="2" t="s">
        <v>601</v>
      </c>
      <c r="B395" s="77">
        <f>'09Mar2026'!AC48</f>
        <v>0</v>
      </c>
    </row>
    <row r="396" spans="1:2" x14ac:dyDescent="0.25">
      <c r="A396" s="2" t="s">
        <v>602</v>
      </c>
      <c r="B396" s="77">
        <f>'09Mar2026'!AD48</f>
        <v>0</v>
      </c>
    </row>
    <row r="397" spans="1:2" x14ac:dyDescent="0.25">
      <c r="A397" s="2" t="s">
        <v>603</v>
      </c>
      <c r="B397" s="77">
        <f>'09Mar2026'!Q49</f>
        <v>0</v>
      </c>
    </row>
    <row r="398" spans="1:2" x14ac:dyDescent="0.25">
      <c r="A398" s="2" t="s">
        <v>604</v>
      </c>
      <c r="B398" s="77">
        <f>'09Mar2026'!R49</f>
        <v>0</v>
      </c>
    </row>
    <row r="399" spans="1:2" x14ac:dyDescent="0.25">
      <c r="A399" s="2" t="s">
        <v>605</v>
      </c>
      <c r="B399" s="77">
        <f>'09Mar2026'!S49</f>
        <v>0</v>
      </c>
    </row>
    <row r="400" spans="1:2" x14ac:dyDescent="0.25">
      <c r="A400" s="2" t="s">
        <v>606</v>
      </c>
      <c r="B400" s="77">
        <f>'09Mar2026'!T49</f>
        <v>0</v>
      </c>
    </row>
    <row r="401" spans="1:2" x14ac:dyDescent="0.25">
      <c r="A401" s="2" t="s">
        <v>607</v>
      </c>
      <c r="B401" s="77">
        <f>'09Mar2026'!U49</f>
        <v>0</v>
      </c>
    </row>
    <row r="402" spans="1:2" x14ac:dyDescent="0.25">
      <c r="A402" s="2" t="s">
        <v>608</v>
      </c>
      <c r="B402" s="77">
        <f>'09Mar2026'!V49</f>
        <v>0</v>
      </c>
    </row>
    <row r="403" spans="1:2" x14ac:dyDescent="0.25">
      <c r="A403" s="2" t="s">
        <v>609</v>
      </c>
      <c r="B403" s="77">
        <f>'09Mar2026'!W49</f>
        <v>0</v>
      </c>
    </row>
    <row r="404" spans="1:2" x14ac:dyDescent="0.25">
      <c r="A404" s="2" t="s">
        <v>610</v>
      </c>
      <c r="B404" s="77">
        <f>'09Mar2026'!X49</f>
        <v>0</v>
      </c>
    </row>
    <row r="405" spans="1:2" x14ac:dyDescent="0.25">
      <c r="A405" s="2" t="s">
        <v>611</v>
      </c>
      <c r="B405" s="77">
        <f>'09Mar2026'!Y49</f>
        <v>0</v>
      </c>
    </row>
    <row r="406" spans="1:2" x14ac:dyDescent="0.25">
      <c r="A406" s="2" t="s">
        <v>612</v>
      </c>
      <c r="B406" s="77">
        <f>'09Mar2026'!Z49</f>
        <v>0</v>
      </c>
    </row>
    <row r="407" spans="1:2" x14ac:dyDescent="0.25">
      <c r="A407" s="2" t="s">
        <v>613</v>
      </c>
      <c r="B407" s="77">
        <f>'09Mar2026'!AA49</f>
        <v>0</v>
      </c>
    </row>
    <row r="408" spans="1:2" x14ac:dyDescent="0.25">
      <c r="A408" s="2" t="s">
        <v>614</v>
      </c>
      <c r="B408" s="77">
        <f>'09Mar2026'!AB49</f>
        <v>0</v>
      </c>
    </row>
    <row r="409" spans="1:2" x14ac:dyDescent="0.25">
      <c r="A409" s="2" t="s">
        <v>615</v>
      </c>
      <c r="B409" s="77">
        <f>'09Mar2026'!AC49</f>
        <v>0</v>
      </c>
    </row>
    <row r="410" spans="1:2" x14ac:dyDescent="0.25">
      <c r="A410" s="2" t="s">
        <v>616</v>
      </c>
      <c r="B410" s="77">
        <f>'09Mar2026'!AD49</f>
        <v>0</v>
      </c>
    </row>
    <row r="411" spans="1:2" x14ac:dyDescent="0.25">
      <c r="A411" s="2" t="s">
        <v>617</v>
      </c>
      <c r="B411" s="77">
        <f>'09Mar2026'!Q50</f>
        <v>0</v>
      </c>
    </row>
    <row r="412" spans="1:2" x14ac:dyDescent="0.25">
      <c r="A412" s="2" t="s">
        <v>618</v>
      </c>
      <c r="B412" s="77">
        <f>'09Mar2026'!R50</f>
        <v>0</v>
      </c>
    </row>
    <row r="413" spans="1:2" x14ac:dyDescent="0.25">
      <c r="A413" s="2" t="s">
        <v>619</v>
      </c>
      <c r="B413" s="77">
        <f>'09Mar2026'!S50</f>
        <v>0</v>
      </c>
    </row>
    <row r="414" spans="1:2" x14ac:dyDescent="0.25">
      <c r="A414" s="2" t="s">
        <v>620</v>
      </c>
      <c r="B414" s="77">
        <f>'09Mar2026'!T50</f>
        <v>0</v>
      </c>
    </row>
    <row r="415" spans="1:2" x14ac:dyDescent="0.25">
      <c r="A415" s="2" t="s">
        <v>621</v>
      </c>
      <c r="B415" s="77">
        <f>'09Mar2026'!U50</f>
        <v>0</v>
      </c>
    </row>
    <row r="416" spans="1:2" x14ac:dyDescent="0.25">
      <c r="A416" s="2" t="s">
        <v>622</v>
      </c>
      <c r="B416" s="77">
        <f>'09Mar2026'!V50</f>
        <v>0</v>
      </c>
    </row>
    <row r="417" spans="1:2" x14ac:dyDescent="0.25">
      <c r="A417" s="2" t="s">
        <v>623</v>
      </c>
      <c r="B417" s="77">
        <f>'09Mar2026'!W50</f>
        <v>0</v>
      </c>
    </row>
    <row r="418" spans="1:2" x14ac:dyDescent="0.25">
      <c r="A418" s="2" t="s">
        <v>624</v>
      </c>
      <c r="B418" s="77">
        <f>'09Mar2026'!X50</f>
        <v>0</v>
      </c>
    </row>
    <row r="419" spans="1:2" x14ac:dyDescent="0.25">
      <c r="A419" s="2" t="s">
        <v>625</v>
      </c>
      <c r="B419" s="77">
        <f>'09Mar2026'!Y50</f>
        <v>0</v>
      </c>
    </row>
    <row r="420" spans="1:2" x14ac:dyDescent="0.25">
      <c r="A420" s="2" t="s">
        <v>626</v>
      </c>
      <c r="B420" s="77">
        <f>'09Mar2026'!AA50</f>
        <v>0</v>
      </c>
    </row>
    <row r="421" spans="1:2" x14ac:dyDescent="0.25">
      <c r="A421" s="2" t="s">
        <v>627</v>
      </c>
      <c r="B421" s="77">
        <f>'09Mar2026'!AB50</f>
        <v>0</v>
      </c>
    </row>
    <row r="422" spans="1:2" x14ac:dyDescent="0.25">
      <c r="A422" s="2" t="s">
        <v>628</v>
      </c>
      <c r="B422" s="77">
        <f>'09Mar2026'!AC50</f>
        <v>0</v>
      </c>
    </row>
    <row r="423" spans="1:2" x14ac:dyDescent="0.25">
      <c r="A423" s="2" t="s">
        <v>629</v>
      </c>
      <c r="B423" s="77">
        <f>'09Mar2026'!AD50</f>
        <v>0</v>
      </c>
    </row>
    <row r="424" spans="1:2" x14ac:dyDescent="0.25">
      <c r="A424" s="2" t="s">
        <v>630</v>
      </c>
      <c r="B424" s="77">
        <f>'09Mar2026'!Q51</f>
        <v>0</v>
      </c>
    </row>
    <row r="425" spans="1:2" x14ac:dyDescent="0.25">
      <c r="A425" s="2" t="s">
        <v>631</v>
      </c>
      <c r="B425" s="77">
        <f>'09Mar2026'!R51</f>
        <v>0</v>
      </c>
    </row>
    <row r="426" spans="1:2" x14ac:dyDescent="0.25">
      <c r="A426" s="2" t="s">
        <v>632</v>
      </c>
      <c r="B426" s="77">
        <f>'09Mar2026'!S51</f>
        <v>0</v>
      </c>
    </row>
    <row r="427" spans="1:2" x14ac:dyDescent="0.25">
      <c r="A427" s="2" t="s">
        <v>633</v>
      </c>
      <c r="B427" s="77">
        <f>'09Mar2026'!T51</f>
        <v>0</v>
      </c>
    </row>
    <row r="428" spans="1:2" x14ac:dyDescent="0.25">
      <c r="A428" s="2" t="s">
        <v>634</v>
      </c>
      <c r="B428" s="77">
        <f>'09Mar2026'!U51</f>
        <v>0</v>
      </c>
    </row>
    <row r="429" spans="1:2" x14ac:dyDescent="0.25">
      <c r="A429" s="2" t="s">
        <v>635</v>
      </c>
      <c r="B429" s="77">
        <f>'09Mar2026'!V51</f>
        <v>0</v>
      </c>
    </row>
    <row r="430" spans="1:2" x14ac:dyDescent="0.25">
      <c r="A430" s="2" t="s">
        <v>636</v>
      </c>
      <c r="B430" s="77">
        <f>'09Mar2026'!W51</f>
        <v>0</v>
      </c>
    </row>
    <row r="431" spans="1:2" x14ac:dyDescent="0.25">
      <c r="A431" s="2" t="s">
        <v>637</v>
      </c>
      <c r="B431" s="77">
        <f>'09Mar2026'!X51</f>
        <v>0</v>
      </c>
    </row>
    <row r="432" spans="1:2" x14ac:dyDescent="0.25">
      <c r="A432" s="2" t="s">
        <v>638</v>
      </c>
      <c r="B432" s="77">
        <f>'09Mar2026'!Y51</f>
        <v>0</v>
      </c>
    </row>
    <row r="433" spans="1:2" x14ac:dyDescent="0.25">
      <c r="A433" s="2" t="s">
        <v>639</v>
      </c>
      <c r="B433" s="77">
        <f>'09Mar2026'!AA51</f>
        <v>0</v>
      </c>
    </row>
    <row r="434" spans="1:2" x14ac:dyDescent="0.25">
      <c r="A434" s="2" t="s">
        <v>640</v>
      </c>
      <c r="B434" s="77">
        <f>'09Mar2026'!AB51</f>
        <v>0</v>
      </c>
    </row>
    <row r="435" spans="1:2" x14ac:dyDescent="0.25">
      <c r="A435" s="2" t="s">
        <v>641</v>
      </c>
      <c r="B435" s="77">
        <f>'09Mar2026'!AC51</f>
        <v>0</v>
      </c>
    </row>
    <row r="436" spans="1:2" x14ac:dyDescent="0.25">
      <c r="A436" s="2" t="s">
        <v>642</v>
      </c>
      <c r="B436" s="77">
        <f>'09Mar2026'!AD51</f>
        <v>0</v>
      </c>
    </row>
    <row r="437" spans="1:2" x14ac:dyDescent="0.25">
      <c r="A437" s="2" t="s">
        <v>643</v>
      </c>
      <c r="B437" s="77">
        <f>'09Mar2026'!Q52</f>
        <v>0</v>
      </c>
    </row>
    <row r="438" spans="1:2" x14ac:dyDescent="0.25">
      <c r="A438" s="2" t="s">
        <v>644</v>
      </c>
      <c r="B438" s="77">
        <f>'09Mar2026'!R52</f>
        <v>0</v>
      </c>
    </row>
    <row r="439" spans="1:2" x14ac:dyDescent="0.25">
      <c r="A439" s="2" t="s">
        <v>645</v>
      </c>
      <c r="B439" s="77">
        <f>'09Mar2026'!S52</f>
        <v>0</v>
      </c>
    </row>
    <row r="440" spans="1:2" x14ac:dyDescent="0.25">
      <c r="A440" s="2" t="s">
        <v>646</v>
      </c>
      <c r="B440" s="77">
        <f>'09Mar2026'!T52</f>
        <v>0</v>
      </c>
    </row>
    <row r="441" spans="1:2" x14ac:dyDescent="0.25">
      <c r="A441" s="2" t="s">
        <v>647</v>
      </c>
      <c r="B441" s="77">
        <f>'09Mar2026'!U52</f>
        <v>0</v>
      </c>
    </row>
    <row r="442" spans="1:2" x14ac:dyDescent="0.25">
      <c r="A442" s="2" t="s">
        <v>648</v>
      </c>
      <c r="B442" s="77">
        <f>'09Mar2026'!V52</f>
        <v>0</v>
      </c>
    </row>
    <row r="443" spans="1:2" x14ac:dyDescent="0.25">
      <c r="A443" s="2" t="s">
        <v>649</v>
      </c>
      <c r="B443" s="77">
        <f>'09Mar2026'!W52</f>
        <v>0</v>
      </c>
    </row>
    <row r="444" spans="1:2" x14ac:dyDescent="0.25">
      <c r="A444" s="2" t="s">
        <v>650</v>
      </c>
      <c r="B444" s="77">
        <f>'09Mar2026'!X52</f>
        <v>0</v>
      </c>
    </row>
    <row r="445" spans="1:2" x14ac:dyDescent="0.25">
      <c r="A445" s="2" t="s">
        <v>651</v>
      </c>
      <c r="B445" s="77">
        <f>'09Mar2026'!Y52</f>
        <v>0</v>
      </c>
    </row>
    <row r="446" spans="1:2" x14ac:dyDescent="0.25">
      <c r="A446" s="2" t="s">
        <v>652</v>
      </c>
      <c r="B446" s="77">
        <f>'09Mar2026'!AA52</f>
        <v>0</v>
      </c>
    </row>
    <row r="447" spans="1:2" x14ac:dyDescent="0.25">
      <c r="A447" s="2" t="s">
        <v>653</v>
      </c>
      <c r="B447" s="77">
        <f>'09Mar2026'!AB52</f>
        <v>0</v>
      </c>
    </row>
    <row r="448" spans="1:2" x14ac:dyDescent="0.25">
      <c r="A448" s="2" t="s">
        <v>654</v>
      </c>
      <c r="B448" s="77">
        <f>'09Mar2026'!AC52</f>
        <v>0</v>
      </c>
    </row>
    <row r="449" spans="1:2" x14ac:dyDescent="0.25">
      <c r="A449" s="2" t="s">
        <v>655</v>
      </c>
      <c r="B449" s="77">
        <f>'09Mar2026'!AD52</f>
        <v>0</v>
      </c>
    </row>
    <row r="450" spans="1:2" x14ac:dyDescent="0.25">
      <c r="A450" s="2" t="s">
        <v>656</v>
      </c>
      <c r="B450" s="77">
        <f>'09Mar2026'!Q53</f>
        <v>0</v>
      </c>
    </row>
    <row r="451" spans="1:2" x14ac:dyDescent="0.25">
      <c r="A451" s="2" t="s">
        <v>657</v>
      </c>
      <c r="B451" s="77">
        <f>'09Mar2026'!R53</f>
        <v>0</v>
      </c>
    </row>
    <row r="452" spans="1:2" x14ac:dyDescent="0.25">
      <c r="A452" s="2" t="s">
        <v>658</v>
      </c>
      <c r="B452" s="77">
        <f>'09Mar2026'!S53</f>
        <v>0</v>
      </c>
    </row>
    <row r="453" spans="1:2" x14ac:dyDescent="0.25">
      <c r="A453" s="2" t="s">
        <v>659</v>
      </c>
      <c r="B453" s="77">
        <f>'09Mar2026'!T53</f>
        <v>0</v>
      </c>
    </row>
    <row r="454" spans="1:2" x14ac:dyDescent="0.25">
      <c r="A454" s="2" t="s">
        <v>660</v>
      </c>
      <c r="B454" s="77">
        <f>'09Mar2026'!U53</f>
        <v>0</v>
      </c>
    </row>
    <row r="455" spans="1:2" x14ac:dyDescent="0.25">
      <c r="A455" s="2" t="s">
        <v>661</v>
      </c>
      <c r="B455" s="77">
        <f>'09Mar2026'!V53</f>
        <v>0</v>
      </c>
    </row>
    <row r="456" spans="1:2" x14ac:dyDescent="0.25">
      <c r="A456" s="2" t="s">
        <v>662</v>
      </c>
      <c r="B456" s="77">
        <f>'09Mar2026'!W53</f>
        <v>0</v>
      </c>
    </row>
    <row r="457" spans="1:2" x14ac:dyDescent="0.25">
      <c r="A457" s="2" t="s">
        <v>663</v>
      </c>
      <c r="B457" s="77">
        <f>'09Mar2026'!X53</f>
        <v>0</v>
      </c>
    </row>
    <row r="458" spans="1:2" x14ac:dyDescent="0.25">
      <c r="A458" s="2" t="s">
        <v>664</v>
      </c>
      <c r="B458" s="77">
        <f>'09Mar2026'!Y53</f>
        <v>0</v>
      </c>
    </row>
    <row r="459" spans="1:2" x14ac:dyDescent="0.25">
      <c r="A459" s="2" t="s">
        <v>665</v>
      </c>
      <c r="B459" s="77">
        <f>'09Mar2026'!Z53</f>
        <v>0</v>
      </c>
    </row>
    <row r="460" spans="1:2" x14ac:dyDescent="0.25">
      <c r="A460" s="2" t="s">
        <v>666</v>
      </c>
      <c r="B460" s="77">
        <f>'09Mar2026'!AA53</f>
        <v>0</v>
      </c>
    </row>
    <row r="461" spans="1:2" x14ac:dyDescent="0.25">
      <c r="A461" s="2" t="s">
        <v>667</v>
      </c>
      <c r="B461" s="77">
        <f>'09Mar2026'!AB53</f>
        <v>0</v>
      </c>
    </row>
    <row r="462" spans="1:2" x14ac:dyDescent="0.25">
      <c r="A462" s="2" t="s">
        <v>668</v>
      </c>
      <c r="B462" s="77">
        <f>'09Mar2026'!AC53</f>
        <v>0</v>
      </c>
    </row>
    <row r="463" spans="1:2" x14ac:dyDescent="0.25">
      <c r="A463" s="2" t="s">
        <v>669</v>
      </c>
      <c r="B463" s="77">
        <f>'09Mar2026'!AD53</f>
        <v>0</v>
      </c>
    </row>
    <row r="464" spans="1:2" x14ac:dyDescent="0.25">
      <c r="A464" s="2" t="s">
        <v>670</v>
      </c>
      <c r="B464" s="77">
        <f>'09Mar2026'!Q54</f>
        <v>0</v>
      </c>
    </row>
    <row r="465" spans="1:2" x14ac:dyDescent="0.25">
      <c r="A465" s="2" t="s">
        <v>671</v>
      </c>
      <c r="B465" s="77">
        <f>'09Mar2026'!R54</f>
        <v>0</v>
      </c>
    </row>
    <row r="466" spans="1:2" x14ac:dyDescent="0.25">
      <c r="A466" s="2" t="s">
        <v>672</v>
      </c>
      <c r="B466" s="77">
        <f>'09Mar2026'!S54</f>
        <v>0</v>
      </c>
    </row>
    <row r="467" spans="1:2" x14ac:dyDescent="0.25">
      <c r="A467" s="2" t="s">
        <v>673</v>
      </c>
      <c r="B467" s="77">
        <f>'09Mar2026'!T54</f>
        <v>0</v>
      </c>
    </row>
    <row r="468" spans="1:2" x14ac:dyDescent="0.25">
      <c r="A468" s="2" t="s">
        <v>674</v>
      </c>
      <c r="B468" s="77">
        <f>'09Mar2026'!U54</f>
        <v>0</v>
      </c>
    </row>
    <row r="469" spans="1:2" x14ac:dyDescent="0.25">
      <c r="A469" s="2" t="s">
        <v>675</v>
      </c>
      <c r="B469" s="77">
        <f>'09Mar2026'!V54</f>
        <v>0</v>
      </c>
    </row>
    <row r="470" spans="1:2" x14ac:dyDescent="0.25">
      <c r="A470" s="2" t="s">
        <v>676</v>
      </c>
      <c r="B470" s="77">
        <f>'09Mar2026'!W54</f>
        <v>0</v>
      </c>
    </row>
    <row r="471" spans="1:2" x14ac:dyDescent="0.25">
      <c r="A471" s="2" t="s">
        <v>677</v>
      </c>
      <c r="B471" s="77">
        <f>'09Mar2026'!X54</f>
        <v>0</v>
      </c>
    </row>
    <row r="472" spans="1:2" x14ac:dyDescent="0.25">
      <c r="A472" s="2" t="s">
        <v>678</v>
      </c>
      <c r="B472" s="77">
        <f>'09Mar2026'!Y54</f>
        <v>0</v>
      </c>
    </row>
    <row r="473" spans="1:2" x14ac:dyDescent="0.25">
      <c r="A473" s="2" t="s">
        <v>679</v>
      </c>
      <c r="B473" s="77">
        <f>'09Mar2026'!Z54</f>
        <v>0</v>
      </c>
    </row>
    <row r="474" spans="1:2" x14ac:dyDescent="0.25">
      <c r="A474" s="2" t="s">
        <v>680</v>
      </c>
      <c r="B474" s="77">
        <f>'09Mar2026'!AA54</f>
        <v>0</v>
      </c>
    </row>
    <row r="475" spans="1:2" x14ac:dyDescent="0.25">
      <c r="A475" s="2" t="s">
        <v>681</v>
      </c>
      <c r="B475" s="77">
        <f>'09Mar2026'!AB54</f>
        <v>0</v>
      </c>
    </row>
    <row r="476" spans="1:2" x14ac:dyDescent="0.25">
      <c r="A476" s="2" t="s">
        <v>682</v>
      </c>
      <c r="B476" s="77">
        <f>'09Mar2026'!AC54</f>
        <v>0</v>
      </c>
    </row>
    <row r="477" spans="1:2" x14ac:dyDescent="0.25">
      <c r="A477" s="2" t="s">
        <v>683</v>
      </c>
      <c r="B477" s="77">
        <f>'09Mar2026'!AD54</f>
        <v>0</v>
      </c>
    </row>
    <row r="478" spans="1:2" x14ac:dyDescent="0.25">
      <c r="A478" s="2" t="s">
        <v>684</v>
      </c>
      <c r="B478" s="77">
        <f>'09Mar2026'!Q55</f>
        <v>0</v>
      </c>
    </row>
    <row r="479" spans="1:2" x14ac:dyDescent="0.25">
      <c r="A479" s="2" t="s">
        <v>685</v>
      </c>
      <c r="B479" s="77">
        <f>'09Mar2026'!R55</f>
        <v>0</v>
      </c>
    </row>
    <row r="480" spans="1:2" x14ac:dyDescent="0.25">
      <c r="A480" s="2" t="s">
        <v>686</v>
      </c>
      <c r="B480" s="77">
        <f>'09Mar2026'!S55</f>
        <v>0</v>
      </c>
    </row>
    <row r="481" spans="1:2" x14ac:dyDescent="0.25">
      <c r="A481" s="2" t="s">
        <v>687</v>
      </c>
      <c r="B481" s="77">
        <f>'09Mar2026'!T55</f>
        <v>0</v>
      </c>
    </row>
    <row r="482" spans="1:2" x14ac:dyDescent="0.25">
      <c r="A482" s="2" t="s">
        <v>688</v>
      </c>
      <c r="B482" s="77">
        <f>'09Mar2026'!U55</f>
        <v>0</v>
      </c>
    </row>
    <row r="483" spans="1:2" x14ac:dyDescent="0.25">
      <c r="A483" s="2" t="s">
        <v>689</v>
      </c>
      <c r="B483" s="77">
        <f>'09Mar2026'!V55</f>
        <v>0</v>
      </c>
    </row>
    <row r="484" spans="1:2" x14ac:dyDescent="0.25">
      <c r="A484" s="2" t="s">
        <v>690</v>
      </c>
      <c r="B484" s="77">
        <f>'09Mar2026'!W55</f>
        <v>0</v>
      </c>
    </row>
    <row r="485" spans="1:2" x14ac:dyDescent="0.25">
      <c r="A485" s="2" t="s">
        <v>691</v>
      </c>
      <c r="B485" s="77">
        <f>'09Mar2026'!X55</f>
        <v>0</v>
      </c>
    </row>
    <row r="486" spans="1:2" x14ac:dyDescent="0.25">
      <c r="A486" s="2" t="s">
        <v>692</v>
      </c>
      <c r="B486" s="77">
        <f>'09Mar2026'!Y55</f>
        <v>0</v>
      </c>
    </row>
    <row r="487" spans="1:2" x14ac:dyDescent="0.25">
      <c r="A487" s="2" t="s">
        <v>693</v>
      </c>
      <c r="B487" s="77">
        <f>'09Mar2026'!Z55</f>
        <v>0</v>
      </c>
    </row>
    <row r="488" spans="1:2" x14ac:dyDescent="0.25">
      <c r="A488" s="2" t="s">
        <v>694</v>
      </c>
      <c r="B488" s="77">
        <f>'09Mar2026'!AA55</f>
        <v>0</v>
      </c>
    </row>
    <row r="489" spans="1:2" x14ac:dyDescent="0.25">
      <c r="A489" s="2" t="s">
        <v>695</v>
      </c>
      <c r="B489" s="77">
        <f>'09Mar2026'!AB55</f>
        <v>0</v>
      </c>
    </row>
    <row r="490" spans="1:2" x14ac:dyDescent="0.25">
      <c r="A490" s="2" t="s">
        <v>696</v>
      </c>
      <c r="B490" s="77">
        <f>'09Mar2026'!AC55</f>
        <v>0</v>
      </c>
    </row>
    <row r="491" spans="1:2" x14ac:dyDescent="0.25">
      <c r="A491" s="2" t="s">
        <v>697</v>
      </c>
      <c r="B491" s="77">
        <f>'09Mar2026'!AD55</f>
        <v>0</v>
      </c>
    </row>
    <row r="492" spans="1:2" x14ac:dyDescent="0.25">
      <c r="A492" s="2" t="s">
        <v>698</v>
      </c>
      <c r="B492" s="77">
        <f>'09Mar2026'!Q56</f>
        <v>0</v>
      </c>
    </row>
    <row r="493" spans="1:2" x14ac:dyDescent="0.25">
      <c r="A493" s="2" t="s">
        <v>699</v>
      </c>
      <c r="B493" s="77">
        <f>'09Mar2026'!R56</f>
        <v>0</v>
      </c>
    </row>
    <row r="494" spans="1:2" x14ac:dyDescent="0.25">
      <c r="A494" s="2" t="s">
        <v>700</v>
      </c>
      <c r="B494" s="77">
        <f>'09Mar2026'!S56</f>
        <v>0</v>
      </c>
    </row>
    <row r="495" spans="1:2" x14ac:dyDescent="0.25">
      <c r="A495" s="2" t="s">
        <v>701</v>
      </c>
      <c r="B495" s="77">
        <f>'09Mar2026'!T56</f>
        <v>0</v>
      </c>
    </row>
    <row r="496" spans="1:2" x14ac:dyDescent="0.25">
      <c r="A496" s="2" t="s">
        <v>702</v>
      </c>
      <c r="B496" s="77">
        <f>'09Mar2026'!U56</f>
        <v>0</v>
      </c>
    </row>
    <row r="497" spans="1:2" x14ac:dyDescent="0.25">
      <c r="A497" s="2" t="s">
        <v>703</v>
      </c>
      <c r="B497" s="77">
        <f>'09Mar2026'!V56</f>
        <v>0</v>
      </c>
    </row>
    <row r="498" spans="1:2" x14ac:dyDescent="0.25">
      <c r="A498" s="2" t="s">
        <v>704</v>
      </c>
      <c r="B498" s="77">
        <f>'09Mar2026'!W56</f>
        <v>0</v>
      </c>
    </row>
    <row r="499" spans="1:2" x14ac:dyDescent="0.25">
      <c r="A499" s="2" t="s">
        <v>705</v>
      </c>
      <c r="B499" s="77">
        <f>'09Mar2026'!X56</f>
        <v>0</v>
      </c>
    </row>
    <row r="500" spans="1:2" x14ac:dyDescent="0.25">
      <c r="A500" s="2" t="s">
        <v>706</v>
      </c>
      <c r="B500" s="77">
        <f>'09Mar2026'!Y56</f>
        <v>0</v>
      </c>
    </row>
    <row r="501" spans="1:2" x14ac:dyDescent="0.25">
      <c r="A501" s="2" t="s">
        <v>707</v>
      </c>
      <c r="B501" s="77">
        <f>'09Mar2026'!Z56</f>
        <v>0</v>
      </c>
    </row>
    <row r="502" spans="1:2" x14ac:dyDescent="0.25">
      <c r="A502" s="2" t="s">
        <v>708</v>
      </c>
      <c r="B502" s="77">
        <f>'09Mar2026'!AA56</f>
        <v>0</v>
      </c>
    </row>
    <row r="503" spans="1:2" x14ac:dyDescent="0.25">
      <c r="A503" s="2" t="s">
        <v>709</v>
      </c>
      <c r="B503" s="77">
        <f>'09Mar2026'!AB56</f>
        <v>0</v>
      </c>
    </row>
    <row r="504" spans="1:2" x14ac:dyDescent="0.25">
      <c r="A504" s="2" t="s">
        <v>710</v>
      </c>
      <c r="B504" s="77">
        <f>'09Mar2026'!AC56</f>
        <v>0</v>
      </c>
    </row>
    <row r="505" spans="1:2" x14ac:dyDescent="0.25">
      <c r="A505" s="2" t="s">
        <v>711</v>
      </c>
      <c r="B505" s="77">
        <f>'09Mar2026'!AD56</f>
        <v>0</v>
      </c>
    </row>
    <row r="506" spans="1:2" x14ac:dyDescent="0.25">
      <c r="A506" s="2" t="s">
        <v>712</v>
      </c>
      <c r="B506" s="77">
        <f>'09Mar2026'!J57</f>
        <v>0</v>
      </c>
    </row>
    <row r="507" spans="1:2" x14ac:dyDescent="0.25">
      <c r="A507" s="2" t="s">
        <v>713</v>
      </c>
      <c r="B507" s="77">
        <f>'09Mar2026'!K57</f>
        <v>0</v>
      </c>
    </row>
    <row r="508" spans="1:2" x14ac:dyDescent="0.25">
      <c r="A508" s="2" t="s">
        <v>714</v>
      </c>
      <c r="B508" s="77">
        <f>'09Mar2026'!L57</f>
        <v>0</v>
      </c>
    </row>
    <row r="509" spans="1:2" x14ac:dyDescent="0.25">
      <c r="A509" s="2" t="s">
        <v>715</v>
      </c>
      <c r="B509" s="77">
        <f>'09Mar2026'!M57</f>
        <v>0</v>
      </c>
    </row>
    <row r="510" spans="1:2" x14ac:dyDescent="0.25">
      <c r="A510" s="2" t="s">
        <v>716</v>
      </c>
      <c r="B510" s="77">
        <f>'09Mar2026'!N57</f>
        <v>0</v>
      </c>
    </row>
    <row r="511" spans="1:2" x14ac:dyDescent="0.25">
      <c r="A511" s="2" t="s">
        <v>717</v>
      </c>
      <c r="B511" s="77">
        <f>'09Mar2026'!O57</f>
        <v>0</v>
      </c>
    </row>
    <row r="512" spans="1:2" x14ac:dyDescent="0.25">
      <c r="A512" s="2" t="s">
        <v>718</v>
      </c>
      <c r="B512" s="77">
        <f>'09Mar2026'!P57</f>
        <v>0</v>
      </c>
    </row>
    <row r="513" spans="1:2" x14ac:dyDescent="0.25">
      <c r="A513" s="2" t="s">
        <v>719</v>
      </c>
      <c r="B513" s="77">
        <f>'09Mar2026'!Q57</f>
        <v>0</v>
      </c>
    </row>
    <row r="514" spans="1:2" x14ac:dyDescent="0.25">
      <c r="A514" s="2" t="s">
        <v>720</v>
      </c>
      <c r="B514" s="77">
        <f>'09Mar2026'!R57</f>
        <v>0</v>
      </c>
    </row>
    <row r="515" spans="1:2" x14ac:dyDescent="0.25">
      <c r="A515" s="2" t="s">
        <v>721</v>
      </c>
      <c r="B515" s="77">
        <f>'09Mar2026'!S57</f>
        <v>0</v>
      </c>
    </row>
    <row r="516" spans="1:2" x14ac:dyDescent="0.25">
      <c r="A516" s="2" t="s">
        <v>722</v>
      </c>
      <c r="B516" s="77">
        <f>'09Mar2026'!T57</f>
        <v>0</v>
      </c>
    </row>
    <row r="517" spans="1:2" x14ac:dyDescent="0.25">
      <c r="A517" s="2" t="s">
        <v>723</v>
      </c>
      <c r="B517" s="77">
        <f>'09Mar2026'!U57</f>
        <v>0</v>
      </c>
    </row>
    <row r="518" spans="1:2" x14ac:dyDescent="0.25">
      <c r="A518" s="2" t="s">
        <v>724</v>
      </c>
      <c r="B518" s="77">
        <f>'09Mar2026'!V57</f>
        <v>0</v>
      </c>
    </row>
    <row r="519" spans="1:2" x14ac:dyDescent="0.25">
      <c r="A519" s="2" t="s">
        <v>725</v>
      </c>
      <c r="B519" s="77">
        <f>'09Mar2026'!W57</f>
        <v>0</v>
      </c>
    </row>
    <row r="520" spans="1:2" x14ac:dyDescent="0.25">
      <c r="A520" s="2" t="s">
        <v>726</v>
      </c>
      <c r="B520" s="77">
        <f>'09Mar2026'!X57</f>
        <v>0</v>
      </c>
    </row>
    <row r="521" spans="1:2" x14ac:dyDescent="0.25">
      <c r="A521" s="2" t="s">
        <v>727</v>
      </c>
      <c r="B521" s="77">
        <f>'09Mar2026'!Y57</f>
        <v>0</v>
      </c>
    </row>
    <row r="522" spans="1:2" x14ac:dyDescent="0.25">
      <c r="A522" s="2" t="s">
        <v>728</v>
      </c>
      <c r="B522" s="77">
        <f>'09Mar2026'!AA57</f>
        <v>0</v>
      </c>
    </row>
    <row r="523" spans="1:2" x14ac:dyDescent="0.25">
      <c r="A523" s="2" t="s">
        <v>729</v>
      </c>
      <c r="B523" s="77">
        <f>'09Mar2026'!AB57</f>
        <v>0</v>
      </c>
    </row>
    <row r="524" spans="1:2" x14ac:dyDescent="0.25">
      <c r="A524" s="2" t="s">
        <v>730</v>
      </c>
      <c r="B524" s="77">
        <f>'09Mar2026'!AC57</f>
        <v>0</v>
      </c>
    </row>
    <row r="525" spans="1:2" x14ac:dyDescent="0.25">
      <c r="A525" s="2" t="s">
        <v>731</v>
      </c>
      <c r="B525" s="77">
        <f>'09Mar2026'!AD57</f>
        <v>0</v>
      </c>
    </row>
    <row r="526" spans="1:2" x14ac:dyDescent="0.25">
      <c r="A526" s="2" t="s">
        <v>732</v>
      </c>
      <c r="B526" s="77">
        <f>'09Mar2026'!J58</f>
        <v>0</v>
      </c>
    </row>
    <row r="527" spans="1:2" x14ac:dyDescent="0.25">
      <c r="A527" s="2" t="s">
        <v>733</v>
      </c>
      <c r="B527" s="77">
        <f>'09Mar2026'!K58</f>
        <v>0</v>
      </c>
    </row>
    <row r="528" spans="1:2" x14ac:dyDescent="0.25">
      <c r="A528" s="2" t="s">
        <v>734</v>
      </c>
      <c r="B528" s="77">
        <f>'09Mar2026'!L58</f>
        <v>0</v>
      </c>
    </row>
    <row r="529" spans="1:2" x14ac:dyDescent="0.25">
      <c r="A529" s="2" t="s">
        <v>735</v>
      </c>
      <c r="B529" s="77">
        <f>'09Mar2026'!M58</f>
        <v>0</v>
      </c>
    </row>
    <row r="530" spans="1:2" x14ac:dyDescent="0.25">
      <c r="A530" s="2" t="s">
        <v>736</v>
      </c>
      <c r="B530" s="77">
        <f>'09Mar2026'!N58</f>
        <v>0</v>
      </c>
    </row>
    <row r="531" spans="1:2" x14ac:dyDescent="0.25">
      <c r="A531" s="2" t="s">
        <v>737</v>
      </c>
      <c r="B531" s="77">
        <f>'09Mar2026'!O58</f>
        <v>0</v>
      </c>
    </row>
    <row r="532" spans="1:2" x14ac:dyDescent="0.25">
      <c r="A532" s="2" t="s">
        <v>738</v>
      </c>
      <c r="B532" s="77">
        <f>'09Mar2026'!P58</f>
        <v>0</v>
      </c>
    </row>
    <row r="533" spans="1:2" x14ac:dyDescent="0.25">
      <c r="A533" s="2" t="s">
        <v>739</v>
      </c>
      <c r="B533" s="77">
        <f>'09Mar2026'!Q58</f>
        <v>0</v>
      </c>
    </row>
    <row r="534" spans="1:2" x14ac:dyDescent="0.25">
      <c r="A534" s="2" t="s">
        <v>740</v>
      </c>
      <c r="B534" s="77">
        <f>'09Mar2026'!R58</f>
        <v>0</v>
      </c>
    </row>
    <row r="535" spans="1:2" x14ac:dyDescent="0.25">
      <c r="A535" s="2" t="s">
        <v>741</v>
      </c>
      <c r="B535" s="77">
        <f>'09Mar2026'!S58</f>
        <v>0</v>
      </c>
    </row>
    <row r="536" spans="1:2" x14ac:dyDescent="0.25">
      <c r="A536" s="2" t="s">
        <v>742</v>
      </c>
      <c r="B536" s="77">
        <f>'09Mar2026'!T58</f>
        <v>0</v>
      </c>
    </row>
    <row r="537" spans="1:2" x14ac:dyDescent="0.25">
      <c r="A537" s="2" t="s">
        <v>743</v>
      </c>
      <c r="B537" s="77">
        <f>'09Mar2026'!U58</f>
        <v>0</v>
      </c>
    </row>
    <row r="538" spans="1:2" x14ac:dyDescent="0.25">
      <c r="A538" s="2" t="s">
        <v>744</v>
      </c>
      <c r="B538" s="77">
        <f>'09Mar2026'!V58</f>
        <v>0</v>
      </c>
    </row>
    <row r="539" spans="1:2" x14ac:dyDescent="0.25">
      <c r="A539" s="2" t="s">
        <v>745</v>
      </c>
      <c r="B539" s="77">
        <f>'09Mar2026'!W58</f>
        <v>0</v>
      </c>
    </row>
    <row r="540" spans="1:2" x14ac:dyDescent="0.25">
      <c r="A540" s="2" t="s">
        <v>746</v>
      </c>
      <c r="B540" s="77">
        <f>'09Mar2026'!X58</f>
        <v>0</v>
      </c>
    </row>
    <row r="541" spans="1:2" x14ac:dyDescent="0.25">
      <c r="A541" s="2" t="s">
        <v>747</v>
      </c>
      <c r="B541" s="77">
        <f>'09Mar2026'!Y58</f>
        <v>0</v>
      </c>
    </row>
    <row r="542" spans="1:2" x14ac:dyDescent="0.25">
      <c r="A542" s="2" t="s">
        <v>748</v>
      </c>
      <c r="B542" s="77">
        <f>'09Mar2026'!AA58</f>
        <v>0</v>
      </c>
    </row>
    <row r="543" spans="1:2" x14ac:dyDescent="0.25">
      <c r="A543" s="2" t="s">
        <v>749</v>
      </c>
      <c r="B543" s="77">
        <f>'09Mar2026'!AB58</f>
        <v>0</v>
      </c>
    </row>
    <row r="544" spans="1:2" x14ac:dyDescent="0.25">
      <c r="A544" s="2" t="s">
        <v>750</v>
      </c>
      <c r="B544" s="77">
        <f>'09Mar2026'!AC58</f>
        <v>0</v>
      </c>
    </row>
    <row r="545" spans="1:2" x14ac:dyDescent="0.25">
      <c r="A545" s="2" t="s">
        <v>751</v>
      </c>
      <c r="B545" s="77">
        <f>'09Mar2026'!AD58</f>
        <v>0</v>
      </c>
    </row>
    <row r="546" spans="1:2" x14ac:dyDescent="0.25">
      <c r="A546" s="2" t="s">
        <v>752</v>
      </c>
      <c r="B546" s="77">
        <f>'09Mar2026'!Q59</f>
        <v>0</v>
      </c>
    </row>
    <row r="547" spans="1:2" x14ac:dyDescent="0.25">
      <c r="A547" s="2" t="s">
        <v>753</v>
      </c>
      <c r="B547" s="77">
        <f>'09Mar2026'!R59</f>
        <v>0</v>
      </c>
    </row>
    <row r="548" spans="1:2" x14ac:dyDescent="0.25">
      <c r="A548" s="2" t="s">
        <v>754</v>
      </c>
      <c r="B548" s="77">
        <f>'09Mar2026'!S59</f>
        <v>0</v>
      </c>
    </row>
    <row r="549" spans="1:2" x14ac:dyDescent="0.25">
      <c r="A549" s="2" t="s">
        <v>755</v>
      </c>
      <c r="B549" s="77">
        <f>'09Mar2026'!T59</f>
        <v>0</v>
      </c>
    </row>
    <row r="550" spans="1:2" x14ac:dyDescent="0.25">
      <c r="A550" s="2" t="s">
        <v>756</v>
      </c>
      <c r="B550" s="77">
        <f>'09Mar2026'!U59</f>
        <v>0</v>
      </c>
    </row>
    <row r="551" spans="1:2" x14ac:dyDescent="0.25">
      <c r="A551" s="2" t="s">
        <v>757</v>
      </c>
      <c r="B551" s="77">
        <f>'09Mar2026'!V59</f>
        <v>0</v>
      </c>
    </row>
    <row r="552" spans="1:2" x14ac:dyDescent="0.25">
      <c r="A552" s="2" t="s">
        <v>758</v>
      </c>
      <c r="B552" s="77">
        <f>'09Mar2026'!W59</f>
        <v>0</v>
      </c>
    </row>
    <row r="553" spans="1:2" x14ac:dyDescent="0.25">
      <c r="A553" s="2" t="s">
        <v>759</v>
      </c>
      <c r="B553" s="77">
        <f>'09Mar2026'!X59</f>
        <v>0</v>
      </c>
    </row>
    <row r="554" spans="1:2" x14ac:dyDescent="0.25">
      <c r="A554" s="2" t="s">
        <v>760</v>
      </c>
      <c r="B554" s="77">
        <f>'09Mar2026'!Y59</f>
        <v>0</v>
      </c>
    </row>
    <row r="555" spans="1:2" x14ac:dyDescent="0.25">
      <c r="A555" s="2" t="s">
        <v>761</v>
      </c>
      <c r="B555" s="77">
        <f>'09Mar2026'!AA59</f>
        <v>0</v>
      </c>
    </row>
    <row r="556" spans="1:2" x14ac:dyDescent="0.25">
      <c r="A556" s="2" t="s">
        <v>762</v>
      </c>
      <c r="B556" s="77">
        <f>'09Mar2026'!AB59</f>
        <v>0</v>
      </c>
    </row>
    <row r="557" spans="1:2" x14ac:dyDescent="0.25">
      <c r="A557" s="2" t="s">
        <v>763</v>
      </c>
      <c r="B557" s="77">
        <f>'09Mar2026'!AC59</f>
        <v>0</v>
      </c>
    </row>
    <row r="558" spans="1:2" x14ac:dyDescent="0.25">
      <c r="A558" s="2" t="s">
        <v>764</v>
      </c>
      <c r="B558" s="77">
        <f>'09Mar2026'!AD59</f>
        <v>0</v>
      </c>
    </row>
    <row r="559" spans="1:2" x14ac:dyDescent="0.25">
      <c r="A559" s="2" t="s">
        <v>765</v>
      </c>
      <c r="B559" s="77">
        <f>'09Mar2026'!K61</f>
        <v>0</v>
      </c>
    </row>
    <row r="560" spans="1:2" x14ac:dyDescent="0.25">
      <c r="A560" s="2" t="s">
        <v>766</v>
      </c>
      <c r="B560" s="77">
        <f>'09Mar2026'!R61</f>
        <v>0</v>
      </c>
    </row>
    <row r="561" spans="1:2" x14ac:dyDescent="0.25">
      <c r="A561" s="2" t="s">
        <v>767</v>
      </c>
      <c r="B561" s="77">
        <f>'09Mar2026'!S61</f>
        <v>0</v>
      </c>
    </row>
    <row r="562" spans="1:2" x14ac:dyDescent="0.25">
      <c r="A562" s="2" t="s">
        <v>768</v>
      </c>
      <c r="B562" s="77">
        <f>'09Mar2026'!T61</f>
        <v>0</v>
      </c>
    </row>
    <row r="563" spans="1:2" x14ac:dyDescent="0.25">
      <c r="A563" s="2" t="s">
        <v>769</v>
      </c>
      <c r="B563" s="77">
        <f>'09Mar2026'!U61</f>
        <v>0</v>
      </c>
    </row>
    <row r="564" spans="1:2" x14ac:dyDescent="0.25">
      <c r="A564" s="2" t="s">
        <v>770</v>
      </c>
      <c r="B564" s="77">
        <f>'09Mar2026'!V61</f>
        <v>0</v>
      </c>
    </row>
    <row r="565" spans="1:2" x14ac:dyDescent="0.25">
      <c r="A565" s="2" t="s">
        <v>771</v>
      </c>
      <c r="B565" s="77">
        <f>'09Mar2026'!J62</f>
        <v>0</v>
      </c>
    </row>
    <row r="566" spans="1:2" x14ac:dyDescent="0.25">
      <c r="A566" s="2" t="s">
        <v>772</v>
      </c>
      <c r="B566" s="77">
        <f>'09Mar2026'!K62</f>
        <v>0</v>
      </c>
    </row>
    <row r="567" spans="1:2" x14ac:dyDescent="0.25">
      <c r="A567" s="2" t="s">
        <v>773</v>
      </c>
      <c r="B567" s="77">
        <f>'09Mar2026'!L62</f>
        <v>0</v>
      </c>
    </row>
    <row r="568" spans="1:2" x14ac:dyDescent="0.25">
      <c r="A568" s="2" t="s">
        <v>774</v>
      </c>
      <c r="B568" s="77">
        <f>'09Mar2026'!M62</f>
        <v>0</v>
      </c>
    </row>
    <row r="569" spans="1:2" x14ac:dyDescent="0.25">
      <c r="A569" s="2" t="s">
        <v>775</v>
      </c>
      <c r="B569" s="77">
        <f>'09Mar2026'!N62</f>
        <v>0</v>
      </c>
    </row>
    <row r="570" spans="1:2" x14ac:dyDescent="0.25">
      <c r="A570" s="2" t="s">
        <v>776</v>
      </c>
      <c r="B570" s="77">
        <f>'09Mar2026'!O62</f>
        <v>0</v>
      </c>
    </row>
    <row r="571" spans="1:2" x14ac:dyDescent="0.25">
      <c r="A571" s="2" t="s">
        <v>777</v>
      </c>
      <c r="B571" s="77">
        <f>'09Mar2026'!P62</f>
        <v>0</v>
      </c>
    </row>
    <row r="572" spans="1:2" x14ac:dyDescent="0.25">
      <c r="A572" s="2" t="s">
        <v>778</v>
      </c>
      <c r="B572" s="77">
        <f>'09Mar2026'!Q62</f>
        <v>0</v>
      </c>
    </row>
    <row r="573" spans="1:2" x14ac:dyDescent="0.25">
      <c r="A573" s="2" t="s">
        <v>779</v>
      </c>
      <c r="B573" s="77">
        <f>'09Mar2026'!R62</f>
        <v>0</v>
      </c>
    </row>
    <row r="574" spans="1:2" x14ac:dyDescent="0.25">
      <c r="A574" s="2" t="s">
        <v>780</v>
      </c>
      <c r="B574" s="77">
        <f>'09Mar2026'!S62</f>
        <v>0</v>
      </c>
    </row>
    <row r="575" spans="1:2" x14ac:dyDescent="0.25">
      <c r="A575" s="2" t="s">
        <v>781</v>
      </c>
      <c r="B575" s="77">
        <f>'09Mar2026'!T62</f>
        <v>0</v>
      </c>
    </row>
    <row r="576" spans="1:2" x14ac:dyDescent="0.25">
      <c r="A576" s="2" t="s">
        <v>782</v>
      </c>
      <c r="B576" s="77">
        <f>'09Mar2026'!U62</f>
        <v>0</v>
      </c>
    </row>
    <row r="577" spans="1:2" x14ac:dyDescent="0.25">
      <c r="A577" s="2" t="s">
        <v>783</v>
      </c>
      <c r="B577" s="77">
        <f>'09Mar2026'!V62</f>
        <v>0</v>
      </c>
    </row>
    <row r="578" spans="1:2" x14ac:dyDescent="0.25">
      <c r="A578" s="2" t="s">
        <v>784</v>
      </c>
      <c r="B578" s="77">
        <f>'09Mar2026'!J63</f>
        <v>0</v>
      </c>
    </row>
    <row r="579" spans="1:2" x14ac:dyDescent="0.25">
      <c r="A579" s="2" t="s">
        <v>785</v>
      </c>
      <c r="B579" s="77">
        <f>'09Mar2026'!K63</f>
        <v>0</v>
      </c>
    </row>
    <row r="580" spans="1:2" x14ac:dyDescent="0.25">
      <c r="A580" s="2" t="s">
        <v>786</v>
      </c>
      <c r="B580" s="77">
        <f>'09Mar2026'!L63</f>
        <v>0</v>
      </c>
    </row>
    <row r="581" spans="1:2" x14ac:dyDescent="0.25">
      <c r="A581" s="2" t="s">
        <v>787</v>
      </c>
      <c r="B581" s="77">
        <f>'09Mar2026'!M63</f>
        <v>0</v>
      </c>
    </row>
    <row r="582" spans="1:2" x14ac:dyDescent="0.25">
      <c r="A582" s="2" t="s">
        <v>788</v>
      </c>
      <c r="B582" s="77">
        <f>'09Mar2026'!N63</f>
        <v>0</v>
      </c>
    </row>
    <row r="583" spans="1:2" x14ac:dyDescent="0.25">
      <c r="A583" s="2" t="s">
        <v>789</v>
      </c>
      <c r="B583" s="77">
        <f>'09Mar2026'!O63</f>
        <v>0</v>
      </c>
    </row>
    <row r="584" spans="1:2" x14ac:dyDescent="0.25">
      <c r="A584" s="2" t="s">
        <v>790</v>
      </c>
      <c r="B584" s="77">
        <f>'09Mar2026'!P63</f>
        <v>0</v>
      </c>
    </row>
    <row r="585" spans="1:2" x14ac:dyDescent="0.25">
      <c r="A585" s="2" t="s">
        <v>791</v>
      </c>
      <c r="B585" s="77">
        <f>'09Mar2026'!Q63</f>
        <v>0</v>
      </c>
    </row>
    <row r="586" spans="1:2" x14ac:dyDescent="0.25">
      <c r="A586" s="2" t="s">
        <v>792</v>
      </c>
      <c r="B586" s="77">
        <f>'09Mar2026'!R63</f>
        <v>0</v>
      </c>
    </row>
    <row r="587" spans="1:2" x14ac:dyDescent="0.25">
      <c r="A587" s="2" t="s">
        <v>793</v>
      </c>
      <c r="B587" s="77">
        <f>'09Mar2026'!S63</f>
        <v>0</v>
      </c>
    </row>
    <row r="588" spans="1:2" x14ac:dyDescent="0.25">
      <c r="A588" s="2" t="s">
        <v>794</v>
      </c>
      <c r="B588" s="77">
        <f>'09Mar2026'!T63</f>
        <v>0</v>
      </c>
    </row>
    <row r="589" spans="1:2" x14ac:dyDescent="0.25">
      <c r="A589" s="2" t="s">
        <v>795</v>
      </c>
      <c r="B589" s="77">
        <f>'09Mar2026'!U63</f>
        <v>0</v>
      </c>
    </row>
    <row r="590" spans="1:2" x14ac:dyDescent="0.25">
      <c r="A590" s="2" t="s">
        <v>796</v>
      </c>
      <c r="B590" s="77">
        <f>'09Mar2026'!V63</f>
        <v>0</v>
      </c>
    </row>
    <row r="591" spans="1:2" x14ac:dyDescent="0.25">
      <c r="A591" s="2" t="s">
        <v>797</v>
      </c>
      <c r="B591" s="77">
        <f>'09Mar2026'!J64</f>
        <v>0</v>
      </c>
    </row>
    <row r="592" spans="1:2" x14ac:dyDescent="0.25">
      <c r="A592" s="2" t="s">
        <v>798</v>
      </c>
      <c r="B592" s="77">
        <f>'09Mar2026'!K64</f>
        <v>0</v>
      </c>
    </row>
    <row r="593" spans="1:2" x14ac:dyDescent="0.25">
      <c r="A593" s="2" t="s">
        <v>799</v>
      </c>
      <c r="B593" s="77">
        <f>'09Mar2026'!L64</f>
        <v>0</v>
      </c>
    </row>
    <row r="594" spans="1:2" x14ac:dyDescent="0.25">
      <c r="A594" s="2" t="s">
        <v>800</v>
      </c>
      <c r="B594" s="77">
        <f>'09Mar2026'!M64</f>
        <v>0</v>
      </c>
    </row>
    <row r="595" spans="1:2" x14ac:dyDescent="0.25">
      <c r="A595" s="2" t="s">
        <v>801</v>
      </c>
      <c r="B595" s="77">
        <f>'09Mar2026'!N64</f>
        <v>0</v>
      </c>
    </row>
    <row r="596" spans="1:2" x14ac:dyDescent="0.25">
      <c r="A596" s="2" t="s">
        <v>802</v>
      </c>
      <c r="B596" s="77">
        <f>'09Mar2026'!O64</f>
        <v>0</v>
      </c>
    </row>
    <row r="597" spans="1:2" x14ac:dyDescent="0.25">
      <c r="A597" s="2" t="s">
        <v>803</v>
      </c>
      <c r="B597" s="77">
        <f>'09Mar2026'!P64</f>
        <v>0</v>
      </c>
    </row>
    <row r="598" spans="1:2" x14ac:dyDescent="0.25">
      <c r="A598" s="2" t="s">
        <v>804</v>
      </c>
      <c r="B598" s="77">
        <f>'09Mar2026'!Q64</f>
        <v>0</v>
      </c>
    </row>
    <row r="599" spans="1:2" x14ac:dyDescent="0.25">
      <c r="A599" s="2" t="s">
        <v>805</v>
      </c>
      <c r="B599" s="77">
        <f>'09Mar2026'!R64</f>
        <v>0</v>
      </c>
    </row>
    <row r="600" spans="1:2" x14ac:dyDescent="0.25">
      <c r="A600" s="2" t="s">
        <v>806</v>
      </c>
      <c r="B600" s="77">
        <f>'09Mar2026'!S64</f>
        <v>0</v>
      </c>
    </row>
    <row r="601" spans="1:2" x14ac:dyDescent="0.25">
      <c r="A601" s="2" t="s">
        <v>807</v>
      </c>
      <c r="B601" s="77">
        <f>'09Mar2026'!T64</f>
        <v>0</v>
      </c>
    </row>
    <row r="602" spans="1:2" x14ac:dyDescent="0.25">
      <c r="A602" s="2" t="s">
        <v>808</v>
      </c>
      <c r="B602" s="77">
        <f>'09Mar2026'!U64</f>
        <v>0</v>
      </c>
    </row>
    <row r="603" spans="1:2" x14ac:dyDescent="0.25">
      <c r="A603" s="2" t="s">
        <v>809</v>
      </c>
      <c r="B603" s="77">
        <f>'09Mar2026'!V64</f>
        <v>0</v>
      </c>
    </row>
    <row r="604" spans="1:2" x14ac:dyDescent="0.25">
      <c r="A604" s="2" t="s">
        <v>810</v>
      </c>
      <c r="B604" s="77">
        <f>'09Mar2026'!J65</f>
        <v>0</v>
      </c>
    </row>
    <row r="605" spans="1:2" x14ac:dyDescent="0.25">
      <c r="A605" s="2" t="s">
        <v>811</v>
      </c>
      <c r="B605" s="77">
        <f>'09Mar2026'!K65</f>
        <v>0</v>
      </c>
    </row>
    <row r="606" spans="1:2" x14ac:dyDescent="0.25">
      <c r="A606" s="2" t="s">
        <v>812</v>
      </c>
      <c r="B606" s="77">
        <f>'09Mar2026'!L65</f>
        <v>0</v>
      </c>
    </row>
    <row r="607" spans="1:2" x14ac:dyDescent="0.25">
      <c r="A607" s="2" t="s">
        <v>813</v>
      </c>
      <c r="B607" s="77">
        <f>'09Mar2026'!M65</f>
        <v>0</v>
      </c>
    </row>
    <row r="608" spans="1:2" x14ac:dyDescent="0.25">
      <c r="A608" s="2" t="s">
        <v>814</v>
      </c>
      <c r="B608" s="77">
        <f>'09Mar2026'!N65</f>
        <v>0</v>
      </c>
    </row>
    <row r="609" spans="1:2" x14ac:dyDescent="0.25">
      <c r="A609" s="2" t="s">
        <v>815</v>
      </c>
      <c r="B609" s="77">
        <f>'09Mar2026'!O65</f>
        <v>0</v>
      </c>
    </row>
    <row r="610" spans="1:2" x14ac:dyDescent="0.25">
      <c r="A610" s="2" t="s">
        <v>816</v>
      </c>
      <c r="B610" s="77">
        <f>'09Mar2026'!P65</f>
        <v>0</v>
      </c>
    </row>
    <row r="611" spans="1:2" x14ac:dyDescent="0.25">
      <c r="A611" s="2" t="s">
        <v>817</v>
      </c>
      <c r="B611" s="77">
        <f>'09Mar2026'!Q65</f>
        <v>0</v>
      </c>
    </row>
    <row r="612" spans="1:2" x14ac:dyDescent="0.25">
      <c r="A612" s="2" t="s">
        <v>818</v>
      </c>
      <c r="B612" s="77">
        <f>'09Mar2026'!R65</f>
        <v>0</v>
      </c>
    </row>
    <row r="613" spans="1:2" x14ac:dyDescent="0.25">
      <c r="A613" s="2" t="s">
        <v>819</v>
      </c>
      <c r="B613" s="77">
        <f>'09Mar2026'!S65</f>
        <v>0</v>
      </c>
    </row>
    <row r="614" spans="1:2" x14ac:dyDescent="0.25">
      <c r="A614" s="2" t="s">
        <v>820</v>
      </c>
      <c r="B614" s="77">
        <f>'09Mar2026'!T65</f>
        <v>0</v>
      </c>
    </row>
    <row r="615" spans="1:2" x14ac:dyDescent="0.25">
      <c r="A615" s="2" t="s">
        <v>821</v>
      </c>
      <c r="B615" s="77">
        <f>'09Mar2026'!U65</f>
        <v>0</v>
      </c>
    </row>
    <row r="616" spans="1:2" x14ac:dyDescent="0.25">
      <c r="A616" s="2" t="s">
        <v>822</v>
      </c>
      <c r="B616" s="77">
        <f>'09Mar2026'!V65</f>
        <v>0</v>
      </c>
    </row>
    <row r="617" spans="1:2" x14ac:dyDescent="0.25">
      <c r="A617" s="2" t="s">
        <v>823</v>
      </c>
      <c r="B617" s="77">
        <f>'09Mar2026'!Q67</f>
        <v>0</v>
      </c>
    </row>
    <row r="618" spans="1:2" x14ac:dyDescent="0.25">
      <c r="A618" s="2" t="s">
        <v>824</v>
      </c>
      <c r="B618" s="77">
        <f>'09Mar2026'!R67</f>
        <v>0</v>
      </c>
    </row>
    <row r="619" spans="1:2" x14ac:dyDescent="0.25">
      <c r="A619" s="2" t="s">
        <v>825</v>
      </c>
      <c r="B619" s="77">
        <f>'09Mar2026'!S67</f>
        <v>0</v>
      </c>
    </row>
    <row r="620" spans="1:2" x14ac:dyDescent="0.25">
      <c r="A620" s="2" t="s">
        <v>826</v>
      </c>
      <c r="B620" s="77">
        <f>'09Mar2026'!T67</f>
        <v>0</v>
      </c>
    </row>
    <row r="621" spans="1:2" x14ac:dyDescent="0.25">
      <c r="A621" s="2" t="s">
        <v>827</v>
      </c>
      <c r="B621" s="77">
        <f>'09Mar2026'!U67</f>
        <v>0</v>
      </c>
    </row>
    <row r="622" spans="1:2" x14ac:dyDescent="0.25">
      <c r="A622" s="2" t="s">
        <v>828</v>
      </c>
      <c r="B622" s="77">
        <f>'09Mar2026'!V67</f>
        <v>0</v>
      </c>
    </row>
    <row r="623" spans="1:2" x14ac:dyDescent="0.25">
      <c r="A623" s="2" t="s">
        <v>829</v>
      </c>
      <c r="B623" s="77">
        <f>'09Mar2026'!W67</f>
        <v>0</v>
      </c>
    </row>
    <row r="624" spans="1:2" x14ac:dyDescent="0.25">
      <c r="A624" s="2" t="s">
        <v>830</v>
      </c>
      <c r="B624" s="77">
        <f>'09Mar2026'!X67</f>
        <v>0</v>
      </c>
    </row>
    <row r="625" spans="1:2" x14ac:dyDescent="0.25">
      <c r="A625" s="2" t="s">
        <v>831</v>
      </c>
      <c r="B625" s="77">
        <f>'09Mar2026'!Y67</f>
        <v>0</v>
      </c>
    </row>
    <row r="626" spans="1:2" x14ac:dyDescent="0.25">
      <c r="A626" s="2" t="s">
        <v>832</v>
      </c>
      <c r="B626" s="77">
        <f>'09Mar2026'!AA67</f>
        <v>0</v>
      </c>
    </row>
    <row r="627" spans="1:2" x14ac:dyDescent="0.25">
      <c r="A627" s="2" t="s">
        <v>833</v>
      </c>
      <c r="B627" s="77">
        <f>'09Mar2026'!AB67</f>
        <v>0</v>
      </c>
    </row>
    <row r="628" spans="1:2" x14ac:dyDescent="0.25">
      <c r="A628" s="2" t="s">
        <v>834</v>
      </c>
      <c r="B628" s="77">
        <f>'09Mar2026'!AC67</f>
        <v>0</v>
      </c>
    </row>
    <row r="629" spans="1:2" x14ac:dyDescent="0.25">
      <c r="A629" s="2" t="s">
        <v>835</v>
      </c>
      <c r="B629" s="77">
        <f>'09Mar2026'!AD67</f>
        <v>0</v>
      </c>
    </row>
    <row r="630" spans="1:2" x14ac:dyDescent="0.25">
      <c r="A630" s="2" t="s">
        <v>836</v>
      </c>
      <c r="B630" s="77">
        <f>'09Mar2026'!Q68</f>
        <v>0</v>
      </c>
    </row>
    <row r="631" spans="1:2" x14ac:dyDescent="0.25">
      <c r="A631" s="2" t="s">
        <v>837</v>
      </c>
      <c r="B631" s="77">
        <f>'09Mar2026'!R68</f>
        <v>0</v>
      </c>
    </row>
    <row r="632" spans="1:2" x14ac:dyDescent="0.25">
      <c r="A632" s="2" t="s">
        <v>838</v>
      </c>
      <c r="B632" s="77">
        <f>'09Mar2026'!S68</f>
        <v>0</v>
      </c>
    </row>
    <row r="633" spans="1:2" x14ac:dyDescent="0.25">
      <c r="A633" s="2" t="s">
        <v>839</v>
      </c>
      <c r="B633" s="77">
        <f>'09Mar2026'!T68</f>
        <v>0</v>
      </c>
    </row>
    <row r="634" spans="1:2" x14ac:dyDescent="0.25">
      <c r="A634" s="2" t="s">
        <v>840</v>
      </c>
      <c r="B634" s="77">
        <f>'09Mar2026'!U68</f>
        <v>0</v>
      </c>
    </row>
    <row r="635" spans="1:2" x14ac:dyDescent="0.25">
      <c r="A635" s="2" t="s">
        <v>841</v>
      </c>
      <c r="B635" s="77">
        <f>'09Mar2026'!V68</f>
        <v>0</v>
      </c>
    </row>
    <row r="636" spans="1:2" x14ac:dyDescent="0.25">
      <c r="A636" s="2" t="s">
        <v>842</v>
      </c>
      <c r="B636" s="77">
        <f>'09Mar2026'!W68</f>
        <v>0</v>
      </c>
    </row>
    <row r="637" spans="1:2" x14ac:dyDescent="0.25">
      <c r="A637" s="2" t="s">
        <v>843</v>
      </c>
      <c r="B637" s="77">
        <f>'09Mar2026'!X68</f>
        <v>0</v>
      </c>
    </row>
    <row r="638" spans="1:2" x14ac:dyDescent="0.25">
      <c r="A638" s="2" t="s">
        <v>844</v>
      </c>
      <c r="B638" s="77">
        <f>'09Mar2026'!Y68</f>
        <v>0</v>
      </c>
    </row>
    <row r="639" spans="1:2" x14ac:dyDescent="0.25">
      <c r="A639" s="2" t="s">
        <v>845</v>
      </c>
      <c r="B639" s="77">
        <f>'09Mar2026'!Z68</f>
        <v>0</v>
      </c>
    </row>
    <row r="640" spans="1:2" x14ac:dyDescent="0.25">
      <c r="A640" s="2" t="s">
        <v>846</v>
      </c>
      <c r="B640" s="77">
        <f>'09Mar2026'!AA68</f>
        <v>0</v>
      </c>
    </row>
    <row r="641" spans="1:2" x14ac:dyDescent="0.25">
      <c r="A641" s="2" t="s">
        <v>847</v>
      </c>
      <c r="B641" s="77">
        <f>'09Mar2026'!AB68</f>
        <v>0</v>
      </c>
    </row>
    <row r="642" spans="1:2" x14ac:dyDescent="0.25">
      <c r="A642" s="2" t="s">
        <v>848</v>
      </c>
      <c r="B642" s="77">
        <f>'09Mar2026'!AC68</f>
        <v>0</v>
      </c>
    </row>
    <row r="643" spans="1:2" x14ac:dyDescent="0.25">
      <c r="A643" s="2" t="s">
        <v>849</v>
      </c>
      <c r="B643" s="77">
        <f>'09Mar2026'!AD68</f>
        <v>0</v>
      </c>
    </row>
    <row r="644" spans="1:2" x14ac:dyDescent="0.25">
      <c r="A644" s="2" t="s">
        <v>850</v>
      </c>
      <c r="B644" s="77">
        <f>'09Mar2026'!Q69</f>
        <v>0</v>
      </c>
    </row>
    <row r="645" spans="1:2" x14ac:dyDescent="0.25">
      <c r="A645" s="2" t="s">
        <v>851</v>
      </c>
      <c r="B645" s="77">
        <f>'09Mar2026'!R69</f>
        <v>0</v>
      </c>
    </row>
    <row r="646" spans="1:2" x14ac:dyDescent="0.25">
      <c r="A646" s="2" t="s">
        <v>852</v>
      </c>
      <c r="B646" s="77">
        <f>'09Mar2026'!S69</f>
        <v>0</v>
      </c>
    </row>
    <row r="647" spans="1:2" x14ac:dyDescent="0.25">
      <c r="A647" s="2" t="s">
        <v>853</v>
      </c>
      <c r="B647" s="77">
        <f>'09Mar2026'!T69</f>
        <v>0</v>
      </c>
    </row>
    <row r="648" spans="1:2" x14ac:dyDescent="0.25">
      <c r="A648" s="2" t="s">
        <v>854</v>
      </c>
      <c r="B648" s="77">
        <f>'09Mar2026'!U69</f>
        <v>0</v>
      </c>
    </row>
    <row r="649" spans="1:2" x14ac:dyDescent="0.25">
      <c r="A649" s="2" t="s">
        <v>855</v>
      </c>
      <c r="B649" s="77">
        <f>'09Mar2026'!V69</f>
        <v>0</v>
      </c>
    </row>
    <row r="650" spans="1:2" x14ac:dyDescent="0.25">
      <c r="A650" s="2" t="s">
        <v>856</v>
      </c>
      <c r="B650" s="77">
        <f>'09Mar2026'!W69</f>
        <v>0</v>
      </c>
    </row>
    <row r="651" spans="1:2" x14ac:dyDescent="0.25">
      <c r="A651" s="2" t="s">
        <v>857</v>
      </c>
      <c r="B651" s="77">
        <f>'09Mar2026'!X69</f>
        <v>0</v>
      </c>
    </row>
    <row r="652" spans="1:2" x14ac:dyDescent="0.25">
      <c r="A652" s="2" t="s">
        <v>858</v>
      </c>
      <c r="B652" s="77">
        <f>'09Mar2026'!Y69</f>
        <v>0</v>
      </c>
    </row>
    <row r="653" spans="1:2" x14ac:dyDescent="0.25">
      <c r="A653" s="2" t="s">
        <v>859</v>
      </c>
      <c r="B653" s="77">
        <f>'09Mar2026'!Z69</f>
        <v>0</v>
      </c>
    </row>
    <row r="654" spans="1:2" x14ac:dyDescent="0.25">
      <c r="A654" s="2" t="s">
        <v>860</v>
      </c>
      <c r="B654" s="77">
        <f>'09Mar2026'!AA69</f>
        <v>0</v>
      </c>
    </row>
    <row r="655" spans="1:2" x14ac:dyDescent="0.25">
      <c r="A655" s="2" t="s">
        <v>861</v>
      </c>
      <c r="B655" s="77">
        <f>'09Mar2026'!AB69</f>
        <v>0</v>
      </c>
    </row>
    <row r="656" spans="1:2" x14ac:dyDescent="0.25">
      <c r="A656" s="2" t="s">
        <v>862</v>
      </c>
      <c r="B656" s="77">
        <f>'09Mar2026'!AC69</f>
        <v>0</v>
      </c>
    </row>
    <row r="657" spans="1:2" x14ac:dyDescent="0.25">
      <c r="A657" s="2" t="s">
        <v>863</v>
      </c>
      <c r="B657" s="77">
        <f>'09Mar2026'!AD69</f>
        <v>0</v>
      </c>
    </row>
    <row r="658" spans="1:2" x14ac:dyDescent="0.25">
      <c r="A658" s="2" t="s">
        <v>864</v>
      </c>
      <c r="B658" s="77">
        <f>'09Mar2026'!Q70</f>
        <v>0</v>
      </c>
    </row>
    <row r="659" spans="1:2" x14ac:dyDescent="0.25">
      <c r="A659" s="2" t="s">
        <v>865</v>
      </c>
      <c r="B659" s="77">
        <f>'09Mar2026'!R70</f>
        <v>0</v>
      </c>
    </row>
    <row r="660" spans="1:2" x14ac:dyDescent="0.25">
      <c r="A660" s="2" t="s">
        <v>866</v>
      </c>
      <c r="B660" s="77">
        <f>'09Mar2026'!S70</f>
        <v>0</v>
      </c>
    </row>
    <row r="661" spans="1:2" x14ac:dyDescent="0.25">
      <c r="A661" s="2" t="s">
        <v>867</v>
      </c>
      <c r="B661" s="77">
        <f>'09Mar2026'!T70</f>
        <v>0</v>
      </c>
    </row>
    <row r="662" spans="1:2" x14ac:dyDescent="0.25">
      <c r="A662" s="2" t="s">
        <v>868</v>
      </c>
      <c r="B662" s="77">
        <f>'09Mar2026'!U70</f>
        <v>0</v>
      </c>
    </row>
    <row r="663" spans="1:2" x14ac:dyDescent="0.25">
      <c r="A663" s="2" t="s">
        <v>869</v>
      </c>
      <c r="B663" s="77">
        <f>'09Mar2026'!V70</f>
        <v>0</v>
      </c>
    </row>
    <row r="664" spans="1:2" x14ac:dyDescent="0.25">
      <c r="A664" s="2" t="s">
        <v>870</v>
      </c>
      <c r="B664" s="77">
        <f>'09Mar2026'!W70</f>
        <v>0</v>
      </c>
    </row>
    <row r="665" spans="1:2" x14ac:dyDescent="0.25">
      <c r="A665" s="2" t="s">
        <v>871</v>
      </c>
      <c r="B665" s="77">
        <f>'09Mar2026'!X70</f>
        <v>0</v>
      </c>
    </row>
    <row r="666" spans="1:2" x14ac:dyDescent="0.25">
      <c r="A666" s="2" t="s">
        <v>872</v>
      </c>
      <c r="B666" s="77">
        <f>'09Mar2026'!Y70</f>
        <v>0</v>
      </c>
    </row>
    <row r="667" spans="1:2" x14ac:dyDescent="0.25">
      <c r="A667" s="2" t="s">
        <v>873</v>
      </c>
      <c r="B667" s="77">
        <f>'09Mar2026'!AA70</f>
        <v>0</v>
      </c>
    </row>
    <row r="668" spans="1:2" x14ac:dyDescent="0.25">
      <c r="A668" s="2" t="s">
        <v>874</v>
      </c>
      <c r="B668" s="77">
        <f>'09Mar2026'!AB70</f>
        <v>0</v>
      </c>
    </row>
    <row r="669" spans="1:2" x14ac:dyDescent="0.25">
      <c r="A669" s="2" t="s">
        <v>875</v>
      </c>
      <c r="B669" s="77">
        <f>'09Mar2026'!AC70</f>
        <v>0</v>
      </c>
    </row>
    <row r="670" spans="1:2" x14ac:dyDescent="0.25">
      <c r="A670" s="2" t="s">
        <v>876</v>
      </c>
      <c r="B670" s="77">
        <f>'09Mar2026'!AD70</f>
        <v>0</v>
      </c>
    </row>
    <row r="671" spans="1:2" x14ac:dyDescent="0.25">
      <c r="A671" s="2" t="s">
        <v>877</v>
      </c>
      <c r="B671" s="77">
        <f>'09Mar2026'!Q71</f>
        <v>0</v>
      </c>
    </row>
    <row r="672" spans="1:2" x14ac:dyDescent="0.25">
      <c r="A672" s="2" t="s">
        <v>878</v>
      </c>
      <c r="B672" s="77">
        <f>'09Mar2026'!R71</f>
        <v>0</v>
      </c>
    </row>
    <row r="673" spans="1:2" x14ac:dyDescent="0.25">
      <c r="A673" s="2" t="s">
        <v>879</v>
      </c>
      <c r="B673" s="77">
        <f>'09Mar2026'!S71</f>
        <v>0</v>
      </c>
    </row>
    <row r="674" spans="1:2" x14ac:dyDescent="0.25">
      <c r="A674" s="2" t="s">
        <v>880</v>
      </c>
      <c r="B674" s="77">
        <f>'09Mar2026'!T71</f>
        <v>0</v>
      </c>
    </row>
    <row r="675" spans="1:2" x14ac:dyDescent="0.25">
      <c r="A675" s="2" t="s">
        <v>881</v>
      </c>
      <c r="B675" s="77">
        <f>'09Mar2026'!U71</f>
        <v>0</v>
      </c>
    </row>
    <row r="676" spans="1:2" x14ac:dyDescent="0.25">
      <c r="A676" s="2" t="s">
        <v>882</v>
      </c>
      <c r="B676" s="77">
        <f>'09Mar2026'!V71</f>
        <v>0</v>
      </c>
    </row>
    <row r="677" spans="1:2" x14ac:dyDescent="0.25">
      <c r="A677" s="2" t="s">
        <v>883</v>
      </c>
      <c r="B677" s="77">
        <f>'09Mar2026'!W71</f>
        <v>0</v>
      </c>
    </row>
    <row r="678" spans="1:2" x14ac:dyDescent="0.25">
      <c r="A678" s="2" t="s">
        <v>884</v>
      </c>
      <c r="B678" s="77">
        <f>'09Mar2026'!Y71</f>
        <v>0</v>
      </c>
    </row>
    <row r="679" spans="1:2" x14ac:dyDescent="0.25">
      <c r="A679" s="2" t="s">
        <v>885</v>
      </c>
      <c r="B679" s="77">
        <f>'09Mar2026'!AA71</f>
        <v>0</v>
      </c>
    </row>
    <row r="680" spans="1:2" x14ac:dyDescent="0.25">
      <c r="A680" s="2" t="s">
        <v>886</v>
      </c>
      <c r="B680" s="77">
        <f>'09Mar2026'!AB71</f>
        <v>0</v>
      </c>
    </row>
    <row r="681" spans="1:2" x14ac:dyDescent="0.25">
      <c r="A681" s="2" t="s">
        <v>887</v>
      </c>
      <c r="B681" s="77">
        <f>'09Mar2026'!AC71</f>
        <v>0</v>
      </c>
    </row>
    <row r="682" spans="1:2" x14ac:dyDescent="0.25">
      <c r="A682" s="2" t="s">
        <v>888</v>
      </c>
      <c r="B682" s="77">
        <f>'09Mar2026'!AD71</f>
        <v>0</v>
      </c>
    </row>
    <row r="683" spans="1:2" x14ac:dyDescent="0.25">
      <c r="A683" s="2" t="s">
        <v>889</v>
      </c>
      <c r="B683" s="77">
        <f>'09Mar2026'!Q72</f>
        <v>0</v>
      </c>
    </row>
    <row r="684" spans="1:2" x14ac:dyDescent="0.25">
      <c r="A684" s="2" t="s">
        <v>890</v>
      </c>
      <c r="B684" s="77">
        <f>'09Mar2026'!S72</f>
        <v>0</v>
      </c>
    </row>
    <row r="685" spans="1:2" x14ac:dyDescent="0.25">
      <c r="A685" s="2" t="s">
        <v>891</v>
      </c>
      <c r="B685" s="77">
        <f>'09Mar2026'!T72</f>
        <v>0</v>
      </c>
    </row>
    <row r="686" spans="1:2" x14ac:dyDescent="0.25">
      <c r="A686" s="2" t="s">
        <v>892</v>
      </c>
      <c r="B686" s="77">
        <f>'09Mar2026'!U72</f>
        <v>0</v>
      </c>
    </row>
    <row r="687" spans="1:2" x14ac:dyDescent="0.25">
      <c r="A687" s="2" t="s">
        <v>893</v>
      </c>
      <c r="B687" s="77">
        <f>'09Mar2026'!V72</f>
        <v>0</v>
      </c>
    </row>
    <row r="688" spans="1:2" x14ac:dyDescent="0.25">
      <c r="A688" s="2" t="s">
        <v>894</v>
      </c>
      <c r="B688" s="77">
        <f>'09Mar2026'!W72</f>
        <v>0</v>
      </c>
    </row>
    <row r="689" spans="1:2" x14ac:dyDescent="0.25">
      <c r="A689" s="2" t="s">
        <v>895</v>
      </c>
      <c r="B689" s="77">
        <f>'09Mar2026'!X72</f>
        <v>0</v>
      </c>
    </row>
    <row r="690" spans="1:2" x14ac:dyDescent="0.25">
      <c r="A690" s="2" t="s">
        <v>896</v>
      </c>
      <c r="B690" s="77">
        <f>'09Mar2026'!Y72</f>
        <v>0</v>
      </c>
    </row>
    <row r="691" spans="1:2" x14ac:dyDescent="0.25">
      <c r="A691" s="2" t="s">
        <v>897</v>
      </c>
      <c r="B691" s="77">
        <f>'09Mar2026'!AA72</f>
        <v>0</v>
      </c>
    </row>
    <row r="692" spans="1:2" x14ac:dyDescent="0.25">
      <c r="A692" s="2" t="s">
        <v>898</v>
      </c>
      <c r="B692" s="77">
        <f>'09Mar2026'!AB72</f>
        <v>0</v>
      </c>
    </row>
    <row r="693" spans="1:2" x14ac:dyDescent="0.25">
      <c r="A693" s="2" t="s">
        <v>899</v>
      </c>
      <c r="B693" s="77">
        <f>'09Mar2026'!AC72</f>
        <v>0</v>
      </c>
    </row>
    <row r="694" spans="1:2" x14ac:dyDescent="0.25">
      <c r="A694" s="2" t="s">
        <v>900</v>
      </c>
      <c r="B694" s="77">
        <f>'09Mar2026'!Q73</f>
        <v>0</v>
      </c>
    </row>
    <row r="695" spans="1:2" x14ac:dyDescent="0.25">
      <c r="A695" s="2" t="s">
        <v>901</v>
      </c>
      <c r="B695" s="77">
        <f>'09Mar2026'!R73</f>
        <v>0</v>
      </c>
    </row>
    <row r="696" spans="1:2" x14ac:dyDescent="0.25">
      <c r="A696" s="2" t="s">
        <v>902</v>
      </c>
      <c r="B696" s="77">
        <f>'09Mar2026'!W73</f>
        <v>0</v>
      </c>
    </row>
    <row r="697" spans="1:2" x14ac:dyDescent="0.25">
      <c r="A697" s="2" t="s">
        <v>903</v>
      </c>
      <c r="B697" s="77">
        <f>'09Mar2026'!X73</f>
        <v>0</v>
      </c>
    </row>
    <row r="698" spans="1:2" x14ac:dyDescent="0.25">
      <c r="A698" s="2" t="s">
        <v>904</v>
      </c>
      <c r="B698" s="77">
        <f>'09Mar2026'!Y73</f>
        <v>0</v>
      </c>
    </row>
    <row r="699" spans="1:2" x14ac:dyDescent="0.25">
      <c r="A699" s="2" t="s">
        <v>905</v>
      </c>
      <c r="B699" s="77">
        <f>'09Mar2026'!AA73</f>
        <v>0</v>
      </c>
    </row>
    <row r="700" spans="1:2" x14ac:dyDescent="0.25">
      <c r="A700" s="2" t="s">
        <v>906</v>
      </c>
      <c r="B700" s="77">
        <f>'09Mar2026'!AC73</f>
        <v>0</v>
      </c>
    </row>
    <row r="701" spans="1:2" x14ac:dyDescent="0.25">
      <c r="A701" s="2" t="s">
        <v>907</v>
      </c>
      <c r="B701" s="77">
        <f>'09Mar2026'!AD73</f>
        <v>0</v>
      </c>
    </row>
    <row r="702" spans="1:2" x14ac:dyDescent="0.25">
      <c r="A702" s="2" t="s">
        <v>908</v>
      </c>
      <c r="B702" s="77">
        <f>'09Mar2026'!Q74</f>
        <v>0</v>
      </c>
    </row>
    <row r="703" spans="1:2" x14ac:dyDescent="0.25">
      <c r="A703" s="2" t="s">
        <v>909</v>
      </c>
      <c r="B703" s="77">
        <f>'09Mar2026'!R74</f>
        <v>0</v>
      </c>
    </row>
    <row r="704" spans="1:2" x14ac:dyDescent="0.25">
      <c r="A704" s="2" t="s">
        <v>910</v>
      </c>
      <c r="B704" s="77">
        <f>'09Mar2026'!S74</f>
        <v>0</v>
      </c>
    </row>
    <row r="705" spans="1:2" x14ac:dyDescent="0.25">
      <c r="A705" s="2" t="s">
        <v>911</v>
      </c>
      <c r="B705" s="77">
        <f>'09Mar2026'!T74</f>
        <v>0</v>
      </c>
    </row>
    <row r="706" spans="1:2" x14ac:dyDescent="0.25">
      <c r="A706" s="2" t="s">
        <v>912</v>
      </c>
      <c r="B706" s="77">
        <f>'09Mar2026'!U74</f>
        <v>0</v>
      </c>
    </row>
    <row r="707" spans="1:2" x14ac:dyDescent="0.25">
      <c r="A707" s="2" t="s">
        <v>913</v>
      </c>
      <c r="B707" s="77">
        <f>'09Mar2026'!V74</f>
        <v>0</v>
      </c>
    </row>
    <row r="708" spans="1:2" x14ac:dyDescent="0.25">
      <c r="A708" s="2" t="s">
        <v>914</v>
      </c>
      <c r="B708" s="77">
        <f>'09Mar2026'!W74</f>
        <v>0</v>
      </c>
    </row>
    <row r="709" spans="1:2" x14ac:dyDescent="0.25">
      <c r="A709" s="2" t="s">
        <v>915</v>
      </c>
      <c r="B709" s="77">
        <f>'09Mar2026'!X74</f>
        <v>0</v>
      </c>
    </row>
    <row r="710" spans="1:2" x14ac:dyDescent="0.25">
      <c r="A710" s="2" t="s">
        <v>916</v>
      </c>
      <c r="B710" s="77">
        <f>'09Mar2026'!Y74</f>
        <v>0</v>
      </c>
    </row>
    <row r="711" spans="1:2" x14ac:dyDescent="0.25">
      <c r="A711" s="2" t="s">
        <v>917</v>
      </c>
      <c r="B711" s="77">
        <f>'09Mar2026'!Z74</f>
        <v>0</v>
      </c>
    </row>
    <row r="712" spans="1:2" x14ac:dyDescent="0.25">
      <c r="A712" s="2" t="s">
        <v>918</v>
      </c>
      <c r="B712" s="77">
        <f>'09Mar2026'!AA74</f>
        <v>0</v>
      </c>
    </row>
    <row r="713" spans="1:2" x14ac:dyDescent="0.25">
      <c r="A713" s="2" t="s">
        <v>919</v>
      </c>
      <c r="B713" s="77">
        <f>'09Mar2026'!AB74</f>
        <v>0</v>
      </c>
    </row>
    <row r="714" spans="1:2" x14ac:dyDescent="0.25">
      <c r="A714" s="2" t="s">
        <v>920</v>
      </c>
      <c r="B714" s="77">
        <f>'09Mar2026'!AC74</f>
        <v>0</v>
      </c>
    </row>
    <row r="715" spans="1:2" x14ac:dyDescent="0.25">
      <c r="A715" s="2" t="s">
        <v>921</v>
      </c>
      <c r="B715" s="77">
        <f>'09Mar2026'!AD74</f>
        <v>0</v>
      </c>
    </row>
    <row r="716" spans="1:2" x14ac:dyDescent="0.25">
      <c r="A716" s="2" t="s">
        <v>922</v>
      </c>
      <c r="B716" s="77">
        <f>'09Mar2026'!Q75</f>
        <v>0</v>
      </c>
    </row>
    <row r="717" spans="1:2" x14ac:dyDescent="0.25">
      <c r="A717" s="2" t="s">
        <v>923</v>
      </c>
      <c r="B717" s="77">
        <f>'09Mar2026'!R75</f>
        <v>0</v>
      </c>
    </row>
    <row r="718" spans="1:2" x14ac:dyDescent="0.25">
      <c r="A718" s="2" t="s">
        <v>924</v>
      </c>
      <c r="B718" s="77">
        <f>'09Mar2026'!S75</f>
        <v>0</v>
      </c>
    </row>
    <row r="719" spans="1:2" x14ac:dyDescent="0.25">
      <c r="A719" s="2" t="s">
        <v>925</v>
      </c>
      <c r="B719" s="77">
        <f>'09Mar2026'!T75</f>
        <v>0</v>
      </c>
    </row>
    <row r="720" spans="1:2" x14ac:dyDescent="0.25">
      <c r="A720" s="2" t="s">
        <v>926</v>
      </c>
      <c r="B720" s="77">
        <f>'09Mar2026'!U75</f>
        <v>0</v>
      </c>
    </row>
    <row r="721" spans="1:2" x14ac:dyDescent="0.25">
      <c r="A721" s="2" t="s">
        <v>927</v>
      </c>
      <c r="B721" s="77">
        <f>'09Mar2026'!V75</f>
        <v>0</v>
      </c>
    </row>
    <row r="722" spans="1:2" x14ac:dyDescent="0.25">
      <c r="A722" s="2" t="s">
        <v>928</v>
      </c>
      <c r="B722" s="77">
        <f>'09Mar2026'!W75</f>
        <v>0</v>
      </c>
    </row>
    <row r="723" spans="1:2" x14ac:dyDescent="0.25">
      <c r="A723" s="2" t="s">
        <v>929</v>
      </c>
      <c r="B723" s="77">
        <f>'09Mar2026'!X75</f>
        <v>0</v>
      </c>
    </row>
    <row r="724" spans="1:2" x14ac:dyDescent="0.25">
      <c r="A724" s="2" t="s">
        <v>930</v>
      </c>
      <c r="B724" s="77">
        <f>'09Mar2026'!Y75</f>
        <v>0</v>
      </c>
    </row>
    <row r="725" spans="1:2" x14ac:dyDescent="0.25">
      <c r="A725" s="2" t="s">
        <v>931</v>
      </c>
      <c r="B725" s="77">
        <f>'09Mar2026'!Z75</f>
        <v>0</v>
      </c>
    </row>
    <row r="726" spans="1:2" x14ac:dyDescent="0.25">
      <c r="A726" s="2" t="s">
        <v>932</v>
      </c>
      <c r="B726" s="77">
        <f>'09Mar2026'!AA75</f>
        <v>0</v>
      </c>
    </row>
    <row r="727" spans="1:2" x14ac:dyDescent="0.25">
      <c r="A727" s="2" t="s">
        <v>933</v>
      </c>
      <c r="B727" s="77">
        <f>'09Mar2026'!AB75</f>
        <v>0</v>
      </c>
    </row>
    <row r="728" spans="1:2" x14ac:dyDescent="0.25">
      <c r="A728" s="2" t="s">
        <v>934</v>
      </c>
      <c r="B728" s="77">
        <f>'09Mar2026'!AC75</f>
        <v>0</v>
      </c>
    </row>
    <row r="729" spans="1:2" x14ac:dyDescent="0.25">
      <c r="A729" s="2" t="s">
        <v>935</v>
      </c>
      <c r="B729" s="77">
        <f>'09Mar2026'!AD75</f>
        <v>0</v>
      </c>
    </row>
    <row r="730" spans="1:2" x14ac:dyDescent="0.25">
      <c r="A730" s="2" t="s">
        <v>936</v>
      </c>
      <c r="B730" s="77">
        <f>'09Mar2026'!Q76</f>
        <v>0</v>
      </c>
    </row>
    <row r="731" spans="1:2" x14ac:dyDescent="0.25">
      <c r="A731" s="2" t="s">
        <v>937</v>
      </c>
      <c r="B731" s="77">
        <f>'09Mar2026'!R76</f>
        <v>0</v>
      </c>
    </row>
    <row r="732" spans="1:2" x14ac:dyDescent="0.25">
      <c r="A732" s="2" t="s">
        <v>938</v>
      </c>
      <c r="B732" s="77">
        <f>'09Mar2026'!S76</f>
        <v>0</v>
      </c>
    </row>
    <row r="733" spans="1:2" x14ac:dyDescent="0.25">
      <c r="A733" s="2" t="s">
        <v>939</v>
      </c>
      <c r="B733" s="77">
        <f>'09Mar2026'!T76</f>
        <v>0</v>
      </c>
    </row>
    <row r="734" spans="1:2" x14ac:dyDescent="0.25">
      <c r="A734" s="2" t="s">
        <v>940</v>
      </c>
      <c r="B734" s="77">
        <f>'09Mar2026'!U76</f>
        <v>0</v>
      </c>
    </row>
    <row r="735" spans="1:2" x14ac:dyDescent="0.25">
      <c r="A735" s="2" t="s">
        <v>941</v>
      </c>
      <c r="B735" s="77">
        <f>'09Mar2026'!V76</f>
        <v>0</v>
      </c>
    </row>
    <row r="736" spans="1:2" x14ac:dyDescent="0.25">
      <c r="A736" s="2" t="s">
        <v>942</v>
      </c>
      <c r="B736" s="77">
        <f>'09Mar2026'!W76</f>
        <v>0</v>
      </c>
    </row>
    <row r="737" spans="1:2" x14ac:dyDescent="0.25">
      <c r="A737" s="2" t="s">
        <v>943</v>
      </c>
      <c r="B737" s="77">
        <f>'09Mar2026'!X76</f>
        <v>0</v>
      </c>
    </row>
    <row r="738" spans="1:2" x14ac:dyDescent="0.25">
      <c r="A738" s="2" t="s">
        <v>944</v>
      </c>
      <c r="B738" s="77">
        <f>'09Mar2026'!Y76</f>
        <v>0</v>
      </c>
    </row>
    <row r="739" spans="1:2" x14ac:dyDescent="0.25">
      <c r="A739" s="2" t="s">
        <v>945</v>
      </c>
      <c r="B739" s="77">
        <f>'09Mar2026'!AA76</f>
        <v>0</v>
      </c>
    </row>
    <row r="740" spans="1:2" x14ac:dyDescent="0.25">
      <c r="A740" s="2" t="s">
        <v>946</v>
      </c>
      <c r="B740" s="77">
        <f>'09Mar2026'!AB76</f>
        <v>0</v>
      </c>
    </row>
    <row r="741" spans="1:2" x14ac:dyDescent="0.25">
      <c r="A741" s="2" t="s">
        <v>947</v>
      </c>
      <c r="B741" s="77">
        <f>'09Mar2026'!AC76</f>
        <v>0</v>
      </c>
    </row>
    <row r="742" spans="1:2" x14ac:dyDescent="0.25">
      <c r="A742" s="2" t="s">
        <v>948</v>
      </c>
      <c r="B742" s="77">
        <f>'09Mar2026'!AD76</f>
        <v>0</v>
      </c>
    </row>
    <row r="743" spans="1:2" x14ac:dyDescent="0.25">
      <c r="A743" s="2" t="s">
        <v>949</v>
      </c>
      <c r="B743" s="77">
        <f>'09Mar2026'!Q77</f>
        <v>0</v>
      </c>
    </row>
    <row r="744" spans="1:2" x14ac:dyDescent="0.25">
      <c r="A744" s="2" t="s">
        <v>950</v>
      </c>
      <c r="B744" s="77">
        <f>'09Mar2026'!R77</f>
        <v>0</v>
      </c>
    </row>
    <row r="745" spans="1:2" x14ac:dyDescent="0.25">
      <c r="A745" s="2" t="s">
        <v>951</v>
      </c>
      <c r="B745" s="77">
        <f>'09Mar2026'!S77</f>
        <v>0</v>
      </c>
    </row>
    <row r="746" spans="1:2" x14ac:dyDescent="0.25">
      <c r="A746" s="2" t="s">
        <v>952</v>
      </c>
      <c r="B746" s="77">
        <f>'09Mar2026'!T77</f>
        <v>0</v>
      </c>
    </row>
    <row r="747" spans="1:2" x14ac:dyDescent="0.25">
      <c r="A747" s="2" t="s">
        <v>953</v>
      </c>
      <c r="B747" s="77">
        <f>'09Mar2026'!U77</f>
        <v>0</v>
      </c>
    </row>
    <row r="748" spans="1:2" x14ac:dyDescent="0.25">
      <c r="A748" s="2" t="s">
        <v>954</v>
      </c>
      <c r="B748" s="77">
        <f>'09Mar2026'!V77</f>
        <v>0</v>
      </c>
    </row>
    <row r="749" spans="1:2" x14ac:dyDescent="0.25">
      <c r="A749" s="2" t="s">
        <v>955</v>
      </c>
      <c r="B749" s="77">
        <f>'09Mar2026'!W77</f>
        <v>0</v>
      </c>
    </row>
    <row r="750" spans="1:2" x14ac:dyDescent="0.25">
      <c r="A750" s="2" t="s">
        <v>956</v>
      </c>
      <c r="B750" s="77">
        <f>'09Mar2026'!X77</f>
        <v>0</v>
      </c>
    </row>
    <row r="751" spans="1:2" x14ac:dyDescent="0.25">
      <c r="A751" s="2" t="s">
        <v>957</v>
      </c>
      <c r="B751" s="77">
        <f>'09Mar2026'!Y77</f>
        <v>0</v>
      </c>
    </row>
    <row r="752" spans="1:2" x14ac:dyDescent="0.25">
      <c r="A752" s="2" t="s">
        <v>958</v>
      </c>
      <c r="B752" s="77">
        <f>'09Mar2026'!AA77</f>
        <v>0</v>
      </c>
    </row>
    <row r="753" spans="1:2" x14ac:dyDescent="0.25">
      <c r="A753" s="2" t="s">
        <v>959</v>
      </c>
      <c r="B753" s="77">
        <f>'09Mar2026'!AB77</f>
        <v>0</v>
      </c>
    </row>
    <row r="754" spans="1:2" x14ac:dyDescent="0.25">
      <c r="A754" s="2" t="s">
        <v>960</v>
      </c>
      <c r="B754" s="77">
        <f>'09Mar2026'!AC77</f>
        <v>0</v>
      </c>
    </row>
    <row r="755" spans="1:2" x14ac:dyDescent="0.25">
      <c r="A755" s="2" t="s">
        <v>961</v>
      </c>
      <c r="B755" s="77">
        <f>'09Mar2026'!AD77</f>
        <v>0</v>
      </c>
    </row>
    <row r="756" spans="1:2" x14ac:dyDescent="0.25">
      <c r="A756" s="2" t="s">
        <v>962</v>
      </c>
      <c r="B756" s="77">
        <f>'09Mar2026'!Q78</f>
        <v>0</v>
      </c>
    </row>
    <row r="757" spans="1:2" x14ac:dyDescent="0.25">
      <c r="A757" s="2" t="s">
        <v>963</v>
      </c>
      <c r="B757" s="77">
        <f>'09Mar2026'!R78</f>
        <v>0</v>
      </c>
    </row>
    <row r="758" spans="1:2" x14ac:dyDescent="0.25">
      <c r="A758" s="2" t="s">
        <v>964</v>
      </c>
      <c r="B758" s="77">
        <f>'09Mar2026'!S78</f>
        <v>0</v>
      </c>
    </row>
    <row r="759" spans="1:2" x14ac:dyDescent="0.25">
      <c r="A759" s="2" t="s">
        <v>965</v>
      </c>
      <c r="B759" s="77">
        <f>'09Mar2026'!T78</f>
        <v>0</v>
      </c>
    </row>
    <row r="760" spans="1:2" x14ac:dyDescent="0.25">
      <c r="A760" s="2" t="s">
        <v>966</v>
      </c>
      <c r="B760" s="77">
        <f>'09Mar2026'!U78</f>
        <v>0</v>
      </c>
    </row>
    <row r="761" spans="1:2" x14ac:dyDescent="0.25">
      <c r="A761" s="2" t="s">
        <v>967</v>
      </c>
      <c r="B761" s="77">
        <f>'09Mar2026'!V78</f>
        <v>0</v>
      </c>
    </row>
    <row r="762" spans="1:2" x14ac:dyDescent="0.25">
      <c r="A762" s="2" t="s">
        <v>968</v>
      </c>
      <c r="B762" s="77">
        <f>'09Mar2026'!W78</f>
        <v>0</v>
      </c>
    </row>
    <row r="763" spans="1:2" x14ac:dyDescent="0.25">
      <c r="A763" s="2" t="s">
        <v>969</v>
      </c>
      <c r="B763" s="77">
        <f>'09Mar2026'!X78</f>
        <v>0</v>
      </c>
    </row>
    <row r="764" spans="1:2" x14ac:dyDescent="0.25">
      <c r="A764" s="2" t="s">
        <v>970</v>
      </c>
      <c r="B764" s="77">
        <f>'09Mar2026'!Y78</f>
        <v>0</v>
      </c>
    </row>
    <row r="765" spans="1:2" x14ac:dyDescent="0.25">
      <c r="A765" s="2" t="s">
        <v>971</v>
      </c>
      <c r="B765" s="77">
        <f>'09Mar2026'!AA78</f>
        <v>0</v>
      </c>
    </row>
    <row r="766" spans="1:2" x14ac:dyDescent="0.25">
      <c r="A766" s="2" t="s">
        <v>972</v>
      </c>
      <c r="B766" s="77">
        <f>'09Mar2026'!AB78</f>
        <v>0</v>
      </c>
    </row>
    <row r="767" spans="1:2" x14ac:dyDescent="0.25">
      <c r="A767" s="2" t="s">
        <v>973</v>
      </c>
      <c r="B767" s="77">
        <f>'09Mar2026'!AC78</f>
        <v>0</v>
      </c>
    </row>
    <row r="768" spans="1:2" x14ac:dyDescent="0.25">
      <c r="A768" s="2" t="s">
        <v>974</v>
      </c>
      <c r="B768" s="77">
        <f>'09Mar2026'!AD78</f>
        <v>0</v>
      </c>
    </row>
    <row r="769" spans="1:2" x14ac:dyDescent="0.25">
      <c r="A769" s="2" t="s">
        <v>975</v>
      </c>
      <c r="B769" s="77">
        <f>'09Mar2026'!J80</f>
        <v>0</v>
      </c>
    </row>
    <row r="770" spans="1:2" x14ac:dyDescent="0.25">
      <c r="A770" s="2" t="s">
        <v>976</v>
      </c>
      <c r="B770" s="77">
        <f>'09Mar2026'!K80</f>
        <v>0</v>
      </c>
    </row>
    <row r="771" spans="1:2" x14ac:dyDescent="0.25">
      <c r="A771" s="2" t="s">
        <v>977</v>
      </c>
      <c r="B771" s="77">
        <f>'09Mar2026'!L80</f>
        <v>0</v>
      </c>
    </row>
    <row r="772" spans="1:2" x14ac:dyDescent="0.25">
      <c r="A772" s="2" t="s">
        <v>978</v>
      </c>
      <c r="B772" s="77">
        <f>'09Mar2026'!M80</f>
        <v>0</v>
      </c>
    </row>
    <row r="773" spans="1:2" x14ac:dyDescent="0.25">
      <c r="A773" s="2" t="s">
        <v>979</v>
      </c>
      <c r="B773" s="77">
        <f>'09Mar2026'!N80</f>
        <v>0</v>
      </c>
    </row>
    <row r="774" spans="1:2" x14ac:dyDescent="0.25">
      <c r="A774" s="2" t="s">
        <v>980</v>
      </c>
      <c r="B774" s="77">
        <f>'09Mar2026'!O80</f>
        <v>0</v>
      </c>
    </row>
    <row r="775" spans="1:2" x14ac:dyDescent="0.25">
      <c r="A775" s="2" t="s">
        <v>981</v>
      </c>
      <c r="B775" s="77">
        <f>'09Mar2026'!P80</f>
        <v>0</v>
      </c>
    </row>
    <row r="776" spans="1:2" x14ac:dyDescent="0.25">
      <c r="A776" s="2" t="s">
        <v>982</v>
      </c>
      <c r="B776" s="77">
        <f>'09Mar2026'!Q80</f>
        <v>0</v>
      </c>
    </row>
    <row r="777" spans="1:2" x14ac:dyDescent="0.25">
      <c r="A777" s="2" t="s">
        <v>983</v>
      </c>
      <c r="B777" s="77">
        <f>'09Mar2026'!R80</f>
        <v>0</v>
      </c>
    </row>
    <row r="778" spans="1:2" x14ac:dyDescent="0.25">
      <c r="A778" s="2" t="s">
        <v>984</v>
      </c>
      <c r="B778" s="77">
        <f>'09Mar2026'!T80</f>
        <v>0</v>
      </c>
    </row>
    <row r="779" spans="1:2" x14ac:dyDescent="0.25">
      <c r="A779" s="2" t="s">
        <v>985</v>
      </c>
      <c r="B779" s="77">
        <f>'09Mar2026'!U80</f>
        <v>0</v>
      </c>
    </row>
    <row r="780" spans="1:2" x14ac:dyDescent="0.25">
      <c r="A780" s="2" t="s">
        <v>986</v>
      </c>
      <c r="B780" s="77">
        <f>'09Mar2026'!V80</f>
        <v>0</v>
      </c>
    </row>
    <row r="781" spans="1:2" x14ac:dyDescent="0.25">
      <c r="A781" s="2" t="s">
        <v>987</v>
      </c>
      <c r="B781" s="77">
        <f>'09Mar2026'!W80</f>
        <v>0</v>
      </c>
    </row>
    <row r="782" spans="1:2" x14ac:dyDescent="0.25">
      <c r="A782" s="2" t="s">
        <v>988</v>
      </c>
      <c r="B782" s="77">
        <f>'09Mar2026'!J81</f>
        <v>0</v>
      </c>
    </row>
    <row r="783" spans="1:2" x14ac:dyDescent="0.25">
      <c r="A783" s="2" t="s">
        <v>989</v>
      </c>
      <c r="B783" s="77">
        <f>'09Mar2026'!K81</f>
        <v>0</v>
      </c>
    </row>
    <row r="784" spans="1:2" x14ac:dyDescent="0.25">
      <c r="A784" s="2" t="s">
        <v>990</v>
      </c>
      <c r="B784" s="77">
        <f>'09Mar2026'!L81</f>
        <v>0</v>
      </c>
    </row>
    <row r="785" spans="1:2" x14ac:dyDescent="0.25">
      <c r="A785" s="2" t="s">
        <v>991</v>
      </c>
      <c r="B785" s="77">
        <f>'09Mar2026'!M81</f>
        <v>0</v>
      </c>
    </row>
    <row r="786" spans="1:2" x14ac:dyDescent="0.25">
      <c r="A786" s="2" t="s">
        <v>992</v>
      </c>
      <c r="B786" s="77">
        <f>'09Mar2026'!N81</f>
        <v>0</v>
      </c>
    </row>
    <row r="787" spans="1:2" x14ac:dyDescent="0.25">
      <c r="A787" s="2" t="s">
        <v>993</v>
      </c>
      <c r="B787" s="77">
        <f>'09Mar2026'!O81</f>
        <v>0</v>
      </c>
    </row>
    <row r="788" spans="1:2" x14ac:dyDescent="0.25">
      <c r="A788" s="2" t="s">
        <v>994</v>
      </c>
      <c r="B788" s="77">
        <f>'09Mar2026'!P81</f>
        <v>0</v>
      </c>
    </row>
    <row r="789" spans="1:2" x14ac:dyDescent="0.25">
      <c r="A789" s="2" t="s">
        <v>995</v>
      </c>
      <c r="B789" s="77">
        <f>'09Mar2026'!Q81</f>
        <v>0</v>
      </c>
    </row>
    <row r="790" spans="1:2" x14ac:dyDescent="0.25">
      <c r="A790" s="2" t="s">
        <v>996</v>
      </c>
      <c r="B790" s="77">
        <f>'09Mar2026'!R81</f>
        <v>0</v>
      </c>
    </row>
    <row r="791" spans="1:2" x14ac:dyDescent="0.25">
      <c r="A791" s="2" t="s">
        <v>997</v>
      </c>
      <c r="B791" s="77">
        <f>'09Mar2026'!T81</f>
        <v>0</v>
      </c>
    </row>
    <row r="792" spans="1:2" x14ac:dyDescent="0.25">
      <c r="A792" s="2" t="s">
        <v>998</v>
      </c>
      <c r="B792" s="77">
        <f>'09Mar2026'!U81</f>
        <v>0</v>
      </c>
    </row>
    <row r="793" spans="1:2" x14ac:dyDescent="0.25">
      <c r="A793" s="2" t="s">
        <v>999</v>
      </c>
      <c r="B793" s="77">
        <f>'09Mar2026'!V81</f>
        <v>0</v>
      </c>
    </row>
    <row r="794" spans="1:2" x14ac:dyDescent="0.25">
      <c r="A794" s="2" t="s">
        <v>1000</v>
      </c>
      <c r="B794" s="77">
        <f>'09Mar2026'!W81</f>
        <v>0</v>
      </c>
    </row>
    <row r="795" spans="1:2" x14ac:dyDescent="0.25">
      <c r="A795" s="2" t="s">
        <v>1001</v>
      </c>
      <c r="B795" s="77">
        <f>'09Mar2026'!J82</f>
        <v>0</v>
      </c>
    </row>
    <row r="796" spans="1:2" x14ac:dyDescent="0.25">
      <c r="A796" s="2" t="s">
        <v>1002</v>
      </c>
      <c r="B796" s="77">
        <f>'09Mar2026'!K82</f>
        <v>0</v>
      </c>
    </row>
    <row r="797" spans="1:2" x14ac:dyDescent="0.25">
      <c r="A797" s="2" t="s">
        <v>1003</v>
      </c>
      <c r="B797" s="77">
        <f>'09Mar2026'!L82</f>
        <v>0</v>
      </c>
    </row>
    <row r="798" spans="1:2" x14ac:dyDescent="0.25">
      <c r="A798" s="2" t="s">
        <v>1004</v>
      </c>
      <c r="B798" s="77">
        <f>'09Mar2026'!M82</f>
        <v>0</v>
      </c>
    </row>
    <row r="799" spans="1:2" x14ac:dyDescent="0.25">
      <c r="A799" s="2" t="s">
        <v>1005</v>
      </c>
      <c r="B799" s="77">
        <f>'09Mar2026'!N82</f>
        <v>0</v>
      </c>
    </row>
    <row r="800" spans="1:2" x14ac:dyDescent="0.25">
      <c r="A800" s="2" t="s">
        <v>1006</v>
      </c>
      <c r="B800" s="77">
        <f>'09Mar2026'!O82</f>
        <v>0</v>
      </c>
    </row>
    <row r="801" spans="1:2" x14ac:dyDescent="0.25">
      <c r="A801" s="2" t="s">
        <v>1007</v>
      </c>
      <c r="B801" s="77">
        <f>'09Mar2026'!P82</f>
        <v>0</v>
      </c>
    </row>
    <row r="802" spans="1:2" x14ac:dyDescent="0.25">
      <c r="A802" s="2" t="s">
        <v>1008</v>
      </c>
      <c r="B802" s="77">
        <f>'09Mar2026'!Q82</f>
        <v>0</v>
      </c>
    </row>
    <row r="803" spans="1:2" x14ac:dyDescent="0.25">
      <c r="A803" s="2" t="s">
        <v>1009</v>
      </c>
      <c r="B803" s="77">
        <f>'09Mar2026'!R82</f>
        <v>0</v>
      </c>
    </row>
    <row r="804" spans="1:2" x14ac:dyDescent="0.25">
      <c r="A804" s="2" t="s">
        <v>1010</v>
      </c>
      <c r="B804" s="77">
        <f>'09Mar2026'!T82</f>
        <v>0</v>
      </c>
    </row>
    <row r="805" spans="1:2" x14ac:dyDescent="0.25">
      <c r="A805" s="2" t="s">
        <v>1011</v>
      </c>
      <c r="B805" s="77">
        <f>'09Mar2026'!U82</f>
        <v>0</v>
      </c>
    </row>
    <row r="806" spans="1:2" x14ac:dyDescent="0.25">
      <c r="A806" s="2" t="s">
        <v>1012</v>
      </c>
      <c r="B806" s="77">
        <f>'09Mar2026'!V82</f>
        <v>0</v>
      </c>
    </row>
    <row r="807" spans="1:2" x14ac:dyDescent="0.25">
      <c r="A807" s="2" t="s">
        <v>1013</v>
      </c>
      <c r="B807" s="77">
        <f>'09Mar2026'!W82</f>
        <v>0</v>
      </c>
    </row>
    <row r="808" spans="1:2" x14ac:dyDescent="0.25">
      <c r="A808" s="2" t="s">
        <v>1014</v>
      </c>
      <c r="B808" s="77">
        <f>'09Mar2026'!J83</f>
        <v>0</v>
      </c>
    </row>
    <row r="809" spans="1:2" x14ac:dyDescent="0.25">
      <c r="A809" s="2" t="s">
        <v>1015</v>
      </c>
      <c r="B809" s="77">
        <f>'09Mar2026'!K83</f>
        <v>0</v>
      </c>
    </row>
    <row r="810" spans="1:2" x14ac:dyDescent="0.25">
      <c r="A810" s="2" t="s">
        <v>1016</v>
      </c>
      <c r="B810" s="77">
        <f>'09Mar2026'!L83</f>
        <v>0</v>
      </c>
    </row>
    <row r="811" spans="1:2" x14ac:dyDescent="0.25">
      <c r="A811" s="2" t="s">
        <v>1017</v>
      </c>
      <c r="B811" s="77">
        <f>'09Mar2026'!M83</f>
        <v>0</v>
      </c>
    </row>
    <row r="812" spans="1:2" x14ac:dyDescent="0.25">
      <c r="A812" s="2" t="s">
        <v>1018</v>
      </c>
      <c r="B812" s="77">
        <f>'09Mar2026'!N83</f>
        <v>0</v>
      </c>
    </row>
    <row r="813" spans="1:2" x14ac:dyDescent="0.25">
      <c r="A813" s="2" t="s">
        <v>1019</v>
      </c>
      <c r="B813" s="77">
        <f>'09Mar2026'!O83</f>
        <v>0</v>
      </c>
    </row>
    <row r="814" spans="1:2" x14ac:dyDescent="0.25">
      <c r="A814" s="2" t="s">
        <v>1020</v>
      </c>
      <c r="B814" s="77">
        <f>'09Mar2026'!P83</f>
        <v>0</v>
      </c>
    </row>
    <row r="815" spans="1:2" x14ac:dyDescent="0.25">
      <c r="A815" s="2" t="s">
        <v>1021</v>
      </c>
      <c r="B815" s="77">
        <f>'09Mar2026'!Q83</f>
        <v>0</v>
      </c>
    </row>
    <row r="816" spans="1:2" x14ac:dyDescent="0.25">
      <c r="A816" s="2" t="s">
        <v>1022</v>
      </c>
      <c r="B816" s="77">
        <f>'09Mar2026'!R83</f>
        <v>0</v>
      </c>
    </row>
    <row r="817" spans="1:2" x14ac:dyDescent="0.25">
      <c r="A817" s="2" t="s">
        <v>1023</v>
      </c>
      <c r="B817" s="77">
        <f>'09Mar2026'!S83</f>
        <v>0</v>
      </c>
    </row>
    <row r="818" spans="1:2" x14ac:dyDescent="0.25">
      <c r="A818" s="2" t="s">
        <v>1024</v>
      </c>
      <c r="B818" s="77">
        <f>'09Mar2026'!T83</f>
        <v>0</v>
      </c>
    </row>
    <row r="819" spans="1:2" x14ac:dyDescent="0.25">
      <c r="A819" s="2" t="s">
        <v>1025</v>
      </c>
      <c r="B819" s="77">
        <f>'09Mar2026'!U83</f>
        <v>0</v>
      </c>
    </row>
    <row r="820" spans="1:2" x14ac:dyDescent="0.25">
      <c r="A820" s="2" t="s">
        <v>1026</v>
      </c>
      <c r="B820" s="77">
        <f>'09Mar2026'!V83</f>
        <v>0</v>
      </c>
    </row>
    <row r="821" spans="1:2" x14ac:dyDescent="0.25">
      <c r="A821" s="2" t="s">
        <v>1027</v>
      </c>
      <c r="B821" s="77">
        <f>'09Mar2026'!W83</f>
        <v>0</v>
      </c>
    </row>
    <row r="822" spans="1:2" x14ac:dyDescent="0.25">
      <c r="A822" s="2" t="s">
        <v>1028</v>
      </c>
      <c r="B822" s="77">
        <f>'09Mar2026'!J85</f>
        <v>0</v>
      </c>
    </row>
    <row r="823" spans="1:2" x14ac:dyDescent="0.25">
      <c r="A823" s="2" t="s">
        <v>1029</v>
      </c>
      <c r="B823" s="77">
        <f>'09Mar2026'!K85</f>
        <v>0</v>
      </c>
    </row>
    <row r="824" spans="1:2" x14ac:dyDescent="0.25">
      <c r="A824" s="2" t="s">
        <v>1030</v>
      </c>
      <c r="B824" s="77">
        <f>'09Mar2026'!L85</f>
        <v>0</v>
      </c>
    </row>
    <row r="825" spans="1:2" x14ac:dyDescent="0.25">
      <c r="A825" s="2" t="s">
        <v>1031</v>
      </c>
      <c r="B825" s="77">
        <f>'09Mar2026'!M85</f>
        <v>0</v>
      </c>
    </row>
    <row r="826" spans="1:2" x14ac:dyDescent="0.25">
      <c r="A826" s="2" t="s">
        <v>1032</v>
      </c>
      <c r="B826" s="77">
        <f>'09Mar2026'!N85</f>
        <v>0</v>
      </c>
    </row>
    <row r="827" spans="1:2" x14ac:dyDescent="0.25">
      <c r="A827" s="2" t="s">
        <v>1033</v>
      </c>
      <c r="B827" s="77">
        <f>'09Mar2026'!O85</f>
        <v>0</v>
      </c>
    </row>
    <row r="828" spans="1:2" x14ac:dyDescent="0.25">
      <c r="A828" s="2" t="s">
        <v>1034</v>
      </c>
      <c r="B828" s="77">
        <f>'09Mar2026'!P85</f>
        <v>0</v>
      </c>
    </row>
    <row r="829" spans="1:2" x14ac:dyDescent="0.25">
      <c r="A829" s="2" t="s">
        <v>1035</v>
      </c>
      <c r="B829" s="77">
        <f>'09Mar2026'!Q85</f>
        <v>0</v>
      </c>
    </row>
    <row r="830" spans="1:2" x14ac:dyDescent="0.25">
      <c r="A830" s="2" t="s">
        <v>1036</v>
      </c>
      <c r="B830" s="77">
        <f>'09Mar2026'!R85</f>
        <v>0</v>
      </c>
    </row>
    <row r="831" spans="1:2" x14ac:dyDescent="0.25">
      <c r="A831" s="2" t="s">
        <v>1037</v>
      </c>
      <c r="B831" s="77">
        <f>'09Mar2026'!S85</f>
        <v>0</v>
      </c>
    </row>
    <row r="832" spans="1:2" x14ac:dyDescent="0.25">
      <c r="A832" s="2" t="s">
        <v>1038</v>
      </c>
      <c r="B832" s="77">
        <f>'09Mar2026'!T85</f>
        <v>0</v>
      </c>
    </row>
    <row r="833" spans="1:2" x14ac:dyDescent="0.25">
      <c r="A833" s="2" t="s">
        <v>1039</v>
      </c>
      <c r="B833" s="77">
        <f>'09Mar2026'!U85</f>
        <v>0</v>
      </c>
    </row>
    <row r="834" spans="1:2" x14ac:dyDescent="0.25">
      <c r="A834" s="2" t="s">
        <v>1040</v>
      </c>
      <c r="B834" s="77">
        <f>'09Mar2026'!V85</f>
        <v>0</v>
      </c>
    </row>
    <row r="835" spans="1:2" x14ac:dyDescent="0.25">
      <c r="A835" s="2" t="s">
        <v>1041</v>
      </c>
      <c r="B835" s="77">
        <f>'09Mar2026'!W85</f>
        <v>0</v>
      </c>
    </row>
    <row r="836" spans="1:2" x14ac:dyDescent="0.25">
      <c r="A836" s="2" t="s">
        <v>1042</v>
      </c>
      <c r="B836" s="77">
        <f>'09Mar2026'!J86</f>
        <v>0</v>
      </c>
    </row>
    <row r="837" spans="1:2" x14ac:dyDescent="0.25">
      <c r="A837" s="2" t="s">
        <v>1043</v>
      </c>
      <c r="B837" s="77">
        <f>'09Mar2026'!K86</f>
        <v>0</v>
      </c>
    </row>
    <row r="838" spans="1:2" x14ac:dyDescent="0.25">
      <c r="A838" s="2" t="s">
        <v>1044</v>
      </c>
      <c r="B838" s="77">
        <f>'09Mar2026'!L86</f>
        <v>0</v>
      </c>
    </row>
    <row r="839" spans="1:2" x14ac:dyDescent="0.25">
      <c r="A839" s="2" t="s">
        <v>1045</v>
      </c>
      <c r="B839" s="77">
        <f>'09Mar2026'!M86</f>
        <v>0</v>
      </c>
    </row>
    <row r="840" spans="1:2" x14ac:dyDescent="0.25">
      <c r="A840" s="2" t="s">
        <v>1046</v>
      </c>
      <c r="B840" s="77">
        <f>'09Mar2026'!N86</f>
        <v>0</v>
      </c>
    </row>
    <row r="841" spans="1:2" x14ac:dyDescent="0.25">
      <c r="A841" s="2" t="s">
        <v>1047</v>
      </c>
      <c r="B841" s="77">
        <f>'09Mar2026'!O86</f>
        <v>0</v>
      </c>
    </row>
    <row r="842" spans="1:2" x14ac:dyDescent="0.25">
      <c r="A842" s="2" t="s">
        <v>1048</v>
      </c>
      <c r="B842" s="77">
        <f>'09Mar2026'!P86</f>
        <v>0</v>
      </c>
    </row>
    <row r="843" spans="1:2" x14ac:dyDescent="0.25">
      <c r="A843" s="2" t="s">
        <v>1049</v>
      </c>
      <c r="B843" s="77">
        <f>'09Mar2026'!Q86</f>
        <v>0</v>
      </c>
    </row>
    <row r="844" spans="1:2" x14ac:dyDescent="0.25">
      <c r="A844" s="2" t="s">
        <v>1050</v>
      </c>
      <c r="B844" s="77">
        <f>'09Mar2026'!R86</f>
        <v>0</v>
      </c>
    </row>
    <row r="845" spans="1:2" x14ac:dyDescent="0.25">
      <c r="A845" s="2" t="s">
        <v>1051</v>
      </c>
      <c r="B845" s="77">
        <f>'09Mar2026'!S86</f>
        <v>0</v>
      </c>
    </row>
    <row r="846" spans="1:2" x14ac:dyDescent="0.25">
      <c r="A846" s="2" t="s">
        <v>1052</v>
      </c>
      <c r="B846" s="77">
        <f>'09Mar2026'!T86</f>
        <v>0</v>
      </c>
    </row>
    <row r="847" spans="1:2" x14ac:dyDescent="0.25">
      <c r="A847" s="2" t="s">
        <v>1053</v>
      </c>
      <c r="B847" s="77">
        <f>'09Mar2026'!U86</f>
        <v>0</v>
      </c>
    </row>
    <row r="848" spans="1:2" x14ac:dyDescent="0.25">
      <c r="A848" s="2" t="s">
        <v>1054</v>
      </c>
      <c r="B848" s="77">
        <f>'09Mar2026'!V86</f>
        <v>0</v>
      </c>
    </row>
    <row r="849" spans="1:2" x14ac:dyDescent="0.25">
      <c r="A849" s="2" t="s">
        <v>1055</v>
      </c>
      <c r="B849" s="77">
        <f>'09Mar2026'!W86</f>
        <v>0</v>
      </c>
    </row>
    <row r="850" spans="1:2" x14ac:dyDescent="0.25">
      <c r="A850" s="2" t="s">
        <v>1056</v>
      </c>
      <c r="B850" s="77">
        <f>'09Mar2026'!J87</f>
        <v>0</v>
      </c>
    </row>
    <row r="851" spans="1:2" x14ac:dyDescent="0.25">
      <c r="A851" s="2" t="s">
        <v>1057</v>
      </c>
      <c r="B851" s="77">
        <f>'09Mar2026'!K87</f>
        <v>0</v>
      </c>
    </row>
    <row r="852" spans="1:2" x14ac:dyDescent="0.25">
      <c r="A852" s="2" t="s">
        <v>1058</v>
      </c>
      <c r="B852" s="77">
        <f>'09Mar2026'!L87</f>
        <v>0</v>
      </c>
    </row>
    <row r="853" spans="1:2" x14ac:dyDescent="0.25">
      <c r="A853" s="2" t="s">
        <v>1059</v>
      </c>
      <c r="B853" s="77">
        <f>'09Mar2026'!M87</f>
        <v>0</v>
      </c>
    </row>
    <row r="854" spans="1:2" x14ac:dyDescent="0.25">
      <c r="A854" s="2" t="s">
        <v>1060</v>
      </c>
      <c r="B854" s="77">
        <f>'09Mar2026'!N87</f>
        <v>0</v>
      </c>
    </row>
    <row r="855" spans="1:2" x14ac:dyDescent="0.25">
      <c r="A855" s="2" t="s">
        <v>1061</v>
      </c>
      <c r="B855" s="77">
        <f>'09Mar2026'!O87</f>
        <v>0</v>
      </c>
    </row>
    <row r="856" spans="1:2" x14ac:dyDescent="0.25">
      <c r="A856" s="2" t="s">
        <v>1062</v>
      </c>
      <c r="B856" s="77">
        <f>'09Mar2026'!P87</f>
        <v>0</v>
      </c>
    </row>
    <row r="857" spans="1:2" x14ac:dyDescent="0.25">
      <c r="A857" s="2" t="s">
        <v>1063</v>
      </c>
      <c r="B857" s="77">
        <f>'09Mar2026'!Q87</f>
        <v>0</v>
      </c>
    </row>
    <row r="858" spans="1:2" x14ac:dyDescent="0.25">
      <c r="A858" s="2" t="s">
        <v>1064</v>
      </c>
      <c r="B858" s="77">
        <f>'09Mar2026'!R87</f>
        <v>0</v>
      </c>
    </row>
    <row r="859" spans="1:2" x14ac:dyDescent="0.25">
      <c r="A859" s="2" t="s">
        <v>1065</v>
      </c>
      <c r="B859" s="77">
        <f>'09Mar2026'!T87</f>
        <v>0</v>
      </c>
    </row>
    <row r="860" spans="1:2" x14ac:dyDescent="0.25">
      <c r="A860" s="2" t="s">
        <v>1066</v>
      </c>
      <c r="B860" s="77">
        <f>'09Mar2026'!U87</f>
        <v>0</v>
      </c>
    </row>
    <row r="861" spans="1:2" x14ac:dyDescent="0.25">
      <c r="A861" s="2" t="s">
        <v>1067</v>
      </c>
      <c r="B861" s="77">
        <f>'09Mar2026'!V87</f>
        <v>0</v>
      </c>
    </row>
    <row r="862" spans="1:2" x14ac:dyDescent="0.25">
      <c r="A862" s="2" t="s">
        <v>1068</v>
      </c>
      <c r="B862" s="77">
        <f>'09Mar2026'!W87</f>
        <v>0</v>
      </c>
    </row>
    <row r="863" spans="1:2" x14ac:dyDescent="0.25">
      <c r="A863" s="2" t="s">
        <v>1069</v>
      </c>
      <c r="B863" s="77">
        <f>'09Mar2026'!J89</f>
        <v>0</v>
      </c>
    </row>
    <row r="864" spans="1:2" x14ac:dyDescent="0.25">
      <c r="A864" s="2" t="s">
        <v>1070</v>
      </c>
      <c r="B864" s="77">
        <f>'09Mar2026'!K89</f>
        <v>0</v>
      </c>
    </row>
    <row r="865" spans="1:2" x14ac:dyDescent="0.25">
      <c r="A865" s="2" t="s">
        <v>1071</v>
      </c>
      <c r="B865" s="77">
        <f>'09Mar2026'!L89</f>
        <v>0</v>
      </c>
    </row>
    <row r="866" spans="1:2" x14ac:dyDescent="0.25">
      <c r="A866" s="2" t="s">
        <v>1072</v>
      </c>
      <c r="B866" s="77">
        <f>'09Mar2026'!M89</f>
        <v>0</v>
      </c>
    </row>
    <row r="867" spans="1:2" x14ac:dyDescent="0.25">
      <c r="A867" s="2" t="s">
        <v>1073</v>
      </c>
      <c r="B867" s="77">
        <f>'09Mar2026'!N89</f>
        <v>0</v>
      </c>
    </row>
    <row r="868" spans="1:2" x14ac:dyDescent="0.25">
      <c r="A868" s="2" t="s">
        <v>1074</v>
      </c>
      <c r="B868" s="77">
        <f>'09Mar2026'!O89</f>
        <v>0</v>
      </c>
    </row>
    <row r="869" spans="1:2" x14ac:dyDescent="0.25">
      <c r="A869" s="2" t="s">
        <v>1075</v>
      </c>
      <c r="B869" s="77">
        <f>'09Mar2026'!P89</f>
        <v>0</v>
      </c>
    </row>
    <row r="870" spans="1:2" x14ac:dyDescent="0.25">
      <c r="A870" s="2" t="s">
        <v>1076</v>
      </c>
      <c r="B870" s="77">
        <f>'09Mar2026'!Q89</f>
        <v>0</v>
      </c>
    </row>
    <row r="871" spans="1:2" x14ac:dyDescent="0.25">
      <c r="A871" s="2" t="s">
        <v>1077</v>
      </c>
      <c r="B871" s="77">
        <f>'09Mar2026'!R89</f>
        <v>0</v>
      </c>
    </row>
    <row r="872" spans="1:2" x14ac:dyDescent="0.25">
      <c r="A872" s="2" t="s">
        <v>1078</v>
      </c>
      <c r="B872" s="77">
        <f>'09Mar2026'!T89</f>
        <v>0</v>
      </c>
    </row>
    <row r="873" spans="1:2" x14ac:dyDescent="0.25">
      <c r="A873" s="2" t="s">
        <v>1079</v>
      </c>
      <c r="B873" s="77">
        <f>'09Mar2026'!U89</f>
        <v>0</v>
      </c>
    </row>
    <row r="874" spans="1:2" x14ac:dyDescent="0.25">
      <c r="A874" s="2" t="s">
        <v>1080</v>
      </c>
      <c r="B874" s="77">
        <f>'09Mar2026'!V89</f>
        <v>0</v>
      </c>
    </row>
    <row r="875" spans="1:2" x14ac:dyDescent="0.25">
      <c r="A875" s="2" t="s">
        <v>1081</v>
      </c>
      <c r="B875" s="77">
        <f>'09Mar2026'!W89</f>
        <v>0</v>
      </c>
    </row>
    <row r="876" spans="1:2" x14ac:dyDescent="0.25">
      <c r="A876" s="2" t="s">
        <v>1082</v>
      </c>
      <c r="B876" s="77">
        <f>'09Mar2026'!J90</f>
        <v>0</v>
      </c>
    </row>
    <row r="877" spans="1:2" x14ac:dyDescent="0.25">
      <c r="A877" s="2" t="s">
        <v>1083</v>
      </c>
      <c r="B877" s="77">
        <f>'09Mar2026'!K90</f>
        <v>0</v>
      </c>
    </row>
    <row r="878" spans="1:2" x14ac:dyDescent="0.25">
      <c r="A878" s="2" t="s">
        <v>1084</v>
      </c>
      <c r="B878" s="77">
        <f>'09Mar2026'!L90</f>
        <v>0</v>
      </c>
    </row>
    <row r="879" spans="1:2" x14ac:dyDescent="0.25">
      <c r="A879" s="2" t="s">
        <v>1085</v>
      </c>
      <c r="B879" s="77">
        <f>'09Mar2026'!M90</f>
        <v>0</v>
      </c>
    </row>
    <row r="880" spans="1:2" x14ac:dyDescent="0.25">
      <c r="A880" s="2" t="s">
        <v>1086</v>
      </c>
      <c r="B880" s="77">
        <f>'09Mar2026'!N90</f>
        <v>0</v>
      </c>
    </row>
    <row r="881" spans="1:2" x14ac:dyDescent="0.25">
      <c r="A881" s="2" t="s">
        <v>1087</v>
      </c>
      <c r="B881" s="77">
        <f>'09Mar2026'!O90</f>
        <v>0</v>
      </c>
    </row>
    <row r="882" spans="1:2" x14ac:dyDescent="0.25">
      <c r="A882" s="2" t="s">
        <v>1088</v>
      </c>
      <c r="B882" s="77">
        <f>'09Mar2026'!P90</f>
        <v>0</v>
      </c>
    </row>
    <row r="883" spans="1:2" x14ac:dyDescent="0.25">
      <c r="A883" s="2" t="s">
        <v>1089</v>
      </c>
      <c r="B883" s="77">
        <f>'09Mar2026'!Q90</f>
        <v>0</v>
      </c>
    </row>
    <row r="884" spans="1:2" x14ac:dyDescent="0.25">
      <c r="A884" s="2" t="s">
        <v>1090</v>
      </c>
      <c r="B884" s="77">
        <f>'09Mar2026'!R90</f>
        <v>0</v>
      </c>
    </row>
    <row r="885" spans="1:2" x14ac:dyDescent="0.25">
      <c r="A885" s="2" t="s">
        <v>1091</v>
      </c>
      <c r="B885" s="77">
        <f>'09Mar2026'!S90</f>
        <v>0</v>
      </c>
    </row>
    <row r="886" spans="1:2" x14ac:dyDescent="0.25">
      <c r="A886" s="2" t="s">
        <v>1092</v>
      </c>
      <c r="B886" s="77">
        <f>'09Mar2026'!T90</f>
        <v>0</v>
      </c>
    </row>
    <row r="887" spans="1:2" x14ac:dyDescent="0.25">
      <c r="A887" s="2" t="s">
        <v>1093</v>
      </c>
      <c r="B887" s="77">
        <f>'09Mar2026'!U90</f>
        <v>0</v>
      </c>
    </row>
    <row r="888" spans="1:2" x14ac:dyDescent="0.25">
      <c r="A888" s="2" t="s">
        <v>1094</v>
      </c>
      <c r="B888" s="77">
        <f>'09Mar2026'!V90</f>
        <v>0</v>
      </c>
    </row>
    <row r="889" spans="1:2" x14ac:dyDescent="0.25">
      <c r="A889" s="2" t="s">
        <v>1095</v>
      </c>
      <c r="B889" s="77">
        <f>'09Mar2026'!W90</f>
        <v>0</v>
      </c>
    </row>
    <row r="890" spans="1:2" x14ac:dyDescent="0.25">
      <c r="A890" s="2" t="s">
        <v>1096</v>
      </c>
      <c r="B890" s="77">
        <f>'09Mar2026'!J91</f>
        <v>0</v>
      </c>
    </row>
    <row r="891" spans="1:2" x14ac:dyDescent="0.25">
      <c r="A891" s="2" t="s">
        <v>1097</v>
      </c>
      <c r="B891" s="77">
        <f>'09Mar2026'!K91</f>
        <v>0</v>
      </c>
    </row>
    <row r="892" spans="1:2" x14ac:dyDescent="0.25">
      <c r="A892" s="2" t="s">
        <v>1098</v>
      </c>
      <c r="B892" s="77">
        <f>'09Mar2026'!L91</f>
        <v>0</v>
      </c>
    </row>
    <row r="893" spans="1:2" x14ac:dyDescent="0.25">
      <c r="A893" s="2" t="s">
        <v>1099</v>
      </c>
      <c r="B893" s="77">
        <f>'09Mar2026'!M91</f>
        <v>0</v>
      </c>
    </row>
    <row r="894" spans="1:2" x14ac:dyDescent="0.25">
      <c r="A894" s="2" t="s">
        <v>1100</v>
      </c>
      <c r="B894" s="77">
        <f>'09Mar2026'!N91</f>
        <v>0</v>
      </c>
    </row>
    <row r="895" spans="1:2" x14ac:dyDescent="0.25">
      <c r="A895" s="2" t="s">
        <v>1101</v>
      </c>
      <c r="B895" s="77">
        <f>'09Mar2026'!O91</f>
        <v>0</v>
      </c>
    </row>
    <row r="896" spans="1:2" x14ac:dyDescent="0.25">
      <c r="A896" s="2" t="s">
        <v>1102</v>
      </c>
      <c r="B896" s="77">
        <f>'09Mar2026'!P91</f>
        <v>0</v>
      </c>
    </row>
    <row r="897" spans="1:2" x14ac:dyDescent="0.25">
      <c r="A897" s="2" t="s">
        <v>1103</v>
      </c>
      <c r="B897" s="77">
        <f>'09Mar2026'!Q91</f>
        <v>0</v>
      </c>
    </row>
    <row r="898" spans="1:2" x14ac:dyDescent="0.25">
      <c r="A898" s="2" t="s">
        <v>1104</v>
      </c>
      <c r="B898" s="77">
        <f>'09Mar2026'!R91</f>
        <v>0</v>
      </c>
    </row>
    <row r="899" spans="1:2" x14ac:dyDescent="0.25">
      <c r="A899" s="2" t="s">
        <v>1105</v>
      </c>
      <c r="B899" s="77">
        <f>'09Mar2026'!S91</f>
        <v>0</v>
      </c>
    </row>
    <row r="900" spans="1:2" x14ac:dyDescent="0.25">
      <c r="A900" s="2" t="s">
        <v>1106</v>
      </c>
      <c r="B900" s="77">
        <f>'09Mar2026'!T91</f>
        <v>0</v>
      </c>
    </row>
    <row r="901" spans="1:2" x14ac:dyDescent="0.25">
      <c r="A901" s="2" t="s">
        <v>1107</v>
      </c>
      <c r="B901" s="77">
        <f>'09Mar2026'!U91</f>
        <v>0</v>
      </c>
    </row>
    <row r="902" spans="1:2" x14ac:dyDescent="0.25">
      <c r="A902" s="2" t="s">
        <v>1108</v>
      </c>
      <c r="B902" s="77">
        <f>'09Mar2026'!V91</f>
        <v>0</v>
      </c>
    </row>
    <row r="903" spans="1:2" x14ac:dyDescent="0.25">
      <c r="A903" s="2" t="s">
        <v>1109</v>
      </c>
      <c r="B903" s="77">
        <f>'09Mar2026'!W91</f>
        <v>0</v>
      </c>
    </row>
    <row r="904" spans="1:2" x14ac:dyDescent="0.25">
      <c r="A904" s="2" t="s">
        <v>1110</v>
      </c>
      <c r="B904" s="77">
        <f>'09Mar2026'!J92</f>
        <v>0</v>
      </c>
    </row>
    <row r="905" spans="1:2" x14ac:dyDescent="0.25">
      <c r="A905" s="2" t="s">
        <v>1111</v>
      </c>
      <c r="B905" s="77">
        <f>'09Mar2026'!K92</f>
        <v>0</v>
      </c>
    </row>
    <row r="906" spans="1:2" x14ac:dyDescent="0.25">
      <c r="A906" s="2" t="s">
        <v>1112</v>
      </c>
      <c r="B906" s="77">
        <f>'09Mar2026'!L92</f>
        <v>0</v>
      </c>
    </row>
    <row r="907" spans="1:2" x14ac:dyDescent="0.25">
      <c r="A907" s="2" t="s">
        <v>1113</v>
      </c>
      <c r="B907" s="77">
        <f>'09Mar2026'!M92</f>
        <v>0</v>
      </c>
    </row>
    <row r="908" spans="1:2" x14ac:dyDescent="0.25">
      <c r="A908" s="2" t="s">
        <v>1114</v>
      </c>
      <c r="B908" s="77">
        <f>'09Mar2026'!N92</f>
        <v>0</v>
      </c>
    </row>
    <row r="909" spans="1:2" x14ac:dyDescent="0.25">
      <c r="A909" s="2" t="s">
        <v>1115</v>
      </c>
      <c r="B909" s="77">
        <f>'09Mar2026'!O92</f>
        <v>0</v>
      </c>
    </row>
    <row r="910" spans="1:2" x14ac:dyDescent="0.25">
      <c r="A910" s="2" t="s">
        <v>1116</v>
      </c>
      <c r="B910" s="77">
        <f>'09Mar2026'!P92</f>
        <v>0</v>
      </c>
    </row>
    <row r="911" spans="1:2" x14ac:dyDescent="0.25">
      <c r="A911" s="2" t="s">
        <v>1117</v>
      </c>
      <c r="B911" s="77">
        <f>'09Mar2026'!Q92</f>
        <v>0</v>
      </c>
    </row>
    <row r="912" spans="1:2" x14ac:dyDescent="0.25">
      <c r="A912" s="2" t="s">
        <v>1118</v>
      </c>
      <c r="B912" s="77">
        <f>'09Mar2026'!R92</f>
        <v>0</v>
      </c>
    </row>
    <row r="913" spans="1:2" x14ac:dyDescent="0.25">
      <c r="A913" s="2" t="s">
        <v>1119</v>
      </c>
      <c r="B913" s="77">
        <f>'09Mar2026'!T92</f>
        <v>0</v>
      </c>
    </row>
    <row r="914" spans="1:2" x14ac:dyDescent="0.25">
      <c r="A914" s="2" t="s">
        <v>1120</v>
      </c>
      <c r="B914" s="77">
        <f>'09Mar2026'!U92</f>
        <v>0</v>
      </c>
    </row>
    <row r="915" spans="1:2" x14ac:dyDescent="0.25">
      <c r="A915" s="2" t="s">
        <v>1121</v>
      </c>
      <c r="B915" s="77">
        <f>'09Mar2026'!V92</f>
        <v>0</v>
      </c>
    </row>
    <row r="916" spans="1:2" x14ac:dyDescent="0.25">
      <c r="A916" s="2" t="s">
        <v>1122</v>
      </c>
      <c r="B916" s="77">
        <f>'09Mar2026'!W92</f>
        <v>0</v>
      </c>
    </row>
    <row r="917" spans="1:2" x14ac:dyDescent="0.25">
      <c r="A917" s="2" t="s">
        <v>1123</v>
      </c>
      <c r="B917" s="77">
        <f>'09Mar2026'!J93</f>
        <v>0</v>
      </c>
    </row>
    <row r="918" spans="1:2" x14ac:dyDescent="0.25">
      <c r="A918" s="2" t="s">
        <v>1124</v>
      </c>
      <c r="B918" s="77">
        <f>'09Mar2026'!K93</f>
        <v>0</v>
      </c>
    </row>
    <row r="919" spans="1:2" x14ac:dyDescent="0.25">
      <c r="A919" s="2" t="s">
        <v>1125</v>
      </c>
      <c r="B919" s="77">
        <f>'09Mar2026'!L93</f>
        <v>0</v>
      </c>
    </row>
    <row r="920" spans="1:2" x14ac:dyDescent="0.25">
      <c r="A920" s="2" t="s">
        <v>1126</v>
      </c>
      <c r="B920" s="77">
        <f>'09Mar2026'!M93</f>
        <v>0</v>
      </c>
    </row>
    <row r="921" spans="1:2" x14ac:dyDescent="0.25">
      <c r="A921" s="2" t="s">
        <v>1127</v>
      </c>
      <c r="B921" s="77">
        <f>'09Mar2026'!N93</f>
        <v>0</v>
      </c>
    </row>
    <row r="922" spans="1:2" x14ac:dyDescent="0.25">
      <c r="A922" s="2" t="s">
        <v>1128</v>
      </c>
      <c r="B922" s="77">
        <f>'09Mar2026'!O93</f>
        <v>0</v>
      </c>
    </row>
    <row r="923" spans="1:2" x14ac:dyDescent="0.25">
      <c r="A923" s="2" t="s">
        <v>1129</v>
      </c>
      <c r="B923" s="77">
        <f>'09Mar2026'!P93</f>
        <v>0</v>
      </c>
    </row>
    <row r="924" spans="1:2" x14ac:dyDescent="0.25">
      <c r="A924" s="2" t="s">
        <v>1130</v>
      </c>
      <c r="B924" s="77">
        <f>'09Mar2026'!Q93</f>
        <v>0</v>
      </c>
    </row>
    <row r="925" spans="1:2" x14ac:dyDescent="0.25">
      <c r="A925" s="2" t="s">
        <v>1131</v>
      </c>
      <c r="B925" s="77">
        <f>'09Mar2026'!R93</f>
        <v>0</v>
      </c>
    </row>
    <row r="926" spans="1:2" x14ac:dyDescent="0.25">
      <c r="A926" s="2" t="s">
        <v>1132</v>
      </c>
      <c r="B926" s="77">
        <f>'09Mar2026'!T93</f>
        <v>0</v>
      </c>
    </row>
    <row r="927" spans="1:2" x14ac:dyDescent="0.25">
      <c r="A927" s="2" t="s">
        <v>1133</v>
      </c>
      <c r="B927" s="77">
        <f>'09Mar2026'!U93</f>
        <v>0</v>
      </c>
    </row>
    <row r="928" spans="1:2" x14ac:dyDescent="0.25">
      <c r="A928" s="2" t="s">
        <v>1134</v>
      </c>
      <c r="B928" s="77">
        <f>'09Mar2026'!V93</f>
        <v>0</v>
      </c>
    </row>
    <row r="929" spans="1:2" x14ac:dyDescent="0.25">
      <c r="A929" s="2" t="s">
        <v>1135</v>
      </c>
      <c r="B929" s="77">
        <f>'09Mar2026'!W93</f>
        <v>0</v>
      </c>
    </row>
    <row r="930" spans="1:2" x14ac:dyDescent="0.25">
      <c r="A930" s="2" t="s">
        <v>1136</v>
      </c>
      <c r="B930" s="77">
        <f>'09Mar2026'!J94</f>
        <v>0</v>
      </c>
    </row>
    <row r="931" spans="1:2" x14ac:dyDescent="0.25">
      <c r="A931" s="2" t="s">
        <v>1137</v>
      </c>
      <c r="B931" s="77">
        <f>'09Mar2026'!K94</f>
        <v>0</v>
      </c>
    </row>
    <row r="932" spans="1:2" x14ac:dyDescent="0.25">
      <c r="A932" s="2" t="s">
        <v>1138</v>
      </c>
      <c r="B932" s="77">
        <f>'09Mar2026'!L94</f>
        <v>0</v>
      </c>
    </row>
    <row r="933" spans="1:2" x14ac:dyDescent="0.25">
      <c r="A933" s="2" t="s">
        <v>1139</v>
      </c>
      <c r="B933" s="77">
        <f>'09Mar2026'!M94</f>
        <v>0</v>
      </c>
    </row>
    <row r="934" spans="1:2" x14ac:dyDescent="0.25">
      <c r="A934" s="2" t="s">
        <v>1140</v>
      </c>
      <c r="B934" s="77">
        <f>'09Mar2026'!N94</f>
        <v>0</v>
      </c>
    </row>
    <row r="935" spans="1:2" x14ac:dyDescent="0.25">
      <c r="A935" s="2" t="s">
        <v>1141</v>
      </c>
      <c r="B935" s="77">
        <f>'09Mar2026'!O94</f>
        <v>0</v>
      </c>
    </row>
    <row r="936" spans="1:2" x14ac:dyDescent="0.25">
      <c r="A936" s="2" t="s">
        <v>1142</v>
      </c>
      <c r="B936" s="77">
        <f>'09Mar2026'!P94</f>
        <v>0</v>
      </c>
    </row>
    <row r="937" spans="1:2" x14ac:dyDescent="0.25">
      <c r="A937" s="2" t="s">
        <v>1143</v>
      </c>
      <c r="B937" s="77">
        <f>'09Mar2026'!Q94</f>
        <v>0</v>
      </c>
    </row>
    <row r="938" spans="1:2" x14ac:dyDescent="0.25">
      <c r="A938" s="2" t="s">
        <v>1144</v>
      </c>
      <c r="B938" s="77">
        <f>'09Mar2026'!R94</f>
        <v>0</v>
      </c>
    </row>
    <row r="939" spans="1:2" x14ac:dyDescent="0.25">
      <c r="A939" s="2" t="s">
        <v>1145</v>
      </c>
      <c r="B939" s="77">
        <f>'09Mar2026'!T94</f>
        <v>0</v>
      </c>
    </row>
    <row r="940" spans="1:2" x14ac:dyDescent="0.25">
      <c r="A940" s="2" t="s">
        <v>1146</v>
      </c>
      <c r="B940" s="77">
        <f>'09Mar2026'!U94</f>
        <v>0</v>
      </c>
    </row>
    <row r="941" spans="1:2" x14ac:dyDescent="0.25">
      <c r="A941" s="2" t="s">
        <v>1147</v>
      </c>
      <c r="B941" s="77">
        <f>'09Mar2026'!V94</f>
        <v>0</v>
      </c>
    </row>
    <row r="942" spans="1:2" x14ac:dyDescent="0.25">
      <c r="A942" s="2" t="s">
        <v>1148</v>
      </c>
      <c r="B942" s="77">
        <f>'09Mar2026'!W94</f>
        <v>0</v>
      </c>
    </row>
    <row r="943" spans="1:2" x14ac:dyDescent="0.25">
      <c r="A943" s="2" t="s">
        <v>1149</v>
      </c>
      <c r="B943" s="77">
        <f>'09Mar2026'!J95</f>
        <v>0</v>
      </c>
    </row>
    <row r="944" spans="1:2" x14ac:dyDescent="0.25">
      <c r="A944" s="2" t="s">
        <v>1150</v>
      </c>
      <c r="B944" s="77">
        <f>'09Mar2026'!K95</f>
        <v>0</v>
      </c>
    </row>
    <row r="945" spans="1:2" x14ac:dyDescent="0.25">
      <c r="A945" s="2" t="s">
        <v>1151</v>
      </c>
      <c r="B945" s="77">
        <f>'09Mar2026'!L95</f>
        <v>0</v>
      </c>
    </row>
    <row r="946" spans="1:2" x14ac:dyDescent="0.25">
      <c r="A946" s="2" t="s">
        <v>1152</v>
      </c>
      <c r="B946" s="77">
        <f>'09Mar2026'!M95</f>
        <v>0</v>
      </c>
    </row>
    <row r="947" spans="1:2" x14ac:dyDescent="0.25">
      <c r="A947" s="2" t="s">
        <v>1153</v>
      </c>
      <c r="B947" s="77">
        <f>'09Mar2026'!N95</f>
        <v>0</v>
      </c>
    </row>
    <row r="948" spans="1:2" x14ac:dyDescent="0.25">
      <c r="A948" s="2" t="s">
        <v>1154</v>
      </c>
      <c r="B948" s="77">
        <f>'09Mar2026'!O95</f>
        <v>0</v>
      </c>
    </row>
    <row r="949" spans="1:2" x14ac:dyDescent="0.25">
      <c r="A949" s="2" t="s">
        <v>1155</v>
      </c>
      <c r="B949" s="77">
        <f>'09Mar2026'!P95</f>
        <v>0</v>
      </c>
    </row>
    <row r="950" spans="1:2" x14ac:dyDescent="0.25">
      <c r="A950" s="2" t="s">
        <v>1156</v>
      </c>
      <c r="B950" s="77">
        <f>'09Mar2026'!Q95</f>
        <v>0</v>
      </c>
    </row>
    <row r="951" spans="1:2" x14ac:dyDescent="0.25">
      <c r="A951" s="2" t="s">
        <v>1157</v>
      </c>
      <c r="B951" s="77">
        <f>'09Mar2026'!R95</f>
        <v>0</v>
      </c>
    </row>
    <row r="952" spans="1:2" x14ac:dyDescent="0.25">
      <c r="A952" s="2" t="s">
        <v>1158</v>
      </c>
      <c r="B952" s="77">
        <f>'09Mar2026'!T95</f>
        <v>0</v>
      </c>
    </row>
    <row r="953" spans="1:2" x14ac:dyDescent="0.25">
      <c r="A953" s="2" t="s">
        <v>1159</v>
      </c>
      <c r="B953" s="77">
        <f>'09Mar2026'!U95</f>
        <v>0</v>
      </c>
    </row>
    <row r="954" spans="1:2" x14ac:dyDescent="0.25">
      <c r="A954" s="2" t="s">
        <v>1160</v>
      </c>
      <c r="B954" s="77">
        <f>'09Mar2026'!V95</f>
        <v>0</v>
      </c>
    </row>
    <row r="955" spans="1:2" x14ac:dyDescent="0.25">
      <c r="A955" s="2" t="s">
        <v>1161</v>
      </c>
      <c r="B955" s="77">
        <f>'09Mar2026'!W95</f>
        <v>0</v>
      </c>
    </row>
    <row r="956" spans="1:2" x14ac:dyDescent="0.25">
      <c r="A956" s="2" t="s">
        <v>1162</v>
      </c>
      <c r="B956" s="77">
        <f>'09Mar2026'!J97</f>
        <v>0</v>
      </c>
    </row>
    <row r="957" spans="1:2" x14ac:dyDescent="0.25">
      <c r="A957" s="2" t="s">
        <v>1163</v>
      </c>
      <c r="B957" s="77">
        <f>'09Mar2026'!K97</f>
        <v>0</v>
      </c>
    </row>
    <row r="958" spans="1:2" x14ac:dyDescent="0.25">
      <c r="A958" s="2" t="s">
        <v>1164</v>
      </c>
      <c r="B958" s="77">
        <f>'09Mar2026'!L97</f>
        <v>0</v>
      </c>
    </row>
    <row r="959" spans="1:2" x14ac:dyDescent="0.25">
      <c r="A959" s="2" t="s">
        <v>1165</v>
      </c>
      <c r="B959" s="77">
        <f>'09Mar2026'!M97</f>
        <v>0</v>
      </c>
    </row>
    <row r="960" spans="1:2" x14ac:dyDescent="0.25">
      <c r="A960" s="2" t="s">
        <v>1166</v>
      </c>
      <c r="B960" s="77">
        <f>'09Mar2026'!N97</f>
        <v>0</v>
      </c>
    </row>
    <row r="961" spans="1:2" x14ac:dyDescent="0.25">
      <c r="A961" s="2" t="s">
        <v>1167</v>
      </c>
      <c r="B961" s="77">
        <f>'09Mar2026'!O97</f>
        <v>0</v>
      </c>
    </row>
    <row r="962" spans="1:2" x14ac:dyDescent="0.25">
      <c r="A962" s="2" t="s">
        <v>1168</v>
      </c>
      <c r="B962" s="77">
        <f>'09Mar2026'!P97</f>
        <v>0</v>
      </c>
    </row>
    <row r="963" spans="1:2" x14ac:dyDescent="0.25">
      <c r="A963" s="2" t="s">
        <v>1169</v>
      </c>
      <c r="B963" s="77">
        <f>'09Mar2026'!Q97</f>
        <v>0</v>
      </c>
    </row>
    <row r="964" spans="1:2" x14ac:dyDescent="0.25">
      <c r="A964" s="2" t="s">
        <v>1170</v>
      </c>
      <c r="B964" s="77">
        <f>'09Mar2026'!R97</f>
        <v>0</v>
      </c>
    </row>
    <row r="965" spans="1:2" x14ac:dyDescent="0.25">
      <c r="A965" s="2" t="s">
        <v>1171</v>
      </c>
      <c r="B965" s="77">
        <f>'09Mar2026'!S97</f>
        <v>0</v>
      </c>
    </row>
    <row r="966" spans="1:2" x14ac:dyDescent="0.25">
      <c r="A966" s="2" t="s">
        <v>1172</v>
      </c>
      <c r="B966" s="77">
        <f>'09Mar2026'!T97</f>
        <v>0</v>
      </c>
    </row>
    <row r="967" spans="1:2" x14ac:dyDescent="0.25">
      <c r="A967" s="2" t="s">
        <v>1173</v>
      </c>
      <c r="B967" s="77">
        <f>'09Mar2026'!U97</f>
        <v>0</v>
      </c>
    </row>
    <row r="968" spans="1:2" x14ac:dyDescent="0.25">
      <c r="A968" s="2" t="s">
        <v>1174</v>
      </c>
      <c r="B968" s="77">
        <f>'09Mar2026'!V97</f>
        <v>0</v>
      </c>
    </row>
    <row r="969" spans="1:2" x14ac:dyDescent="0.25">
      <c r="A969" s="2" t="s">
        <v>1175</v>
      </c>
      <c r="B969" s="77">
        <f>'09Mar2026'!J98</f>
        <v>0</v>
      </c>
    </row>
    <row r="970" spans="1:2" x14ac:dyDescent="0.25">
      <c r="A970" s="2" t="s">
        <v>1176</v>
      </c>
      <c r="B970" s="77">
        <f>'09Mar2026'!K98</f>
        <v>0</v>
      </c>
    </row>
    <row r="971" spans="1:2" x14ac:dyDescent="0.25">
      <c r="A971" s="2" t="s">
        <v>1177</v>
      </c>
      <c r="B971" s="77">
        <f>'09Mar2026'!L98</f>
        <v>0</v>
      </c>
    </row>
    <row r="972" spans="1:2" x14ac:dyDescent="0.25">
      <c r="A972" s="2" t="s">
        <v>1178</v>
      </c>
      <c r="B972" s="77">
        <f>'09Mar2026'!M98</f>
        <v>0</v>
      </c>
    </row>
    <row r="973" spans="1:2" x14ac:dyDescent="0.25">
      <c r="A973" s="2" t="s">
        <v>1179</v>
      </c>
      <c r="B973" s="77">
        <f>'09Mar2026'!N98</f>
        <v>0</v>
      </c>
    </row>
    <row r="974" spans="1:2" x14ac:dyDescent="0.25">
      <c r="A974" s="2" t="s">
        <v>1180</v>
      </c>
      <c r="B974" s="77">
        <f>'09Mar2026'!O98</f>
        <v>0</v>
      </c>
    </row>
    <row r="975" spans="1:2" x14ac:dyDescent="0.25">
      <c r="A975" s="2" t="s">
        <v>1181</v>
      </c>
      <c r="B975" s="77">
        <f>'09Mar2026'!P98</f>
        <v>0</v>
      </c>
    </row>
    <row r="976" spans="1:2" x14ac:dyDescent="0.25">
      <c r="A976" s="2" t="s">
        <v>1182</v>
      </c>
      <c r="B976" s="77">
        <f>'09Mar2026'!Q98</f>
        <v>0</v>
      </c>
    </row>
    <row r="977" spans="1:2" x14ac:dyDescent="0.25">
      <c r="A977" s="2" t="s">
        <v>1183</v>
      </c>
      <c r="B977" s="77">
        <f>'09Mar2026'!R98</f>
        <v>0</v>
      </c>
    </row>
    <row r="978" spans="1:2" x14ac:dyDescent="0.25">
      <c r="A978" s="2" t="s">
        <v>1184</v>
      </c>
      <c r="B978" s="77">
        <f>'09Mar2026'!S98</f>
        <v>0</v>
      </c>
    </row>
    <row r="979" spans="1:2" x14ac:dyDescent="0.25">
      <c r="A979" s="2" t="s">
        <v>1185</v>
      </c>
      <c r="B979" s="77">
        <f>'09Mar2026'!T98</f>
        <v>0</v>
      </c>
    </row>
    <row r="980" spans="1:2" x14ac:dyDescent="0.25">
      <c r="A980" s="2" t="s">
        <v>1186</v>
      </c>
      <c r="B980" s="77">
        <f>'09Mar2026'!U98</f>
        <v>0</v>
      </c>
    </row>
    <row r="981" spans="1:2" x14ac:dyDescent="0.25">
      <c r="A981" s="2" t="s">
        <v>1187</v>
      </c>
      <c r="B981" s="77">
        <f>'09Mar2026'!V98</f>
        <v>0</v>
      </c>
    </row>
    <row r="982" spans="1:2" x14ac:dyDescent="0.25">
      <c r="A982" s="2" t="s">
        <v>1188</v>
      </c>
      <c r="B982" s="77">
        <f>'09Mar2026'!J99</f>
        <v>0</v>
      </c>
    </row>
    <row r="983" spans="1:2" x14ac:dyDescent="0.25">
      <c r="A983" s="2" t="s">
        <v>1189</v>
      </c>
      <c r="B983" s="77">
        <f>'09Mar2026'!K99</f>
        <v>0</v>
      </c>
    </row>
    <row r="984" spans="1:2" x14ac:dyDescent="0.25">
      <c r="A984" s="2" t="s">
        <v>1190</v>
      </c>
      <c r="B984" s="77">
        <f>'09Mar2026'!L99</f>
        <v>0</v>
      </c>
    </row>
    <row r="985" spans="1:2" x14ac:dyDescent="0.25">
      <c r="A985" s="2" t="s">
        <v>1191</v>
      </c>
      <c r="B985" s="77">
        <f>'09Mar2026'!M99</f>
        <v>0</v>
      </c>
    </row>
    <row r="986" spans="1:2" x14ac:dyDescent="0.25">
      <c r="A986" s="2" t="s">
        <v>1192</v>
      </c>
      <c r="B986" s="77">
        <f>'09Mar2026'!N99</f>
        <v>0</v>
      </c>
    </row>
    <row r="987" spans="1:2" x14ac:dyDescent="0.25">
      <c r="A987" s="2" t="s">
        <v>1193</v>
      </c>
      <c r="B987" s="77">
        <f>'09Mar2026'!O99</f>
        <v>0</v>
      </c>
    </row>
    <row r="988" spans="1:2" x14ac:dyDescent="0.25">
      <c r="A988" s="2" t="s">
        <v>1194</v>
      </c>
      <c r="B988" s="77">
        <f>'09Mar2026'!P99</f>
        <v>0</v>
      </c>
    </row>
    <row r="989" spans="1:2" x14ac:dyDescent="0.25">
      <c r="A989" s="2" t="s">
        <v>1195</v>
      </c>
      <c r="B989" s="77">
        <f>'09Mar2026'!Q99</f>
        <v>0</v>
      </c>
    </row>
    <row r="990" spans="1:2" x14ac:dyDescent="0.25">
      <c r="A990" s="2" t="s">
        <v>1196</v>
      </c>
      <c r="B990" s="77">
        <f>'09Mar2026'!R99</f>
        <v>0</v>
      </c>
    </row>
    <row r="991" spans="1:2" x14ac:dyDescent="0.25">
      <c r="A991" s="2" t="s">
        <v>1197</v>
      </c>
      <c r="B991" s="77">
        <f>'09Mar2026'!S99</f>
        <v>0</v>
      </c>
    </row>
    <row r="992" spans="1:2" x14ac:dyDescent="0.25">
      <c r="A992" s="2" t="s">
        <v>1198</v>
      </c>
      <c r="B992" s="77">
        <f>'09Mar2026'!T99</f>
        <v>0</v>
      </c>
    </row>
    <row r="993" spans="1:2" x14ac:dyDescent="0.25">
      <c r="A993" s="2" t="s">
        <v>1199</v>
      </c>
      <c r="B993" s="77">
        <f>'09Mar2026'!U99</f>
        <v>0</v>
      </c>
    </row>
    <row r="994" spans="1:2" x14ac:dyDescent="0.25">
      <c r="A994" s="2" t="s">
        <v>1200</v>
      </c>
      <c r="B994" s="77">
        <f>'09Mar2026'!V99</f>
        <v>0</v>
      </c>
    </row>
    <row r="995" spans="1:2" x14ac:dyDescent="0.25">
      <c r="A995" s="2" t="s">
        <v>1201</v>
      </c>
      <c r="B995" s="77">
        <f>'09Mar2026'!J101</f>
        <v>0</v>
      </c>
    </row>
    <row r="996" spans="1:2" x14ac:dyDescent="0.25">
      <c r="A996" s="2" t="s">
        <v>1202</v>
      </c>
      <c r="B996" s="77">
        <f>'09Mar2026'!K101</f>
        <v>0</v>
      </c>
    </row>
    <row r="997" spans="1:2" x14ac:dyDescent="0.25">
      <c r="A997" s="2" t="s">
        <v>1203</v>
      </c>
      <c r="B997" s="77">
        <f>'09Mar2026'!L101</f>
        <v>0</v>
      </c>
    </row>
    <row r="998" spans="1:2" x14ac:dyDescent="0.25">
      <c r="A998" s="2" t="s">
        <v>1204</v>
      </c>
      <c r="B998" s="77">
        <f>'09Mar2026'!M101</f>
        <v>0</v>
      </c>
    </row>
    <row r="999" spans="1:2" x14ac:dyDescent="0.25">
      <c r="A999" s="2" t="s">
        <v>1205</v>
      </c>
      <c r="B999" s="77">
        <f>'09Mar2026'!N101</f>
        <v>0</v>
      </c>
    </row>
    <row r="1000" spans="1:2" x14ac:dyDescent="0.25">
      <c r="A1000" s="2" t="s">
        <v>1206</v>
      </c>
      <c r="B1000" s="77">
        <f>'09Mar2026'!O101</f>
        <v>0</v>
      </c>
    </row>
    <row r="1001" spans="1:2" x14ac:dyDescent="0.25">
      <c r="A1001" s="2" t="s">
        <v>1207</v>
      </c>
      <c r="B1001" s="77">
        <f>'09Mar2026'!P101</f>
        <v>0</v>
      </c>
    </row>
    <row r="1002" spans="1:2" x14ac:dyDescent="0.25">
      <c r="A1002" s="2" t="s">
        <v>1208</v>
      </c>
      <c r="B1002" s="77">
        <f>'09Mar2026'!Q101</f>
        <v>0</v>
      </c>
    </row>
    <row r="1003" spans="1:2" x14ac:dyDescent="0.25">
      <c r="A1003" s="2" t="s">
        <v>1209</v>
      </c>
      <c r="B1003" s="77">
        <f>'09Mar2026'!R101</f>
        <v>0</v>
      </c>
    </row>
    <row r="1004" spans="1:2" x14ac:dyDescent="0.25">
      <c r="A1004" s="2" t="s">
        <v>1210</v>
      </c>
      <c r="B1004" s="77">
        <f>'09Mar2026'!S101</f>
        <v>0</v>
      </c>
    </row>
    <row r="1005" spans="1:2" x14ac:dyDescent="0.25">
      <c r="A1005" s="2" t="s">
        <v>1211</v>
      </c>
      <c r="B1005" s="77">
        <f>'09Mar2026'!T101</f>
        <v>0</v>
      </c>
    </row>
    <row r="1006" spans="1:2" x14ac:dyDescent="0.25">
      <c r="A1006" s="2" t="s">
        <v>1212</v>
      </c>
      <c r="B1006" s="77">
        <f>'09Mar2026'!U101</f>
        <v>0</v>
      </c>
    </row>
    <row r="1007" spans="1:2" x14ac:dyDescent="0.25">
      <c r="A1007" s="2" t="s">
        <v>1213</v>
      </c>
      <c r="B1007" s="77">
        <f>'09Mar2026'!V101</f>
        <v>0</v>
      </c>
    </row>
    <row r="1008" spans="1:2" x14ac:dyDescent="0.25">
      <c r="A1008" s="2" t="s">
        <v>1214</v>
      </c>
      <c r="B1008" s="77">
        <f>'09Mar2026'!J103</f>
        <v>0</v>
      </c>
    </row>
    <row r="1009" spans="1:2" x14ac:dyDescent="0.25">
      <c r="A1009" s="2" t="s">
        <v>1215</v>
      </c>
      <c r="B1009" s="77">
        <f>'09Mar2026'!K103</f>
        <v>0</v>
      </c>
    </row>
    <row r="1010" spans="1:2" x14ac:dyDescent="0.25">
      <c r="A1010" s="2" t="s">
        <v>1216</v>
      </c>
      <c r="B1010" s="77">
        <f>'09Mar2026'!L103</f>
        <v>0</v>
      </c>
    </row>
    <row r="1011" spans="1:2" x14ac:dyDescent="0.25">
      <c r="A1011" s="2" t="s">
        <v>1217</v>
      </c>
      <c r="B1011" s="77">
        <f>'09Mar2026'!M103</f>
        <v>0</v>
      </c>
    </row>
    <row r="1012" spans="1:2" x14ac:dyDescent="0.25">
      <c r="A1012" s="2" t="s">
        <v>1218</v>
      </c>
      <c r="B1012" s="77">
        <f>'09Mar2026'!N103</f>
        <v>0</v>
      </c>
    </row>
    <row r="1013" spans="1:2" x14ac:dyDescent="0.25">
      <c r="A1013" s="2" t="s">
        <v>1219</v>
      </c>
      <c r="B1013" s="77">
        <f>'09Mar2026'!O103</f>
        <v>0</v>
      </c>
    </row>
    <row r="1014" spans="1:2" x14ac:dyDescent="0.25">
      <c r="A1014" s="2" t="s">
        <v>1220</v>
      </c>
      <c r="B1014" s="77">
        <f>'09Mar2026'!P103</f>
        <v>0</v>
      </c>
    </row>
    <row r="1015" spans="1:2" x14ac:dyDescent="0.25">
      <c r="A1015" s="2" t="s">
        <v>1221</v>
      </c>
      <c r="B1015" s="77">
        <f>'09Mar2026'!Q103</f>
        <v>0</v>
      </c>
    </row>
    <row r="1016" spans="1:2" x14ac:dyDescent="0.25">
      <c r="A1016" s="2" t="s">
        <v>1222</v>
      </c>
      <c r="B1016" s="77">
        <f>'09Mar2026'!R103</f>
        <v>0</v>
      </c>
    </row>
    <row r="1017" spans="1:2" x14ac:dyDescent="0.25">
      <c r="A1017" s="2" t="s">
        <v>1223</v>
      </c>
      <c r="B1017" s="77">
        <f>'09Mar2026'!S103</f>
        <v>0</v>
      </c>
    </row>
    <row r="1018" spans="1:2" x14ac:dyDescent="0.25">
      <c r="A1018" s="2" t="s">
        <v>1224</v>
      </c>
      <c r="B1018" s="77">
        <f>'09Mar2026'!T103</f>
        <v>0</v>
      </c>
    </row>
    <row r="1019" spans="1:2" x14ac:dyDescent="0.25">
      <c r="A1019" s="2" t="s">
        <v>1225</v>
      </c>
      <c r="B1019" s="77">
        <f>'09Mar2026'!J104</f>
        <v>0</v>
      </c>
    </row>
    <row r="1020" spans="1:2" x14ac:dyDescent="0.25">
      <c r="A1020" s="2" t="s">
        <v>1226</v>
      </c>
      <c r="B1020" s="77">
        <f>'09Mar2026'!K104</f>
        <v>0</v>
      </c>
    </row>
    <row r="1021" spans="1:2" x14ac:dyDescent="0.25">
      <c r="A1021" s="2" t="s">
        <v>1227</v>
      </c>
      <c r="B1021" s="77">
        <f>'09Mar2026'!L104</f>
        <v>0</v>
      </c>
    </row>
    <row r="1022" spans="1:2" x14ac:dyDescent="0.25">
      <c r="A1022" s="2" t="s">
        <v>1228</v>
      </c>
      <c r="B1022" s="77">
        <f>'09Mar2026'!M104</f>
        <v>0</v>
      </c>
    </row>
    <row r="1023" spans="1:2" x14ac:dyDescent="0.25">
      <c r="A1023" s="2" t="s">
        <v>1229</v>
      </c>
      <c r="B1023" s="77">
        <f>'09Mar2026'!N104</f>
        <v>0</v>
      </c>
    </row>
    <row r="1024" spans="1:2" x14ac:dyDescent="0.25">
      <c r="A1024" s="2" t="s">
        <v>1230</v>
      </c>
      <c r="B1024" s="77">
        <f>'09Mar2026'!O104</f>
        <v>0</v>
      </c>
    </row>
    <row r="1025" spans="1:2" x14ac:dyDescent="0.25">
      <c r="A1025" s="2" t="s">
        <v>1231</v>
      </c>
      <c r="B1025" s="77">
        <f>'09Mar2026'!P104</f>
        <v>0</v>
      </c>
    </row>
    <row r="1026" spans="1:2" x14ac:dyDescent="0.25">
      <c r="A1026" s="2" t="s">
        <v>1232</v>
      </c>
      <c r="B1026" s="77">
        <f>'09Mar2026'!Q104</f>
        <v>0</v>
      </c>
    </row>
    <row r="1027" spans="1:2" x14ac:dyDescent="0.25">
      <c r="A1027" s="2" t="s">
        <v>1233</v>
      </c>
      <c r="B1027" s="77">
        <f>'09Mar2026'!R104</f>
        <v>0</v>
      </c>
    </row>
    <row r="1028" spans="1:2" x14ac:dyDescent="0.25">
      <c r="A1028" s="2" t="s">
        <v>1234</v>
      </c>
      <c r="B1028" s="77">
        <f>'09Mar2026'!S104</f>
        <v>0</v>
      </c>
    </row>
    <row r="1029" spans="1:2" x14ac:dyDescent="0.25">
      <c r="A1029" s="2" t="s">
        <v>1235</v>
      </c>
      <c r="B1029" s="77">
        <f>'09Mar2026'!T104</f>
        <v>0</v>
      </c>
    </row>
    <row r="1030" spans="1:2" x14ac:dyDescent="0.25">
      <c r="A1030" s="2" t="s">
        <v>1236</v>
      </c>
      <c r="B1030" s="77">
        <f>'09Mar2026'!J106</f>
        <v>0</v>
      </c>
    </row>
    <row r="1031" spans="1:2" x14ac:dyDescent="0.25">
      <c r="A1031" s="2" t="s">
        <v>1237</v>
      </c>
      <c r="B1031" s="77">
        <f>'09Mar2026'!K106</f>
        <v>0</v>
      </c>
    </row>
    <row r="1032" spans="1:2" x14ac:dyDescent="0.25">
      <c r="A1032" s="2" t="s">
        <v>1238</v>
      </c>
      <c r="B1032" s="77">
        <f>'09Mar2026'!L106</f>
        <v>0</v>
      </c>
    </row>
    <row r="1033" spans="1:2" x14ac:dyDescent="0.25">
      <c r="A1033" s="2" t="s">
        <v>1239</v>
      </c>
      <c r="B1033" s="77">
        <f>'09Mar2026'!M106</f>
        <v>0</v>
      </c>
    </row>
    <row r="1034" spans="1:2" x14ac:dyDescent="0.25">
      <c r="A1034" s="2" t="s">
        <v>1240</v>
      </c>
      <c r="B1034" s="77">
        <f>'09Mar2026'!N106</f>
        <v>0</v>
      </c>
    </row>
    <row r="1035" spans="1:2" x14ac:dyDescent="0.25">
      <c r="A1035" s="2" t="s">
        <v>1241</v>
      </c>
      <c r="B1035" s="77">
        <f>'09Mar2026'!O106</f>
        <v>0</v>
      </c>
    </row>
    <row r="1036" spans="1:2" x14ac:dyDescent="0.25">
      <c r="A1036" s="2" t="s">
        <v>1242</v>
      </c>
      <c r="B1036" s="77">
        <f>'09Mar2026'!P106</f>
        <v>0</v>
      </c>
    </row>
    <row r="1037" spans="1:2" x14ac:dyDescent="0.25">
      <c r="A1037" s="2" t="s">
        <v>1243</v>
      </c>
      <c r="B1037" s="77">
        <f>'09Mar2026'!Q106</f>
        <v>0</v>
      </c>
    </row>
    <row r="1038" spans="1:2" x14ac:dyDescent="0.25">
      <c r="A1038" s="2" t="s">
        <v>1244</v>
      </c>
      <c r="B1038" s="77">
        <f>'09Mar2026'!R106</f>
        <v>0</v>
      </c>
    </row>
    <row r="1039" spans="1:2" x14ac:dyDescent="0.25">
      <c r="A1039" s="2" t="s">
        <v>1245</v>
      </c>
      <c r="B1039" s="77">
        <f>'09Mar2026'!S106</f>
        <v>0</v>
      </c>
    </row>
    <row r="1040" spans="1:2" x14ac:dyDescent="0.25">
      <c r="A1040" s="2" t="s">
        <v>1246</v>
      </c>
      <c r="B1040" s="77">
        <f>'09Mar2026'!T106</f>
        <v>0</v>
      </c>
    </row>
    <row r="1041" spans="1:2" x14ac:dyDescent="0.25">
      <c r="A1041" s="2" t="s">
        <v>1247</v>
      </c>
      <c r="B1041" s="77">
        <f>'09Mar2026'!U106</f>
        <v>0</v>
      </c>
    </row>
    <row r="1042" spans="1:2" x14ac:dyDescent="0.25">
      <c r="A1042" s="2" t="s">
        <v>1248</v>
      </c>
      <c r="B1042" s="77">
        <f>'09Mar2026'!J108</f>
        <v>0</v>
      </c>
    </row>
    <row r="1043" spans="1:2" x14ac:dyDescent="0.25">
      <c r="A1043" s="2" t="s">
        <v>1249</v>
      </c>
      <c r="B1043" s="77">
        <f>'09Mar2026'!K108</f>
        <v>0</v>
      </c>
    </row>
    <row r="1044" spans="1:2" x14ac:dyDescent="0.25">
      <c r="A1044" s="2" t="s">
        <v>1250</v>
      </c>
      <c r="B1044" s="77">
        <f>'09Mar2026'!L108</f>
        <v>0</v>
      </c>
    </row>
    <row r="1045" spans="1:2" x14ac:dyDescent="0.25">
      <c r="A1045" s="2" t="s">
        <v>1251</v>
      </c>
      <c r="B1045" s="77">
        <f>'09Mar2026'!M108</f>
        <v>0</v>
      </c>
    </row>
    <row r="1046" spans="1:2" x14ac:dyDescent="0.25">
      <c r="A1046" s="2" t="s">
        <v>1252</v>
      </c>
      <c r="B1046" s="77">
        <f>'09Mar2026'!N108</f>
        <v>0</v>
      </c>
    </row>
    <row r="1047" spans="1:2" x14ac:dyDescent="0.25">
      <c r="A1047" s="2" t="s">
        <v>1253</v>
      </c>
      <c r="B1047" s="77">
        <f>'09Mar2026'!O108</f>
        <v>0</v>
      </c>
    </row>
    <row r="1048" spans="1:2" x14ac:dyDescent="0.25">
      <c r="A1048" s="2" t="s">
        <v>1254</v>
      </c>
      <c r="B1048" s="77">
        <f>'09Mar2026'!P108</f>
        <v>0</v>
      </c>
    </row>
    <row r="1049" spans="1:2" x14ac:dyDescent="0.25">
      <c r="A1049" s="2" t="s">
        <v>1255</v>
      </c>
      <c r="B1049" s="77">
        <f>'09Mar2026'!Q108</f>
        <v>0</v>
      </c>
    </row>
    <row r="1050" spans="1:2" x14ac:dyDescent="0.25">
      <c r="A1050" s="2" t="s">
        <v>1256</v>
      </c>
      <c r="B1050" s="77">
        <f>'09Mar2026'!R108</f>
        <v>0</v>
      </c>
    </row>
    <row r="1051" spans="1:2" x14ac:dyDescent="0.25">
      <c r="A1051" s="2" t="s">
        <v>1257</v>
      </c>
      <c r="B1051" s="77">
        <f>'09Mar2026'!S108</f>
        <v>0</v>
      </c>
    </row>
    <row r="1052" spans="1:2" x14ac:dyDescent="0.25">
      <c r="A1052" s="2" t="s">
        <v>1258</v>
      </c>
      <c r="B1052" s="77">
        <f>'09Mar2026'!T108</f>
        <v>0</v>
      </c>
    </row>
    <row r="1053" spans="1:2" x14ac:dyDescent="0.25">
      <c r="A1053" s="2" t="s">
        <v>1259</v>
      </c>
      <c r="B1053" s="77">
        <f>'09Mar2026'!J109</f>
        <v>0</v>
      </c>
    </row>
    <row r="1054" spans="1:2" x14ac:dyDescent="0.25">
      <c r="A1054" s="2" t="s">
        <v>1260</v>
      </c>
      <c r="B1054" s="77">
        <f>'09Mar2026'!K109</f>
        <v>0</v>
      </c>
    </row>
    <row r="1055" spans="1:2" x14ac:dyDescent="0.25">
      <c r="A1055" s="2" t="s">
        <v>1261</v>
      </c>
      <c r="B1055" s="77">
        <f>'09Mar2026'!L109</f>
        <v>0</v>
      </c>
    </row>
    <row r="1056" spans="1:2" x14ac:dyDescent="0.25">
      <c r="A1056" s="2" t="s">
        <v>1262</v>
      </c>
      <c r="B1056" s="77">
        <f>'09Mar2026'!M109</f>
        <v>0</v>
      </c>
    </row>
    <row r="1057" spans="1:2" x14ac:dyDescent="0.25">
      <c r="A1057" s="2" t="s">
        <v>1263</v>
      </c>
      <c r="B1057" s="77">
        <f>'09Mar2026'!N109</f>
        <v>0</v>
      </c>
    </row>
    <row r="1058" spans="1:2" x14ac:dyDescent="0.25">
      <c r="A1058" s="2" t="s">
        <v>1264</v>
      </c>
      <c r="B1058" s="77">
        <f>'09Mar2026'!O109</f>
        <v>0</v>
      </c>
    </row>
    <row r="1059" spans="1:2" x14ac:dyDescent="0.25">
      <c r="A1059" s="2" t="s">
        <v>1265</v>
      </c>
      <c r="B1059" s="77">
        <f>'09Mar2026'!P109</f>
        <v>0</v>
      </c>
    </row>
    <row r="1060" spans="1:2" x14ac:dyDescent="0.25">
      <c r="A1060" s="2" t="s">
        <v>1266</v>
      </c>
      <c r="B1060" s="77">
        <f>'09Mar2026'!Q109</f>
        <v>0</v>
      </c>
    </row>
    <row r="1061" spans="1:2" x14ac:dyDescent="0.25">
      <c r="A1061" s="2" t="s">
        <v>1267</v>
      </c>
      <c r="B1061" s="77">
        <f>'09Mar2026'!R109</f>
        <v>0</v>
      </c>
    </row>
    <row r="1062" spans="1:2" x14ac:dyDescent="0.25">
      <c r="A1062" s="2" t="s">
        <v>1268</v>
      </c>
      <c r="B1062" s="77">
        <f>'09Mar2026'!S109</f>
        <v>0</v>
      </c>
    </row>
    <row r="1063" spans="1:2" x14ac:dyDescent="0.25">
      <c r="A1063" s="2" t="s">
        <v>1269</v>
      </c>
      <c r="B1063" s="77">
        <f>'09Mar2026'!T109</f>
        <v>0</v>
      </c>
    </row>
    <row r="1064" spans="1:2" x14ac:dyDescent="0.25">
      <c r="A1064" s="2" t="s">
        <v>1270</v>
      </c>
      <c r="B1064" s="77">
        <f>'09Mar2026'!J110</f>
        <v>0</v>
      </c>
    </row>
    <row r="1065" spans="1:2" x14ac:dyDescent="0.25">
      <c r="A1065" s="2" t="s">
        <v>1271</v>
      </c>
      <c r="B1065" s="77">
        <f>'09Mar2026'!K110</f>
        <v>0</v>
      </c>
    </row>
    <row r="1066" spans="1:2" x14ac:dyDescent="0.25">
      <c r="A1066" s="2" t="s">
        <v>1272</v>
      </c>
      <c r="B1066" s="77">
        <f>'09Mar2026'!L110</f>
        <v>0</v>
      </c>
    </row>
    <row r="1067" spans="1:2" x14ac:dyDescent="0.25">
      <c r="A1067" s="2" t="s">
        <v>1273</v>
      </c>
      <c r="B1067" s="77">
        <f>'09Mar2026'!M110</f>
        <v>0</v>
      </c>
    </row>
    <row r="1068" spans="1:2" x14ac:dyDescent="0.25">
      <c r="A1068" s="2" t="s">
        <v>1274</v>
      </c>
      <c r="B1068" s="77">
        <f>'09Mar2026'!N110</f>
        <v>0</v>
      </c>
    </row>
    <row r="1069" spans="1:2" x14ac:dyDescent="0.25">
      <c r="A1069" s="2" t="s">
        <v>1275</v>
      </c>
      <c r="B1069" s="77">
        <f>'09Mar2026'!O110</f>
        <v>0</v>
      </c>
    </row>
    <row r="1070" spans="1:2" x14ac:dyDescent="0.25">
      <c r="A1070" s="2" t="s">
        <v>1276</v>
      </c>
      <c r="B1070" s="77">
        <f>'09Mar2026'!P110</f>
        <v>0</v>
      </c>
    </row>
    <row r="1071" spans="1:2" x14ac:dyDescent="0.25">
      <c r="A1071" s="2" t="s">
        <v>1277</v>
      </c>
      <c r="B1071" s="77">
        <f>'09Mar2026'!Q110</f>
        <v>0</v>
      </c>
    </row>
    <row r="1072" spans="1:2" x14ac:dyDescent="0.25">
      <c r="A1072" s="2" t="s">
        <v>1278</v>
      </c>
      <c r="B1072" s="77">
        <f>'09Mar2026'!R110</f>
        <v>0</v>
      </c>
    </row>
    <row r="1073" spans="1:2" x14ac:dyDescent="0.25">
      <c r="A1073" s="2" t="s">
        <v>1279</v>
      </c>
      <c r="B1073" s="77">
        <f>'09Mar2026'!S110</f>
        <v>0</v>
      </c>
    </row>
    <row r="1074" spans="1:2" x14ac:dyDescent="0.25">
      <c r="A1074" s="2" t="s">
        <v>1280</v>
      </c>
      <c r="B1074" s="77">
        <f>'09Mar2026'!T110</f>
        <v>0</v>
      </c>
    </row>
    <row r="1075" spans="1:2" x14ac:dyDescent="0.25">
      <c r="A1075" s="2" t="s">
        <v>1281</v>
      </c>
      <c r="B1075" s="77">
        <f>'09Mar2026'!L111</f>
        <v>0</v>
      </c>
    </row>
    <row r="1076" spans="1:2" x14ac:dyDescent="0.25">
      <c r="A1076" s="2" t="s">
        <v>1282</v>
      </c>
      <c r="B1076" s="77">
        <f>'09Mar2026'!M111</f>
        <v>0</v>
      </c>
    </row>
    <row r="1077" spans="1:2" x14ac:dyDescent="0.25">
      <c r="A1077" s="2" t="s">
        <v>1283</v>
      </c>
      <c r="B1077" s="77">
        <f>'09Mar2026'!N111</f>
        <v>0</v>
      </c>
    </row>
    <row r="1078" spans="1:2" x14ac:dyDescent="0.25">
      <c r="A1078" s="2" t="s">
        <v>1284</v>
      </c>
      <c r="B1078" s="77">
        <f>'09Mar2026'!O111</f>
        <v>0</v>
      </c>
    </row>
    <row r="1079" spans="1:2" x14ac:dyDescent="0.25">
      <c r="A1079" s="2" t="s">
        <v>1285</v>
      </c>
      <c r="B1079" s="77">
        <f>'09Mar2026'!P111</f>
        <v>0</v>
      </c>
    </row>
    <row r="1080" spans="1:2" x14ac:dyDescent="0.25">
      <c r="A1080" s="2" t="s">
        <v>1286</v>
      </c>
      <c r="B1080" s="77">
        <f>'09Mar2026'!J113</f>
        <v>0</v>
      </c>
    </row>
    <row r="1081" spans="1:2" x14ac:dyDescent="0.25">
      <c r="A1081" s="2" t="s">
        <v>1287</v>
      </c>
      <c r="B1081" s="77">
        <f>'09Mar2026'!K113</f>
        <v>0</v>
      </c>
    </row>
    <row r="1082" spans="1:2" x14ac:dyDescent="0.25">
      <c r="A1082" s="2" t="s">
        <v>1288</v>
      </c>
      <c r="B1082" s="77">
        <f>'09Mar2026'!L113</f>
        <v>0</v>
      </c>
    </row>
    <row r="1083" spans="1:2" x14ac:dyDescent="0.25">
      <c r="A1083" s="2" t="s">
        <v>1289</v>
      </c>
      <c r="B1083" s="77">
        <f>'09Mar2026'!M113</f>
        <v>0</v>
      </c>
    </row>
    <row r="1084" spans="1:2" x14ac:dyDescent="0.25">
      <c r="A1084" s="2" t="s">
        <v>1290</v>
      </c>
      <c r="B1084" s="77">
        <f>'09Mar2026'!N113</f>
        <v>0</v>
      </c>
    </row>
    <row r="1085" spans="1:2" x14ac:dyDescent="0.25">
      <c r="A1085" s="2" t="s">
        <v>1291</v>
      </c>
      <c r="B1085" s="77">
        <f>'09Mar2026'!O113</f>
        <v>0</v>
      </c>
    </row>
    <row r="1086" spans="1:2" x14ac:dyDescent="0.25">
      <c r="A1086" s="2" t="s">
        <v>1292</v>
      </c>
      <c r="B1086" s="77">
        <f>'09Mar2026'!P113</f>
        <v>0</v>
      </c>
    </row>
    <row r="1087" spans="1:2" x14ac:dyDescent="0.25">
      <c r="A1087" s="2" t="s">
        <v>1293</v>
      </c>
      <c r="B1087" s="77">
        <f>'09Mar2026'!Q113</f>
        <v>0</v>
      </c>
    </row>
    <row r="1088" spans="1:2" x14ac:dyDescent="0.25">
      <c r="A1088" s="2" t="s">
        <v>1294</v>
      </c>
      <c r="B1088" s="77">
        <f>'09Mar2026'!R113</f>
        <v>0</v>
      </c>
    </row>
    <row r="1089" spans="1:2" x14ac:dyDescent="0.25">
      <c r="A1089" s="2" t="s">
        <v>1295</v>
      </c>
      <c r="B1089" s="77">
        <f>'09Mar2026'!S113</f>
        <v>0</v>
      </c>
    </row>
    <row r="1090" spans="1:2" x14ac:dyDescent="0.25">
      <c r="A1090" s="2" t="s">
        <v>1296</v>
      </c>
      <c r="B1090" s="77">
        <f>'09Mar2026'!T113</f>
        <v>0</v>
      </c>
    </row>
    <row r="1091" spans="1:2" x14ac:dyDescent="0.25">
      <c r="A1091" s="2" t="s">
        <v>1297</v>
      </c>
      <c r="B1091" s="77">
        <f>'09Mar2026'!J115</f>
        <v>0</v>
      </c>
    </row>
    <row r="1092" spans="1:2" x14ac:dyDescent="0.25">
      <c r="A1092" s="2" t="s">
        <v>1298</v>
      </c>
      <c r="B1092" s="77">
        <f>'09Mar2026'!K115</f>
        <v>0</v>
      </c>
    </row>
    <row r="1093" spans="1:2" x14ac:dyDescent="0.25">
      <c r="A1093" s="2" t="s">
        <v>1299</v>
      </c>
      <c r="B1093" s="77">
        <f>'09Mar2026'!L115</f>
        <v>0</v>
      </c>
    </row>
    <row r="1094" spans="1:2" x14ac:dyDescent="0.25">
      <c r="A1094" s="2" t="s">
        <v>1300</v>
      </c>
      <c r="B1094" s="77">
        <f>'09Mar2026'!M115</f>
        <v>0</v>
      </c>
    </row>
    <row r="1095" spans="1:2" x14ac:dyDescent="0.25">
      <c r="A1095" s="2" t="s">
        <v>1301</v>
      </c>
      <c r="B1095" s="77">
        <f>'09Mar2026'!N115</f>
        <v>0</v>
      </c>
    </row>
    <row r="1096" spans="1:2" x14ac:dyDescent="0.25">
      <c r="A1096" s="2" t="s">
        <v>1302</v>
      </c>
      <c r="B1096" s="77">
        <f>'09Mar2026'!O115</f>
        <v>0</v>
      </c>
    </row>
    <row r="1097" spans="1:2" x14ac:dyDescent="0.25">
      <c r="A1097" s="2" t="s">
        <v>1303</v>
      </c>
      <c r="B1097" s="77">
        <f>'09Mar2026'!P115</f>
        <v>0</v>
      </c>
    </row>
    <row r="1098" spans="1:2" x14ac:dyDescent="0.25">
      <c r="A1098" s="2" t="s">
        <v>1304</v>
      </c>
      <c r="B1098" s="77">
        <f>'09Mar2026'!Q115</f>
        <v>0</v>
      </c>
    </row>
    <row r="1099" spans="1:2" x14ac:dyDescent="0.25">
      <c r="A1099" s="2" t="s">
        <v>1305</v>
      </c>
      <c r="B1099" s="77">
        <f>'09Mar2026'!R115</f>
        <v>0</v>
      </c>
    </row>
    <row r="1100" spans="1:2" x14ac:dyDescent="0.25">
      <c r="A1100" s="2" t="s">
        <v>1306</v>
      </c>
      <c r="B1100" s="77">
        <f>'09Mar2026'!S115</f>
        <v>0</v>
      </c>
    </row>
    <row r="1101" spans="1:2" x14ac:dyDescent="0.25">
      <c r="A1101" s="2" t="s">
        <v>1307</v>
      </c>
      <c r="B1101" s="77">
        <f>'09Mar2026'!T115</f>
        <v>0</v>
      </c>
    </row>
    <row r="1102" spans="1:2" x14ac:dyDescent="0.25">
      <c r="A1102" s="2" t="s">
        <v>1308</v>
      </c>
      <c r="B1102" s="77">
        <f>'09Mar2026'!J119</f>
        <v>0</v>
      </c>
    </row>
    <row r="1103" spans="1:2" x14ac:dyDescent="0.25">
      <c r="A1103" s="2" t="s">
        <v>1309</v>
      </c>
      <c r="B1103" s="77">
        <f>'09Mar2026'!K119</f>
        <v>0</v>
      </c>
    </row>
    <row r="1104" spans="1:2" x14ac:dyDescent="0.25">
      <c r="A1104" s="2" t="s">
        <v>1310</v>
      </c>
      <c r="B1104" s="77">
        <f>'09Mar2026'!L119</f>
        <v>0</v>
      </c>
    </row>
    <row r="1105" spans="1:2" x14ac:dyDescent="0.25">
      <c r="A1105" s="2" t="s">
        <v>1311</v>
      </c>
      <c r="B1105" s="77">
        <f>'09Mar2026'!M119</f>
        <v>0</v>
      </c>
    </row>
    <row r="1106" spans="1:2" x14ac:dyDescent="0.25">
      <c r="A1106" s="2" t="s">
        <v>1312</v>
      </c>
      <c r="B1106" s="77">
        <f>'09Mar2026'!N119</f>
        <v>0</v>
      </c>
    </row>
    <row r="1107" spans="1:2" x14ac:dyDescent="0.25">
      <c r="A1107" s="2" t="s">
        <v>1313</v>
      </c>
      <c r="B1107" s="77">
        <f>'09Mar2026'!O119</f>
        <v>0</v>
      </c>
    </row>
    <row r="1108" spans="1:2" x14ac:dyDescent="0.25">
      <c r="A1108" s="2" t="s">
        <v>1314</v>
      </c>
      <c r="B1108" s="77">
        <f>'09Mar2026'!P119</f>
        <v>0</v>
      </c>
    </row>
    <row r="1109" spans="1:2" x14ac:dyDescent="0.25">
      <c r="A1109" s="2" t="s">
        <v>1315</v>
      </c>
      <c r="B1109" s="77">
        <f>'09Mar2026'!Q119</f>
        <v>0</v>
      </c>
    </row>
    <row r="1110" spans="1:2" x14ac:dyDescent="0.25">
      <c r="A1110" s="2" t="s">
        <v>1316</v>
      </c>
      <c r="B1110" s="77">
        <f>'09Mar2026'!R119</f>
        <v>0</v>
      </c>
    </row>
    <row r="1111" spans="1:2" x14ac:dyDescent="0.25">
      <c r="A1111" s="2" t="s">
        <v>1317</v>
      </c>
      <c r="B1111" s="77">
        <f>'09Mar2026'!S119</f>
        <v>0</v>
      </c>
    </row>
    <row r="1112" spans="1:2" x14ac:dyDescent="0.25">
      <c r="A1112" s="2" t="s">
        <v>1318</v>
      </c>
      <c r="B1112" s="77">
        <f>'09Mar2026'!T119</f>
        <v>0</v>
      </c>
    </row>
    <row r="1113" spans="1:2" x14ac:dyDescent="0.25">
      <c r="A1113" s="2" t="s">
        <v>1319</v>
      </c>
      <c r="B1113" s="77">
        <f>'09Mar2026'!U119</f>
        <v>0</v>
      </c>
    </row>
    <row r="1114" spans="1:2" x14ac:dyDescent="0.25">
      <c r="A1114" s="2" t="s">
        <v>1320</v>
      </c>
      <c r="B1114" s="77">
        <f>'09Mar2026'!J120</f>
        <v>0</v>
      </c>
    </row>
    <row r="1115" spans="1:2" x14ac:dyDescent="0.25">
      <c r="A1115" s="2" t="s">
        <v>1321</v>
      </c>
      <c r="B1115" s="77">
        <f>'09Mar2026'!K120</f>
        <v>0</v>
      </c>
    </row>
    <row r="1116" spans="1:2" x14ac:dyDescent="0.25">
      <c r="A1116" s="2" t="s">
        <v>1322</v>
      </c>
      <c r="B1116" s="77">
        <f>'09Mar2026'!L120</f>
        <v>0</v>
      </c>
    </row>
    <row r="1117" spans="1:2" x14ac:dyDescent="0.25">
      <c r="A1117" s="2" t="s">
        <v>1323</v>
      </c>
      <c r="B1117" s="77">
        <f>'09Mar2026'!M120</f>
        <v>0</v>
      </c>
    </row>
    <row r="1118" spans="1:2" x14ac:dyDescent="0.25">
      <c r="A1118" s="2" t="s">
        <v>1324</v>
      </c>
      <c r="B1118" s="77">
        <f>'09Mar2026'!N120</f>
        <v>0</v>
      </c>
    </row>
    <row r="1119" spans="1:2" x14ac:dyDescent="0.25">
      <c r="A1119" s="2" t="s">
        <v>1325</v>
      </c>
      <c r="B1119" s="77">
        <f>'09Mar2026'!O120</f>
        <v>0</v>
      </c>
    </row>
    <row r="1120" spans="1:2" x14ac:dyDescent="0.25">
      <c r="A1120" s="2" t="s">
        <v>1326</v>
      </c>
      <c r="B1120" s="77">
        <f>'09Mar2026'!P120</f>
        <v>0</v>
      </c>
    </row>
    <row r="1121" spans="1:2" x14ac:dyDescent="0.25">
      <c r="A1121" s="2" t="s">
        <v>1327</v>
      </c>
      <c r="B1121" s="77">
        <f>'09Mar2026'!Q120</f>
        <v>0</v>
      </c>
    </row>
    <row r="1122" spans="1:2" x14ac:dyDescent="0.25">
      <c r="A1122" s="2" t="s">
        <v>1328</v>
      </c>
      <c r="B1122" s="77">
        <f>'09Mar2026'!R120</f>
        <v>0</v>
      </c>
    </row>
    <row r="1123" spans="1:2" x14ac:dyDescent="0.25">
      <c r="A1123" s="2" t="s">
        <v>1329</v>
      </c>
      <c r="B1123" s="77">
        <f>'09Mar2026'!S120</f>
        <v>0</v>
      </c>
    </row>
    <row r="1124" spans="1:2" x14ac:dyDescent="0.25">
      <c r="A1124" s="2" t="s">
        <v>1330</v>
      </c>
      <c r="B1124" s="77">
        <f>'09Mar2026'!T120</f>
        <v>0</v>
      </c>
    </row>
    <row r="1125" spans="1:2" x14ac:dyDescent="0.25">
      <c r="A1125" s="2" t="s">
        <v>1331</v>
      </c>
      <c r="B1125" s="77">
        <f>'09Mar2026'!U120</f>
        <v>0</v>
      </c>
    </row>
    <row r="1126" spans="1:2" x14ac:dyDescent="0.25">
      <c r="A1126" s="2" t="s">
        <v>1332</v>
      </c>
      <c r="B1126" s="77">
        <f>'09Mar2026'!J121</f>
        <v>0</v>
      </c>
    </row>
    <row r="1127" spans="1:2" x14ac:dyDescent="0.25">
      <c r="A1127" s="2" t="s">
        <v>1333</v>
      </c>
      <c r="B1127" s="77">
        <f>'09Mar2026'!K121</f>
        <v>0</v>
      </c>
    </row>
    <row r="1128" spans="1:2" x14ac:dyDescent="0.25">
      <c r="A1128" s="2" t="s">
        <v>1334</v>
      </c>
      <c r="B1128" s="77">
        <f>'09Mar2026'!L121</f>
        <v>0</v>
      </c>
    </row>
    <row r="1129" spans="1:2" x14ac:dyDescent="0.25">
      <c r="A1129" s="2" t="s">
        <v>1335</v>
      </c>
      <c r="B1129" s="77">
        <f>'09Mar2026'!M121</f>
        <v>0</v>
      </c>
    </row>
    <row r="1130" spans="1:2" x14ac:dyDescent="0.25">
      <c r="A1130" s="2" t="s">
        <v>1336</v>
      </c>
      <c r="B1130" s="77">
        <f>'09Mar2026'!N121</f>
        <v>0</v>
      </c>
    </row>
    <row r="1131" spans="1:2" x14ac:dyDescent="0.25">
      <c r="A1131" s="2" t="s">
        <v>1337</v>
      </c>
      <c r="B1131" s="77">
        <f>'09Mar2026'!O121</f>
        <v>0</v>
      </c>
    </row>
    <row r="1132" spans="1:2" x14ac:dyDescent="0.25">
      <c r="A1132" s="2" t="s">
        <v>1338</v>
      </c>
      <c r="B1132" s="77">
        <f>'09Mar2026'!P121</f>
        <v>0</v>
      </c>
    </row>
    <row r="1133" spans="1:2" x14ac:dyDescent="0.25">
      <c r="A1133" s="2" t="s">
        <v>1339</v>
      </c>
      <c r="B1133" s="77">
        <f>'09Mar2026'!Q121</f>
        <v>0</v>
      </c>
    </row>
    <row r="1134" spans="1:2" x14ac:dyDescent="0.25">
      <c r="A1134" s="2" t="s">
        <v>1340</v>
      </c>
      <c r="B1134" s="77">
        <f>'09Mar2026'!R121</f>
        <v>0</v>
      </c>
    </row>
    <row r="1135" spans="1:2" x14ac:dyDescent="0.25">
      <c r="A1135" s="2" t="s">
        <v>1341</v>
      </c>
      <c r="B1135" s="77">
        <f>'09Mar2026'!S121</f>
        <v>0</v>
      </c>
    </row>
    <row r="1136" spans="1:2" x14ac:dyDescent="0.25">
      <c r="A1136" s="2" t="s">
        <v>1342</v>
      </c>
      <c r="B1136" s="77">
        <f>'09Mar2026'!T121</f>
        <v>0</v>
      </c>
    </row>
    <row r="1137" spans="1:2" x14ac:dyDescent="0.25">
      <c r="A1137" s="2" t="s">
        <v>1343</v>
      </c>
      <c r="B1137" s="77">
        <f>'09Mar2026'!U121</f>
        <v>0</v>
      </c>
    </row>
    <row r="1138" spans="1:2" x14ac:dyDescent="0.25">
      <c r="A1138" s="2" t="s">
        <v>1344</v>
      </c>
      <c r="B1138" s="77">
        <f>'09Mar2026'!J122</f>
        <v>0</v>
      </c>
    </row>
    <row r="1139" spans="1:2" x14ac:dyDescent="0.25">
      <c r="A1139" s="2" t="s">
        <v>1345</v>
      </c>
      <c r="B1139" s="77">
        <f>'09Mar2026'!K122</f>
        <v>0</v>
      </c>
    </row>
    <row r="1140" spans="1:2" x14ac:dyDescent="0.25">
      <c r="A1140" s="2" t="s">
        <v>1346</v>
      </c>
      <c r="B1140" s="77">
        <f>'09Mar2026'!M122</f>
        <v>0</v>
      </c>
    </row>
    <row r="1141" spans="1:2" x14ac:dyDescent="0.25">
      <c r="A1141" s="2" t="s">
        <v>1347</v>
      </c>
      <c r="B1141" s="77">
        <f>'09Mar2026'!O122</f>
        <v>0</v>
      </c>
    </row>
    <row r="1142" spans="1:2" x14ac:dyDescent="0.25">
      <c r="A1142" s="2" t="s">
        <v>1348</v>
      </c>
      <c r="B1142" s="77">
        <f>'09Mar2026'!P122</f>
        <v>0</v>
      </c>
    </row>
    <row r="1143" spans="1:2" x14ac:dyDescent="0.25">
      <c r="A1143" s="2" t="s">
        <v>1349</v>
      </c>
      <c r="B1143" s="77">
        <f>'09Mar2026'!Q122</f>
        <v>0</v>
      </c>
    </row>
    <row r="1144" spans="1:2" x14ac:dyDescent="0.25">
      <c r="A1144" s="2" t="s">
        <v>1350</v>
      </c>
      <c r="B1144" s="77">
        <f>'09Mar2026'!R122</f>
        <v>0</v>
      </c>
    </row>
    <row r="1145" spans="1:2" x14ac:dyDescent="0.25">
      <c r="A1145" s="2" t="s">
        <v>1351</v>
      </c>
      <c r="B1145" s="77">
        <f>'09Mar2026'!S122</f>
        <v>0</v>
      </c>
    </row>
    <row r="1146" spans="1:2" x14ac:dyDescent="0.25">
      <c r="A1146" s="2" t="s">
        <v>1352</v>
      </c>
      <c r="B1146" s="77">
        <f>'09Mar2026'!T122</f>
        <v>0</v>
      </c>
    </row>
    <row r="1147" spans="1:2" x14ac:dyDescent="0.25">
      <c r="A1147" s="2" t="s">
        <v>1353</v>
      </c>
      <c r="B1147" s="77">
        <f>'09Mar2026'!U122</f>
        <v>0</v>
      </c>
    </row>
    <row r="1148" spans="1:2" x14ac:dyDescent="0.25">
      <c r="A1148" s="2" t="s">
        <v>1354</v>
      </c>
      <c r="B1148" s="77">
        <f>'09Mar2026'!V122</f>
        <v>0</v>
      </c>
    </row>
    <row r="1149" spans="1:2" x14ac:dyDescent="0.25">
      <c r="A1149" s="2" t="s">
        <v>1355</v>
      </c>
      <c r="B1149" s="77">
        <f>'09Mar2026'!W122</f>
        <v>0</v>
      </c>
    </row>
    <row r="1150" spans="1:2" x14ac:dyDescent="0.25">
      <c r="A1150" s="2" t="s">
        <v>1356</v>
      </c>
      <c r="B1150" s="77">
        <f>'09Mar2026'!X122</f>
        <v>0</v>
      </c>
    </row>
    <row r="1151" spans="1:2" x14ac:dyDescent="0.25">
      <c r="A1151" s="2" t="s">
        <v>1357</v>
      </c>
      <c r="B1151" s="77">
        <f>'09Mar2026'!Y122</f>
        <v>0</v>
      </c>
    </row>
    <row r="1152" spans="1:2" x14ac:dyDescent="0.25">
      <c r="A1152" s="2" t="s">
        <v>1358</v>
      </c>
      <c r="B1152" s="77">
        <f>'09Mar2026'!Z122</f>
        <v>0</v>
      </c>
    </row>
    <row r="1153" spans="1:2" x14ac:dyDescent="0.25">
      <c r="A1153" s="2" t="s">
        <v>1359</v>
      </c>
      <c r="B1153" s="77">
        <f>'09Mar2026'!AA122</f>
        <v>0</v>
      </c>
    </row>
    <row r="1154" spans="1:2" x14ac:dyDescent="0.25">
      <c r="A1154" s="2" t="s">
        <v>1360</v>
      </c>
      <c r="B1154" s="77">
        <f>'09Mar2026'!AB122</f>
        <v>0</v>
      </c>
    </row>
    <row r="1155" spans="1:2" x14ac:dyDescent="0.25">
      <c r="A1155" s="2" t="s">
        <v>1361</v>
      </c>
      <c r="B1155" s="77">
        <f>'09Mar2026'!J124</f>
        <v>0</v>
      </c>
    </row>
    <row r="1156" spans="1:2" x14ac:dyDescent="0.25">
      <c r="A1156" s="2" t="s">
        <v>1362</v>
      </c>
      <c r="B1156" s="77">
        <f>'09Mar2026'!K124</f>
        <v>0</v>
      </c>
    </row>
    <row r="1157" spans="1:2" x14ac:dyDescent="0.25">
      <c r="A1157" s="2" t="s">
        <v>1363</v>
      </c>
      <c r="B1157" s="77">
        <f>'09Mar2026'!N124</f>
        <v>0</v>
      </c>
    </row>
    <row r="1158" spans="1:2" x14ac:dyDescent="0.25">
      <c r="A1158" s="2" t="s">
        <v>1364</v>
      </c>
      <c r="B1158" s="77">
        <f>'09Mar2026'!J126</f>
        <v>0</v>
      </c>
    </row>
    <row r="1159" spans="1:2" x14ac:dyDescent="0.25">
      <c r="A1159" s="2" t="s">
        <v>1365</v>
      </c>
      <c r="B1159" s="77">
        <f>'09Mar2026'!K126</f>
        <v>0</v>
      </c>
    </row>
    <row r="1160" spans="1:2" x14ac:dyDescent="0.25">
      <c r="A1160" s="2" t="s">
        <v>1366</v>
      </c>
      <c r="B1160" s="77">
        <f>'09Mar2026'!L126</f>
        <v>0</v>
      </c>
    </row>
    <row r="1161" spans="1:2" x14ac:dyDescent="0.25">
      <c r="A1161" s="2" t="s">
        <v>1367</v>
      </c>
      <c r="B1161" s="77">
        <f>'09Mar2026'!M126</f>
        <v>0</v>
      </c>
    </row>
    <row r="1162" spans="1:2" x14ac:dyDescent="0.25">
      <c r="A1162" s="2" t="s">
        <v>1368</v>
      </c>
      <c r="B1162" s="77">
        <f>'09Mar2026'!N126</f>
        <v>0</v>
      </c>
    </row>
    <row r="1163" spans="1:2" x14ac:dyDescent="0.25">
      <c r="A1163" s="2" t="s">
        <v>1369</v>
      </c>
      <c r="B1163" s="77">
        <f>'09Mar2026'!O126</f>
        <v>0</v>
      </c>
    </row>
    <row r="1164" spans="1:2" x14ac:dyDescent="0.25">
      <c r="A1164" s="2" t="s">
        <v>1370</v>
      </c>
      <c r="B1164" s="77">
        <f>'09Mar2026'!P126</f>
        <v>0</v>
      </c>
    </row>
    <row r="1165" spans="1:2" x14ac:dyDescent="0.25">
      <c r="A1165" s="2" t="s">
        <v>1371</v>
      </c>
      <c r="B1165" s="77">
        <f>'09Mar2026'!Q126</f>
        <v>0</v>
      </c>
    </row>
    <row r="1166" spans="1:2" x14ac:dyDescent="0.25">
      <c r="A1166" s="2" t="s">
        <v>1372</v>
      </c>
      <c r="B1166" s="77">
        <f>'09Mar2026'!R126</f>
        <v>0</v>
      </c>
    </row>
    <row r="1167" spans="1:2" x14ac:dyDescent="0.25">
      <c r="A1167" s="2" t="s">
        <v>1373</v>
      </c>
      <c r="B1167" s="77">
        <f>'09Mar2026'!S126</f>
        <v>0</v>
      </c>
    </row>
    <row r="1168" spans="1:2" x14ac:dyDescent="0.25">
      <c r="A1168" s="2" t="s">
        <v>1374</v>
      </c>
      <c r="B1168" s="77">
        <f>'09Mar2026'!T126</f>
        <v>0</v>
      </c>
    </row>
    <row r="1169" spans="1:2" x14ac:dyDescent="0.25">
      <c r="A1169" s="2" t="s">
        <v>1375</v>
      </c>
      <c r="B1169" s="77">
        <f>'09Mar2026'!U126</f>
        <v>0</v>
      </c>
    </row>
    <row r="1170" spans="1:2" x14ac:dyDescent="0.25">
      <c r="A1170" s="2" t="s">
        <v>1376</v>
      </c>
      <c r="B1170" s="77">
        <f>'09Mar2026'!V126</f>
        <v>0</v>
      </c>
    </row>
    <row r="1171" spans="1:2" x14ac:dyDescent="0.25">
      <c r="A1171" s="2" t="s">
        <v>1377</v>
      </c>
      <c r="B1171" s="77">
        <f>'09Mar2026'!J127</f>
        <v>0</v>
      </c>
    </row>
    <row r="1172" spans="1:2" x14ac:dyDescent="0.25">
      <c r="A1172" s="2" t="s">
        <v>1378</v>
      </c>
      <c r="B1172" s="77">
        <f>'09Mar2026'!K127</f>
        <v>0</v>
      </c>
    </row>
    <row r="1173" spans="1:2" x14ac:dyDescent="0.25">
      <c r="A1173" s="2" t="s">
        <v>1379</v>
      </c>
      <c r="B1173" s="77">
        <f>'09Mar2026'!L127</f>
        <v>0</v>
      </c>
    </row>
    <row r="1174" spans="1:2" x14ac:dyDescent="0.25">
      <c r="A1174" s="2" t="s">
        <v>1380</v>
      </c>
      <c r="B1174" s="77">
        <f>'09Mar2026'!M127</f>
        <v>0</v>
      </c>
    </row>
    <row r="1175" spans="1:2" x14ac:dyDescent="0.25">
      <c r="A1175" s="2" t="s">
        <v>1381</v>
      </c>
      <c r="B1175" s="77">
        <f>'09Mar2026'!N127</f>
        <v>0</v>
      </c>
    </row>
    <row r="1176" spans="1:2" x14ac:dyDescent="0.25">
      <c r="A1176" s="2" t="s">
        <v>1382</v>
      </c>
      <c r="B1176" s="77">
        <f>'09Mar2026'!O127</f>
        <v>0</v>
      </c>
    </row>
    <row r="1177" spans="1:2" x14ac:dyDescent="0.25">
      <c r="A1177" s="2" t="s">
        <v>1383</v>
      </c>
      <c r="B1177" s="77">
        <f>'09Mar2026'!P127</f>
        <v>0</v>
      </c>
    </row>
    <row r="1178" spans="1:2" x14ac:dyDescent="0.25">
      <c r="A1178" s="2" t="s">
        <v>1384</v>
      </c>
      <c r="B1178" s="77">
        <f>'09Mar2026'!Q127</f>
        <v>0</v>
      </c>
    </row>
    <row r="1179" spans="1:2" x14ac:dyDescent="0.25">
      <c r="A1179" s="2" t="s">
        <v>1385</v>
      </c>
      <c r="B1179" s="77">
        <f>'09Mar2026'!R127</f>
        <v>0</v>
      </c>
    </row>
    <row r="1180" spans="1:2" x14ac:dyDescent="0.25">
      <c r="A1180" s="2" t="s">
        <v>1386</v>
      </c>
      <c r="B1180" s="77">
        <f>'09Mar2026'!S127</f>
        <v>0</v>
      </c>
    </row>
    <row r="1181" spans="1:2" x14ac:dyDescent="0.25">
      <c r="A1181" s="2" t="s">
        <v>1387</v>
      </c>
      <c r="B1181" s="77">
        <f>'09Mar2026'!U127</f>
        <v>0</v>
      </c>
    </row>
    <row r="1182" spans="1:2" x14ac:dyDescent="0.25">
      <c r="A1182" s="2" t="s">
        <v>1388</v>
      </c>
      <c r="B1182" s="77">
        <f>'09Mar2026'!V127</f>
        <v>0</v>
      </c>
    </row>
    <row r="1183" spans="1:2" x14ac:dyDescent="0.25">
      <c r="A1183" s="2" t="s">
        <v>1389</v>
      </c>
      <c r="B1183" s="77">
        <f>'09Mar2026'!J129</f>
        <v>0</v>
      </c>
    </row>
    <row r="1184" spans="1:2" x14ac:dyDescent="0.25">
      <c r="A1184" s="2" t="s">
        <v>1390</v>
      </c>
      <c r="B1184" s="77">
        <f>'09Mar2026'!K129</f>
        <v>0</v>
      </c>
    </row>
    <row r="1185" spans="1:2" x14ac:dyDescent="0.25">
      <c r="A1185" s="2" t="s">
        <v>1391</v>
      </c>
      <c r="B1185" s="77">
        <f>'09Mar2026'!L129</f>
        <v>0</v>
      </c>
    </row>
    <row r="1186" spans="1:2" x14ac:dyDescent="0.25">
      <c r="A1186" s="2" t="s">
        <v>1392</v>
      </c>
      <c r="B1186" s="77">
        <f>'09Mar2026'!M129</f>
        <v>0</v>
      </c>
    </row>
    <row r="1187" spans="1:2" x14ac:dyDescent="0.25">
      <c r="A1187" s="2" t="s">
        <v>1393</v>
      </c>
      <c r="B1187" s="77">
        <f>'09Mar2026'!N129</f>
        <v>0</v>
      </c>
    </row>
    <row r="1188" spans="1:2" x14ac:dyDescent="0.25">
      <c r="A1188" s="2" t="s">
        <v>1394</v>
      </c>
      <c r="B1188" s="77">
        <f>'09Mar2026'!O129</f>
        <v>0</v>
      </c>
    </row>
    <row r="1189" spans="1:2" x14ac:dyDescent="0.25">
      <c r="A1189" s="2" t="s">
        <v>1395</v>
      </c>
      <c r="B1189" s="77">
        <f>'09Mar2026'!J130</f>
        <v>0</v>
      </c>
    </row>
    <row r="1190" spans="1:2" x14ac:dyDescent="0.25">
      <c r="A1190" s="2" t="s">
        <v>1396</v>
      </c>
      <c r="B1190" s="77">
        <f>'09Mar2026'!K130</f>
        <v>0</v>
      </c>
    </row>
    <row r="1191" spans="1:2" x14ac:dyDescent="0.25">
      <c r="A1191" s="2" t="s">
        <v>1397</v>
      </c>
      <c r="B1191" s="77">
        <f>'09Mar2026'!L130</f>
        <v>0</v>
      </c>
    </row>
    <row r="1192" spans="1:2" x14ac:dyDescent="0.25">
      <c r="A1192" s="2" t="s">
        <v>1398</v>
      </c>
      <c r="B1192" s="77">
        <f>'09Mar2026'!M130</f>
        <v>0</v>
      </c>
    </row>
    <row r="1193" spans="1:2" x14ac:dyDescent="0.25">
      <c r="A1193" s="2" t="s">
        <v>1399</v>
      </c>
      <c r="B1193" s="77">
        <f>'09Mar2026'!N130</f>
        <v>0</v>
      </c>
    </row>
    <row r="1194" spans="1:2" x14ac:dyDescent="0.25">
      <c r="A1194" s="2" t="s">
        <v>1400</v>
      </c>
      <c r="B1194" s="77">
        <f>'09Mar2026'!O130</f>
        <v>0</v>
      </c>
    </row>
    <row r="1195" spans="1:2" x14ac:dyDescent="0.25">
      <c r="A1195" s="2" t="s">
        <v>1401</v>
      </c>
      <c r="B1195" s="77">
        <f>'09Mar2026'!J133</f>
        <v>0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2:AD137"/>
  <sheetViews>
    <sheetView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A2" sqref="A2"/>
    </sheetView>
  </sheetViews>
  <sheetFormatPr defaultColWidth="11" defaultRowHeight="20.100000000000001" customHeight="1" x14ac:dyDescent="0.3"/>
  <cols>
    <col min="1" max="1" width="0.140625" style="55" customWidth="1"/>
    <col min="2" max="2" width="14.28515625" style="55" customWidth="1"/>
    <col min="3" max="3" width="29" style="55" customWidth="1"/>
    <col min="4" max="4" width="46.7109375" style="55" customWidth="1"/>
    <col min="5" max="5" width="11.140625" style="55" customWidth="1"/>
    <col min="6" max="6" width="57.7109375" style="55" customWidth="1"/>
    <col min="7" max="7" width="14" style="55" customWidth="1"/>
    <col min="8" max="8" width="10" style="55" customWidth="1"/>
    <col min="9" max="9" width="15" style="55" customWidth="1"/>
    <col min="10" max="31" width="11" style="55" customWidth="1"/>
    <col min="32" max="16384" width="11" style="55"/>
  </cols>
  <sheetData>
    <row r="2" spans="1:30" ht="14.25" x14ac:dyDescent="0.3">
      <c r="D2" s="56" t="s">
        <v>0</v>
      </c>
    </row>
    <row r="4" spans="1:30" ht="14.25" x14ac:dyDescent="0.3">
      <c r="C4" s="55" t="s">
        <v>9</v>
      </c>
    </row>
    <row r="5" spans="1:30" ht="14.25" x14ac:dyDescent="0.3">
      <c r="C5" s="57" t="s">
        <v>1</v>
      </c>
      <c r="D5" s="109" t="s">
        <v>2</v>
      </c>
      <c r="E5" s="109" t="s">
        <v>2</v>
      </c>
      <c r="F5" s="109" t="s">
        <v>2</v>
      </c>
    </row>
    <row r="6" spans="1:30" ht="14.25" x14ac:dyDescent="0.3">
      <c r="C6" s="57" t="s">
        <v>3</v>
      </c>
      <c r="D6" s="109"/>
      <c r="E6" s="109"/>
      <c r="F6" s="109"/>
    </row>
    <row r="7" spans="1:30" ht="14.25" x14ac:dyDescent="0.3">
      <c r="C7" s="57" t="s">
        <v>4</v>
      </c>
      <c r="D7" s="109"/>
      <c r="E7" s="109"/>
      <c r="F7" s="109"/>
      <c r="G7" s="58" t="str">
        <f>IF(LEN(D7)&gt;18,"The max length of PO Number allowed is 18","")</f>
        <v/>
      </c>
    </row>
    <row r="8" spans="1:30" ht="14.25" x14ac:dyDescent="0.3">
      <c r="C8" s="57" t="s">
        <v>5</v>
      </c>
      <c r="D8" s="110">
        <v>46090</v>
      </c>
      <c r="E8" s="110"/>
      <c r="F8" s="110"/>
      <c r="G8" s="58" t="str">
        <f>IF(ISNUMBER(D8),"MM/DD/YY",IF(D8="",""," Invalid date (MM/DD/YY)"))</f>
        <v>MM/DD/YY</v>
      </c>
    </row>
    <row r="9" spans="1:30" ht="14.25" x14ac:dyDescent="0.3">
      <c r="C9" s="57" t="s">
        <v>6</v>
      </c>
      <c r="D9" s="110">
        <v>46120</v>
      </c>
      <c r="E9" s="110"/>
      <c r="F9" s="110"/>
      <c r="G9" s="59" t="str">
        <f>IF(ISNUMBER(D9),IF(D9&lt;D8,"Cancel Date must be greater than Requested Delivery Date","MM/DD/YY"),IF(D9="",""," Invalid date (MM/DD/YY)"))</f>
        <v>MM/DD/YY</v>
      </c>
    </row>
    <row r="11" spans="1:30" ht="12.95" customHeight="1" x14ac:dyDescent="0.3">
      <c r="A11" s="111" t="s">
        <v>7</v>
      </c>
      <c r="B11" s="111"/>
      <c r="C11" s="111"/>
      <c r="G11" s="60" t="s">
        <v>8</v>
      </c>
      <c r="H11" s="60">
        <f>VLOOKUP("TOTAL PAIRS",$H$15:$J$15000,3,0)</f>
        <v>0</v>
      </c>
      <c r="I11" s="60">
        <f>VLOOKUP("TOTAL COST",$H$15:$J$15000,3,0)</f>
        <v>0</v>
      </c>
    </row>
    <row r="12" spans="1:30" ht="12.95" customHeight="1" x14ac:dyDescent="0.3">
      <c r="A12" s="112" t="s">
        <v>9</v>
      </c>
      <c r="B12" s="112"/>
      <c r="C12" s="112"/>
      <c r="D12" s="112"/>
      <c r="E12" s="112"/>
      <c r="F12" s="112"/>
      <c r="G12" s="113" t="s">
        <v>10</v>
      </c>
      <c r="H12" s="113"/>
      <c r="I12" s="113"/>
    </row>
    <row r="13" spans="1:30" ht="14.25" x14ac:dyDescent="0.3">
      <c r="A13" s="61"/>
      <c r="B13" s="62" t="s">
        <v>11</v>
      </c>
      <c r="C13" s="62" t="s">
        <v>12</v>
      </c>
      <c r="D13" s="62" t="s">
        <v>13</v>
      </c>
      <c r="E13" s="62" t="s">
        <v>14</v>
      </c>
      <c r="F13" s="62" t="s">
        <v>15</v>
      </c>
      <c r="G13" s="62" t="s">
        <v>16</v>
      </c>
      <c r="H13" s="62" t="s">
        <v>17</v>
      </c>
      <c r="I13" s="62" t="s">
        <v>18</v>
      </c>
      <c r="J13" s="114" t="s">
        <v>19</v>
      </c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63"/>
      <c r="X13" s="63"/>
      <c r="Y13" s="63"/>
      <c r="Z13" s="63"/>
      <c r="AA13" s="63"/>
      <c r="AB13" s="63"/>
      <c r="AC13" s="63"/>
      <c r="AD13" s="63"/>
    </row>
    <row r="14" spans="1:30" ht="14.25" x14ac:dyDescent="0.3">
      <c r="A14" s="61"/>
      <c r="B14" s="62"/>
      <c r="C14" s="62"/>
      <c r="D14" s="62"/>
      <c r="E14" s="62"/>
      <c r="F14" s="62"/>
      <c r="G14" s="62"/>
      <c r="H14" s="62"/>
      <c r="I14" s="62" t="s">
        <v>9</v>
      </c>
      <c r="J14" s="64" t="s">
        <v>20</v>
      </c>
      <c r="K14" s="64" t="s">
        <v>21</v>
      </c>
      <c r="L14" s="64" t="s">
        <v>22</v>
      </c>
      <c r="M14" s="64" t="s">
        <v>23</v>
      </c>
      <c r="N14" s="64" t="s">
        <v>24</v>
      </c>
      <c r="O14" s="64" t="s">
        <v>25</v>
      </c>
      <c r="P14" s="64" t="s">
        <v>26</v>
      </c>
      <c r="Q14" s="64" t="s">
        <v>27</v>
      </c>
      <c r="R14" s="64" t="s">
        <v>28</v>
      </c>
      <c r="S14" s="64" t="s">
        <v>29</v>
      </c>
      <c r="T14" s="64" t="s">
        <v>30</v>
      </c>
      <c r="U14" s="64" t="s">
        <v>31</v>
      </c>
      <c r="V14" s="64" t="s">
        <v>32</v>
      </c>
      <c r="W14" s="65"/>
      <c r="X14" s="65"/>
      <c r="Y14" s="65"/>
      <c r="Z14" s="65"/>
      <c r="AA14" s="65"/>
      <c r="AB14" s="65"/>
      <c r="AC14" s="65"/>
      <c r="AD14" s="65"/>
    </row>
    <row r="15" spans="1:30" ht="14.25" x14ac:dyDescent="0.3">
      <c r="A15" s="66" t="s">
        <v>33</v>
      </c>
      <c r="B15" s="61"/>
      <c r="C15" s="61"/>
      <c r="D15" s="61"/>
      <c r="E15" s="61"/>
      <c r="F15" s="61"/>
      <c r="G15" s="61" t="s">
        <v>9</v>
      </c>
      <c r="H15" s="61" t="s">
        <v>9</v>
      </c>
      <c r="I15" s="61" t="s">
        <v>9</v>
      </c>
      <c r="J15" s="67" t="s">
        <v>20</v>
      </c>
      <c r="K15" s="67" t="s">
        <v>21</v>
      </c>
      <c r="L15" s="67" t="s">
        <v>22</v>
      </c>
      <c r="M15" s="67" t="s">
        <v>23</v>
      </c>
      <c r="N15" s="67" t="s">
        <v>24</v>
      </c>
      <c r="O15" s="67" t="s">
        <v>25</v>
      </c>
      <c r="P15" s="67" t="s">
        <v>26</v>
      </c>
      <c r="Q15" s="67" t="s">
        <v>27</v>
      </c>
      <c r="R15" s="67" t="s">
        <v>28</v>
      </c>
      <c r="S15" s="67" t="s">
        <v>29</v>
      </c>
      <c r="T15" s="67" t="s">
        <v>30</v>
      </c>
      <c r="U15" s="67" t="s">
        <v>31</v>
      </c>
      <c r="V15" s="67" t="s">
        <v>32</v>
      </c>
    </row>
    <row r="16" spans="1:30" ht="12.95" customHeight="1" x14ac:dyDescent="0.3">
      <c r="A16" s="61"/>
      <c r="B16" s="68" t="str">
        <f>HYPERLINK("https://us-east-2-production9-hive-20200324201045952400000002.s3.amazonaws.com/import-files/timberland/product_images/original-TB0A417G_EDU_P_1.png","TB0A417GEDU1")</f>
        <v>TB0A417GEDU1</v>
      </c>
      <c r="C16" s="61" t="s">
        <v>34</v>
      </c>
      <c r="D16" s="61" t="s">
        <v>35</v>
      </c>
      <c r="E16" s="61" t="s">
        <v>36</v>
      </c>
      <c r="F16" s="61" t="s">
        <v>37</v>
      </c>
      <c r="G16" s="69">
        <v>80</v>
      </c>
      <c r="H16" s="61">
        <f>J16+K16+L16+M16+N16+O16+P16+Q16+R16+S16+T16+U16+V16</f>
        <v>0</v>
      </c>
      <c r="I16" s="70">
        <f>(J16*WholesalePrice!J16)+(K16*WholesalePrice!K16)+(L16*WholesalePrice!L16)+(M16*WholesalePrice!M16)+(N16*WholesalePrice!N16)+(O16*WholesalePrice!O16)+(P16*WholesalePrice!P16)+(Q16*WholesalePrice!Q16)+(R16*WholesalePrice!R16)+(S16*WholesalePrice!S16)+(T16*WholesalePrice!T16)+(U16*WholesalePrice!U16)+(V16*WholesalePrice!V16)</f>
        <v>0</v>
      </c>
      <c r="J16" s="71"/>
      <c r="K16" s="74"/>
      <c r="L16" s="74"/>
      <c r="M16" s="74"/>
      <c r="N16" s="74"/>
      <c r="O16" s="74"/>
      <c r="P16" s="74"/>
      <c r="Q16" s="74"/>
      <c r="R16" s="74"/>
      <c r="S16" s="74"/>
      <c r="T16" s="71"/>
      <c r="U16" s="71"/>
      <c r="V16" s="74"/>
    </row>
    <row r="17" spans="1:30" ht="12.95" customHeight="1" x14ac:dyDescent="0.3">
      <c r="A17" s="61"/>
      <c r="B17" s="68" t="str">
        <f>HYPERLINK("https://us-east-2-production9-hive-20200324201045952400000002.s3.amazonaws.com/import-files/timberland/product_images/original-TB0A417G_EK5_P_1.png","TB0A417GEK51")</f>
        <v>TB0A417GEK51</v>
      </c>
      <c r="C17" s="61" t="s">
        <v>34</v>
      </c>
      <c r="D17" s="61" t="s">
        <v>38</v>
      </c>
      <c r="E17" s="61" t="s">
        <v>36</v>
      </c>
      <c r="F17" s="61" t="s">
        <v>37</v>
      </c>
      <c r="G17" s="69">
        <v>80</v>
      </c>
      <c r="H17" s="61">
        <f>J17+K17+L17+M17+N17+O17+P17+Q17+R17+S17+T17+U17+V17</f>
        <v>0</v>
      </c>
      <c r="I17" s="70">
        <f>(J17*WholesalePrice!J17)+(K17*WholesalePrice!K17)+(L17*WholesalePrice!L17)+(M17*WholesalePrice!M17)+(N17*WholesalePrice!N17)+(O17*WholesalePrice!O17)+(P17*WholesalePrice!P17)+(Q17*WholesalePrice!Q17)+(R17*WholesalePrice!R17)+(S17*WholesalePrice!S17)+(T17*WholesalePrice!T17)+(U17*WholesalePrice!U17)+(V17*WholesalePrice!V17)</f>
        <v>0</v>
      </c>
      <c r="J17" s="71"/>
      <c r="K17" s="71"/>
      <c r="L17" s="74"/>
      <c r="M17" s="74"/>
      <c r="N17" s="74"/>
      <c r="O17" s="74"/>
      <c r="P17" s="74"/>
      <c r="Q17" s="74"/>
      <c r="R17" s="74"/>
      <c r="S17" s="74"/>
      <c r="T17" s="71"/>
      <c r="U17" s="74"/>
      <c r="V17" s="74"/>
    </row>
    <row r="18" spans="1:30" ht="12.95" customHeight="1" x14ac:dyDescent="0.3">
      <c r="A18" s="61"/>
      <c r="B18" s="68" t="str">
        <f>HYPERLINK("https://us-east-2-production9-hive-20200324201045952400000002.s3.amazonaws.com/import-files/timberland/product_images/original-TB0A66SK_EFB_P_1.png","TB0A66SKEFB1")</f>
        <v>TB0A66SKEFB1</v>
      </c>
      <c r="C18" s="61" t="s">
        <v>34</v>
      </c>
      <c r="D18" s="61" t="s">
        <v>39</v>
      </c>
      <c r="E18" s="61" t="s">
        <v>36</v>
      </c>
      <c r="F18" s="61" t="s">
        <v>40</v>
      </c>
      <c r="G18" s="69">
        <v>75</v>
      </c>
      <c r="H18" s="61">
        <f>J18+K18+L18+M18+N18+O18+P18+Q18+R18+S18+T18+U18+V18</f>
        <v>0</v>
      </c>
      <c r="I18" s="70">
        <f>(J18*WholesalePrice!J18)+(K18*WholesalePrice!K18)+(L18*WholesalePrice!L18)+(M18*WholesalePrice!M18)+(N18*WholesalePrice!N18)+(O18*WholesalePrice!O18)+(P18*WholesalePrice!P18)+(Q18*WholesalePrice!Q18)+(R18*WholesalePrice!R18)+(S18*WholesalePrice!S18)+(T18*WholesalePrice!T18)+(U18*WholesalePrice!U18)+(V18*WholesalePrice!V18)</f>
        <v>0</v>
      </c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</row>
    <row r="19" spans="1:30" ht="12.95" customHeight="1" x14ac:dyDescent="0.3">
      <c r="A19" s="61"/>
      <c r="B19" s="68" t="str">
        <f>HYPERLINK("https://us-east-2-production9-hive-20200324201045952400000002.s3.amazonaws.com/import-files/timberland/product_images/original-TB0A66SK_EEM_P_1.png","TB0A66SKEEM1")</f>
        <v>TB0A66SKEEM1</v>
      </c>
      <c r="C19" s="61" t="s">
        <v>34</v>
      </c>
      <c r="D19" s="61" t="s">
        <v>41</v>
      </c>
      <c r="E19" s="61" t="s">
        <v>36</v>
      </c>
      <c r="F19" s="61" t="s">
        <v>40</v>
      </c>
      <c r="G19" s="69">
        <v>75</v>
      </c>
      <c r="H19" s="61">
        <f>J19+K19+L19+M19+N19+O19+P19+Q19+R19+S19+T19+U19+V19</f>
        <v>0</v>
      </c>
      <c r="I19" s="70">
        <f>(J19*WholesalePrice!J19)+(K19*WholesalePrice!K19)+(L19*WholesalePrice!L19)+(M19*WholesalePrice!M19)+(N19*WholesalePrice!N19)+(O19*WholesalePrice!O19)+(P19*WholesalePrice!P19)+(Q19*WholesalePrice!Q19)+(R19*WholesalePrice!R19)+(S19*WholesalePrice!S19)+(T19*WholesalePrice!T19)+(U19*WholesalePrice!U19)+(V19*WholesalePrice!V19)</f>
        <v>0</v>
      </c>
      <c r="J19" s="71"/>
      <c r="K19" s="71"/>
      <c r="L19" s="74"/>
      <c r="M19" s="74"/>
      <c r="N19" s="74"/>
      <c r="O19" s="74"/>
      <c r="P19" s="74"/>
      <c r="Q19" s="74"/>
      <c r="R19" s="74"/>
      <c r="S19" s="74"/>
      <c r="T19" s="74"/>
      <c r="U19" s="71"/>
      <c r="V19" s="71"/>
    </row>
    <row r="20" spans="1:30" ht="12.95" customHeight="1" x14ac:dyDescent="0.3">
      <c r="A20" s="61"/>
      <c r="B20" s="68" t="str">
        <f>HYPERLINK("https://us-east-2-production9-hive-20200324201045952400000002.s3.amazonaws.com/import-files/timberland/product_images/original-TB0A44QY_EEA_P_1.png","TB0A44QYEEA1")</f>
        <v>TB0A44QYEEA1</v>
      </c>
      <c r="C20" s="61" t="s">
        <v>34</v>
      </c>
      <c r="D20" s="61" t="s">
        <v>42</v>
      </c>
      <c r="E20" s="61" t="s">
        <v>36</v>
      </c>
      <c r="F20" s="61" t="s">
        <v>43</v>
      </c>
      <c r="G20" s="69">
        <v>65</v>
      </c>
      <c r="H20" s="61">
        <f>J20+K20+L20+M20+N20+O20+P20+Q20+R20+S20+T20+U20+V20</f>
        <v>0</v>
      </c>
      <c r="I20" s="70">
        <f>(J20*WholesalePrice!J20)+(K20*WholesalePrice!K20)+(L20*WholesalePrice!L20)+(M20*WholesalePrice!M20)+(N20*WholesalePrice!N20)+(O20*WholesalePrice!O20)+(P20*WholesalePrice!P20)+(Q20*WholesalePrice!Q20)+(R20*WholesalePrice!R20)+(S20*WholesalePrice!S20)+(T20*WholesalePrice!T20)+(U20*WholesalePrice!U20)+(V20*WholesalePrice!V20)</f>
        <v>0</v>
      </c>
      <c r="J20" s="71"/>
      <c r="K20" s="71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1"/>
    </row>
    <row r="21" spans="1:30" ht="12.95" customHeight="1" x14ac:dyDescent="0.3">
      <c r="A21" s="61"/>
      <c r="B21" s="68" t="str">
        <f>HYPERLINK("https://us-east-2-production9-hive-20200324201045952400000002.s3.amazonaws.com/import-files/timberland/product_images/original-TB0A66WB_V96_P_1.png","TB0A66WBV961")</f>
        <v>TB0A66WBV961</v>
      </c>
      <c r="C21" s="61" t="s">
        <v>34</v>
      </c>
      <c r="D21" s="61" t="s">
        <v>44</v>
      </c>
      <c r="E21" s="61" t="s">
        <v>36</v>
      </c>
      <c r="F21" s="61" t="s">
        <v>45</v>
      </c>
      <c r="G21" s="69">
        <v>85</v>
      </c>
      <c r="H21" s="61">
        <f>V21</f>
        <v>0</v>
      </c>
      <c r="I21" s="70">
        <f>(V21*WholesalePrice!V21)</f>
        <v>0</v>
      </c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4"/>
    </row>
    <row r="22" spans="1:30" ht="12.95" customHeight="1" x14ac:dyDescent="0.3">
      <c r="A22" s="61"/>
      <c r="B22" s="68" t="str">
        <f>HYPERLINK("https://us-east-2-production9-hive-20200324201045952400000002.s3.amazonaws.com/import-files/timberland/product_images/original-TB1A2A55_001_P_1.png","TB1A2A550011")</f>
        <v>TB1A2A550011</v>
      </c>
      <c r="C22" s="61" t="s">
        <v>34</v>
      </c>
      <c r="D22" s="61" t="s">
        <v>46</v>
      </c>
      <c r="E22" s="61" t="s">
        <v>36</v>
      </c>
      <c r="F22" s="61" t="s">
        <v>47</v>
      </c>
      <c r="G22" s="69">
        <v>85</v>
      </c>
      <c r="H22" s="61">
        <f>J22+K22+L22+M22+N22+O22+P22+Q22+R22+S22+T22+U22+V22</f>
        <v>0</v>
      </c>
      <c r="I22" s="70">
        <f>(J22*WholesalePrice!J22)+(K22*WholesalePrice!K22)+(L22*WholesalePrice!L22)+(M22*WholesalePrice!M22)+(N22*WholesalePrice!N22)+(O22*WholesalePrice!O22)+(P22*WholesalePrice!P22)+(Q22*WholesalePrice!Q22)+(R22*WholesalePrice!R22)+(S22*WholesalePrice!S22)+(T22*WholesalePrice!T22)+(U22*WholesalePrice!U22)+(V22*WholesalePrice!V22)</f>
        <v>0</v>
      </c>
      <c r="J22" s="74"/>
      <c r="K22" s="74"/>
      <c r="L22" s="71"/>
      <c r="M22" s="74"/>
      <c r="N22" s="74"/>
      <c r="O22" s="74"/>
      <c r="P22" s="74"/>
      <c r="Q22" s="74"/>
      <c r="R22" s="74"/>
      <c r="S22" s="74"/>
      <c r="T22" s="74"/>
      <c r="U22" s="74"/>
      <c r="V22" s="74"/>
    </row>
    <row r="23" spans="1:30" ht="14.25" x14ac:dyDescent="0.3">
      <c r="A23" s="66" t="s">
        <v>48</v>
      </c>
      <c r="B23" s="61"/>
      <c r="C23" s="61"/>
      <c r="D23" s="61"/>
      <c r="E23" s="61"/>
      <c r="F23" s="61"/>
      <c r="G23" s="61" t="s">
        <v>9</v>
      </c>
      <c r="H23" s="61" t="s">
        <v>9</v>
      </c>
      <c r="I23" s="61" t="s">
        <v>9</v>
      </c>
      <c r="J23" s="67" t="s">
        <v>49</v>
      </c>
      <c r="K23" s="67" t="s">
        <v>50</v>
      </c>
      <c r="L23" s="67" t="s">
        <v>51</v>
      </c>
      <c r="M23" s="67" t="s">
        <v>52</v>
      </c>
      <c r="N23" s="67" t="s">
        <v>53</v>
      </c>
      <c r="O23" s="67" t="s">
        <v>54</v>
      </c>
      <c r="P23" s="67" t="s">
        <v>55</v>
      </c>
      <c r="Q23" s="67" t="s">
        <v>20</v>
      </c>
      <c r="R23" s="67" t="s">
        <v>21</v>
      </c>
      <c r="S23" s="67" t="s">
        <v>22</v>
      </c>
      <c r="T23" s="67" t="s">
        <v>23</v>
      </c>
      <c r="U23" s="67" t="s">
        <v>24</v>
      </c>
      <c r="V23" s="67" t="s">
        <v>25</v>
      </c>
      <c r="W23" s="67" t="s">
        <v>26</v>
      </c>
      <c r="X23" s="67" t="s">
        <v>27</v>
      </c>
      <c r="Y23" s="67" t="s">
        <v>28</v>
      </c>
      <c r="Z23" s="67" t="s">
        <v>56</v>
      </c>
      <c r="AA23" s="67" t="s">
        <v>29</v>
      </c>
      <c r="AB23" s="67" t="s">
        <v>30</v>
      </c>
      <c r="AC23" s="67" t="s">
        <v>31</v>
      </c>
      <c r="AD23" s="67" t="s">
        <v>32</v>
      </c>
    </row>
    <row r="24" spans="1:30" ht="12.95" customHeight="1" x14ac:dyDescent="0.3">
      <c r="A24" s="61"/>
      <c r="B24" s="68" t="str">
        <f>HYPERLINK("https://us-east-2-production9-hive-20200324201045952400000002.s3.amazonaws.com/import-files/timberland/product_images/original-TB0A66EB_W02_P_1.png","TB0A66EBW021")</f>
        <v>TB0A66EBW021</v>
      </c>
      <c r="C24" s="61" t="s">
        <v>57</v>
      </c>
      <c r="D24" s="61" t="s">
        <v>58</v>
      </c>
      <c r="E24" s="61" t="s">
        <v>36</v>
      </c>
      <c r="F24" s="61" t="s">
        <v>59</v>
      </c>
      <c r="G24" s="69">
        <v>150</v>
      </c>
      <c r="H24" s="61">
        <f>Z24</f>
        <v>0</v>
      </c>
      <c r="I24" s="70">
        <f>(Z24*WholesalePrice!Z24)</f>
        <v>0</v>
      </c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</row>
    <row r="25" spans="1:30" ht="12.95" customHeight="1" x14ac:dyDescent="0.3">
      <c r="A25" s="61"/>
      <c r="B25" s="68" t="str">
        <f>HYPERLINK("https://us-east-2-production9-hive-20200324201045952400000002.s3.amazonaws.com/import-files/timberland/product_images/original-TB0A66EB_W02_P_1.png","TB0A66EBW021")</f>
        <v>TB0A66EBW021</v>
      </c>
      <c r="C25" s="61" t="s">
        <v>34</v>
      </c>
      <c r="D25" s="61" t="s">
        <v>58</v>
      </c>
      <c r="E25" s="61" t="s">
        <v>36</v>
      </c>
      <c r="F25" s="61" t="s">
        <v>59</v>
      </c>
      <c r="G25" s="69">
        <v>150</v>
      </c>
      <c r="H25" s="61">
        <f>Q25+R25+S25+T25+U25+V25+W25+X25+Y25+Z25+AA25+AB25+AC25+AD25</f>
        <v>0</v>
      </c>
      <c r="I25" s="70">
        <f>(Q25*WholesalePrice!Q25)+(R25*WholesalePrice!R25)+(S25*WholesalePrice!S25)+(T25*WholesalePrice!T25)+(U25*WholesalePrice!U25)+(V25*WholesalePrice!V25)+(W25*WholesalePrice!W25)+(X25*WholesalePrice!X25)+(Y25*WholesalePrice!Y25)+(Z25*WholesalePrice!Z25)+(AA25*WholesalePrice!AA25)+(AB25*WholesalePrice!AB25)+(AC25*WholesalePrice!AC25)+(AD25*WholesalePrice!AD25)</f>
        <v>0</v>
      </c>
      <c r="J25" s="71"/>
      <c r="K25" s="71"/>
      <c r="L25" s="71"/>
      <c r="M25" s="71"/>
      <c r="N25" s="71"/>
      <c r="O25" s="71"/>
      <c r="P25" s="71"/>
      <c r="Q25" s="71"/>
      <c r="R25" s="71"/>
      <c r="S25" s="74"/>
      <c r="T25" s="74"/>
      <c r="U25" s="74"/>
      <c r="V25" s="74"/>
      <c r="W25" s="74"/>
      <c r="X25" s="74"/>
      <c r="Y25" s="74"/>
      <c r="Z25" s="71"/>
      <c r="AA25" s="74"/>
      <c r="AB25" s="74"/>
      <c r="AC25" s="74"/>
      <c r="AD25" s="74"/>
    </row>
    <row r="26" spans="1:30" ht="12.95" customHeight="1" x14ac:dyDescent="0.3">
      <c r="A26" s="61"/>
      <c r="B26" s="68" t="str">
        <f>HYPERLINK("https://us-east-2-production9-hive-20200324201045952400000002.s3.amazonaws.com/import-files/timberland/product_images/original-TB0A64A7_W02_P_1.png","TB0A64A7W021")</f>
        <v>TB0A64A7W021</v>
      </c>
      <c r="C26" s="61" t="s">
        <v>34</v>
      </c>
      <c r="D26" s="61" t="s">
        <v>58</v>
      </c>
      <c r="E26" s="61" t="s">
        <v>36</v>
      </c>
      <c r="F26" s="61" t="s">
        <v>60</v>
      </c>
      <c r="G26" s="69">
        <v>130</v>
      </c>
      <c r="H26" s="61">
        <f>Q26+R26+S26+T26+U26+V26+W26+X26+Y26+AA26+AB26+AC26+AD26</f>
        <v>0</v>
      </c>
      <c r="I26" s="70">
        <f>(Q26*WholesalePrice!Q26)+(R26*WholesalePrice!R26)+(S26*WholesalePrice!S26)+(T26*WholesalePrice!T26)+(U26*WholesalePrice!U26)+(V26*WholesalePrice!V26)+(W26*WholesalePrice!W26)+(X26*WholesalePrice!X26)+(Y26*WholesalePrice!Y26)+(AA26*WholesalePrice!AA26)+(AB26*WholesalePrice!AB26)+(AC26*WholesalePrice!AC26)+(AD26*WholesalePrice!AD26)</f>
        <v>0</v>
      </c>
      <c r="J26" s="71"/>
      <c r="K26" s="71"/>
      <c r="L26" s="71"/>
      <c r="M26" s="71"/>
      <c r="N26" s="71"/>
      <c r="O26" s="71"/>
      <c r="P26" s="71"/>
      <c r="Q26" s="74"/>
      <c r="R26" s="71"/>
      <c r="S26" s="74"/>
      <c r="T26" s="71"/>
      <c r="U26" s="71"/>
      <c r="V26" s="71"/>
      <c r="W26" s="71"/>
      <c r="X26" s="71"/>
      <c r="Y26" s="71"/>
      <c r="Z26" s="71"/>
      <c r="AA26" s="71"/>
      <c r="AB26" s="71"/>
      <c r="AC26" s="74"/>
      <c r="AD26" s="74"/>
    </row>
    <row r="27" spans="1:30" ht="12.95" customHeight="1" x14ac:dyDescent="0.3">
      <c r="A27" s="61"/>
      <c r="B27" s="68" t="str">
        <f>HYPERLINK("https://us-east-2-production9-hive-20200324201045952400000002.s3.amazonaws.com/import-files/timberland/product_images/original-TB0A63PU_EM4_P_1.png","TB0A63PUEM41")</f>
        <v>TB0A63PUEM41</v>
      </c>
      <c r="C27" s="61" t="s">
        <v>57</v>
      </c>
      <c r="D27" s="61" t="s">
        <v>61</v>
      </c>
      <c r="E27" s="61" t="s">
        <v>36</v>
      </c>
      <c r="F27" s="61" t="s">
        <v>62</v>
      </c>
      <c r="G27" s="69">
        <v>137.5</v>
      </c>
      <c r="H27" s="61">
        <f>J27+K27+L27+M27+N27+O27+P27+Q27+R27+S27+T27+U27+V27+W27+X27+Y27+Z27+AA27+AB27+AC27+AD27</f>
        <v>0</v>
      </c>
      <c r="I27" s="70">
        <f>(J27*WholesalePrice!J27)+(K27*WholesalePrice!K27)+(L27*WholesalePrice!L27)+(M27*WholesalePrice!M27)+(N27*WholesalePrice!N27)+(O27*WholesalePrice!O27)+(P27*WholesalePrice!P27)+(Q27*WholesalePrice!Q27)+(R27*WholesalePrice!R27)+(S27*WholesalePrice!S27)+(T27*WholesalePrice!T27)+(U27*WholesalePrice!U27)+(V27*WholesalePrice!V27)+(W27*WholesalePrice!W27)+(X27*WholesalePrice!X27)+(Y27*WholesalePrice!Y27)+(Z27*WholesalePrice!Z27)+(AA27*WholesalePrice!AA27)+(AB27*WholesalePrice!AB27)+(AC27*WholesalePrice!AC27)+(AD27*WholesalePrice!AD27)</f>
        <v>0</v>
      </c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</row>
    <row r="28" spans="1:30" ht="12.95" customHeight="1" x14ac:dyDescent="0.3">
      <c r="A28" s="61"/>
      <c r="B28" s="68" t="str">
        <f>HYPERLINK("https://us-east-2-production9-hive-20200324201045952400000002.s3.amazonaws.com/import-files/timberland/product_images/original-TB0A63PU_EM4_P_1.png","TB0A63PUEM41")</f>
        <v>TB0A63PUEM41</v>
      </c>
      <c r="C28" s="61" t="s">
        <v>34</v>
      </c>
      <c r="D28" s="61" t="s">
        <v>61</v>
      </c>
      <c r="E28" s="61" t="s">
        <v>36</v>
      </c>
      <c r="F28" s="61" t="s">
        <v>62</v>
      </c>
      <c r="G28" s="69">
        <v>137.5</v>
      </c>
      <c r="H28" s="61">
        <f>J28+K28+L28+M28+N28+O28+P28+Q28+R28+S28+T28+U28+V28+W28+X28+Y28+Z28+AA28+AB28+AC28+AD28</f>
        <v>0</v>
      </c>
      <c r="I28" s="70">
        <f>(J28*WholesalePrice!J28)+(K28*WholesalePrice!K28)+(L28*WholesalePrice!L28)+(M28*WholesalePrice!M28)+(N28*WholesalePrice!N28)+(O28*WholesalePrice!O28)+(P28*WholesalePrice!P28)+(Q28*WholesalePrice!Q28)+(R28*WholesalePrice!R28)+(S28*WholesalePrice!S28)+(T28*WholesalePrice!T28)+(U28*WholesalePrice!U28)+(V28*WholesalePrice!V28)+(W28*WholesalePrice!W28)+(X28*WholesalePrice!X28)+(Y28*WholesalePrice!Y28)+(Z28*WholesalePrice!Z28)+(AA28*WholesalePrice!AA28)+(AB28*WholesalePrice!AB28)+(AC28*WholesalePrice!AC28)+(AD28*WholesalePrice!AD28)</f>
        <v>0</v>
      </c>
      <c r="J28" s="74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</row>
    <row r="29" spans="1:30" ht="12.95" customHeight="1" x14ac:dyDescent="0.3">
      <c r="A29" s="61"/>
      <c r="B29" s="68" t="str">
        <f>HYPERLINK("https://us-east-2-production9-hive-20200324201045952400000002.s3.amazonaws.com/import-files/timberland/product_images/original-TB0A63PU_W02_P_1.png","TB0A63PUW021")</f>
        <v>TB0A63PUW021</v>
      </c>
      <c r="C29" s="61" t="s">
        <v>34</v>
      </c>
      <c r="D29" s="61" t="s">
        <v>58</v>
      </c>
      <c r="E29" s="61" t="s">
        <v>36</v>
      </c>
      <c r="F29" s="61" t="s">
        <v>62</v>
      </c>
      <c r="G29" s="69">
        <v>137.5</v>
      </c>
      <c r="H29" s="61">
        <f>Q29+R29+S29+T29+U29+V29+W29+X29+Y29+Z29+AA29+AB29+AC29+AD29</f>
        <v>0</v>
      </c>
      <c r="I29" s="70">
        <f>(Q29*WholesalePrice!Q29)+(R29*WholesalePrice!R29)+(S29*WholesalePrice!S29)+(T29*WholesalePrice!T29)+(U29*WholesalePrice!U29)+(V29*WholesalePrice!V29)+(W29*WholesalePrice!W29)+(X29*WholesalePrice!X29)+(Y29*WholesalePrice!Y29)+(Z29*WholesalePrice!Z29)+(AA29*WholesalePrice!AA29)+(AB29*WholesalePrice!AB29)+(AC29*WholesalePrice!AC29)+(AD29*WholesalePrice!AD29)</f>
        <v>0</v>
      </c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</row>
    <row r="30" spans="1:30" ht="12.95" customHeight="1" x14ac:dyDescent="0.3">
      <c r="A30" s="61"/>
      <c r="B30" s="68" t="str">
        <f>HYPERLINK("https://us-east-2-production9-hive-20200324201045952400000002.s3.amazonaws.com/import-files/timberland/product_images/original-TB0A67TQ_EM4_P_1.png","TB0A67TQEM41")</f>
        <v>TB0A67TQEM41</v>
      </c>
      <c r="C30" s="61" t="s">
        <v>57</v>
      </c>
      <c r="D30" s="61" t="s">
        <v>61</v>
      </c>
      <c r="E30" s="61" t="s">
        <v>36</v>
      </c>
      <c r="F30" s="61" t="s">
        <v>63</v>
      </c>
      <c r="G30" s="69">
        <v>130</v>
      </c>
      <c r="H30" s="61">
        <f>Q30+R30+S30+T30+U30+V30+W30+X30+Y30+Z30+AA30+AB30+AC30</f>
        <v>0</v>
      </c>
      <c r="I30" s="70">
        <f>(Q30*WholesalePrice!Q30)+(R30*WholesalePrice!R30)+(S30*WholesalePrice!S30)+(T30*WholesalePrice!T30)+(U30*WholesalePrice!U30)+(V30*WholesalePrice!V30)+(W30*WholesalePrice!W30)+(X30*WholesalePrice!X30)+(Y30*WholesalePrice!Y30)+(Z30*WholesalePrice!Z30)+(AA30*WholesalePrice!AA30)+(AB30*WholesalePrice!AB30)+(AC30*WholesalePrice!AC30)</f>
        <v>0</v>
      </c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</row>
    <row r="31" spans="1:30" ht="12.95" customHeight="1" x14ac:dyDescent="0.3">
      <c r="A31" s="61"/>
      <c r="B31" s="68" t="str">
        <f>HYPERLINK("https://us-east-2-production9-hive-20200324201045952400000002.s3.amazonaws.com/import-files/timberland/product_images/original-TB0A67TQ_EM4_P_1.png","TB0A67TQEM41")</f>
        <v>TB0A67TQEM41</v>
      </c>
      <c r="C31" s="61" t="s">
        <v>34</v>
      </c>
      <c r="D31" s="61" t="s">
        <v>61</v>
      </c>
      <c r="E31" s="61" t="s">
        <v>36</v>
      </c>
      <c r="F31" s="61" t="s">
        <v>63</v>
      </c>
      <c r="G31" s="69">
        <v>130</v>
      </c>
      <c r="H31" s="61">
        <f>Z31</f>
        <v>0</v>
      </c>
      <c r="I31" s="70">
        <f>(Z31*WholesalePrice!Z31)</f>
        <v>0</v>
      </c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</row>
    <row r="32" spans="1:30" ht="12.95" customHeight="1" x14ac:dyDescent="0.3">
      <c r="A32" s="61"/>
      <c r="B32" s="68" t="str">
        <f>HYPERLINK("https://us-east-2-production9-hive-20200324201045952400000002.s3.amazonaws.com/import-files/timberland/product_images/original-TB0A639Q_W01_P_1.png","TB0A639QW011")</f>
        <v>TB0A639QW011</v>
      </c>
      <c r="C32" s="61" t="s">
        <v>57</v>
      </c>
      <c r="D32" s="61" t="s">
        <v>64</v>
      </c>
      <c r="E32" s="61" t="s">
        <v>36</v>
      </c>
      <c r="F32" s="61" t="s">
        <v>65</v>
      </c>
      <c r="G32" s="69">
        <v>120</v>
      </c>
      <c r="H32" s="61">
        <f>Q32+R32+S32+T32+U32+V32+W32+X32+Y32+Z32</f>
        <v>0</v>
      </c>
      <c r="I32" s="70">
        <f>(Q32*WholesalePrice!Q32)+(R32*WholesalePrice!R32)+(S32*WholesalePrice!S32)+(T32*WholesalePrice!T32)+(U32*WholesalePrice!U32)+(V32*WholesalePrice!V32)+(W32*WholesalePrice!W32)+(X32*WholesalePrice!X32)+(Y32*WholesalePrice!Y32)+(Z32*WholesalePrice!Z32)</f>
        <v>0</v>
      </c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</row>
    <row r="33" spans="1:30" ht="12.95" customHeight="1" x14ac:dyDescent="0.3">
      <c r="A33" s="61"/>
      <c r="B33" s="68" t="str">
        <f>HYPERLINK("https://us-east-2-production9-hive-20200324201045952400000002.s3.amazonaws.com/import-files/timberland/product_images/original-TB0A639Q_W01_P_1.png","TB0A639QW011")</f>
        <v>TB0A639QW011</v>
      </c>
      <c r="C33" s="61" t="s">
        <v>34</v>
      </c>
      <c r="D33" s="61" t="s">
        <v>64</v>
      </c>
      <c r="E33" s="61" t="s">
        <v>36</v>
      </c>
      <c r="F33" s="61" t="s">
        <v>65</v>
      </c>
      <c r="G33" s="69">
        <v>120</v>
      </c>
      <c r="H33" s="61">
        <f>Z33</f>
        <v>0</v>
      </c>
      <c r="I33" s="70">
        <f>(Z33*WholesalePrice!Z33)</f>
        <v>0</v>
      </c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</row>
    <row r="34" spans="1:30" ht="12.95" customHeight="1" x14ac:dyDescent="0.3">
      <c r="A34" s="61"/>
      <c r="B34" s="68" t="str">
        <f>HYPERLINK("https://us-east-2-production9-hive-20200324201045952400000002.s3.amazonaws.com/import-files/timberland/product_images/original-TB0A66MK_ELE_P_1.png","TB0A66MKELE1")</f>
        <v>TB0A66MKELE1</v>
      </c>
      <c r="C34" s="61" t="s">
        <v>57</v>
      </c>
      <c r="D34" s="61" t="s">
        <v>66</v>
      </c>
      <c r="E34" s="61" t="s">
        <v>36</v>
      </c>
      <c r="F34" s="61" t="s">
        <v>67</v>
      </c>
      <c r="G34" s="69">
        <v>150</v>
      </c>
      <c r="H34" s="61">
        <f>Q34+R34+S34+T34+U34+V34+W34+X34+Y34+Z34+AA34+AB34+AC34+AD34</f>
        <v>0</v>
      </c>
      <c r="I34" s="70">
        <f>(Q34*WholesalePrice!Q34)+(R34*WholesalePrice!R34)+(S34*WholesalePrice!S34)+(T34*WholesalePrice!T34)+(U34*WholesalePrice!U34)+(V34*WholesalePrice!V34)+(W34*WholesalePrice!W34)+(X34*WholesalePrice!X34)+(Y34*WholesalePrice!Y34)+(Z34*WholesalePrice!Z34)+(AA34*WholesalePrice!AA34)+(AB34*WholesalePrice!AB34)+(AC34*WholesalePrice!AC34)+(AD34*WholesalePrice!AD34)</f>
        <v>0</v>
      </c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</row>
    <row r="35" spans="1:30" ht="12.95" customHeight="1" x14ac:dyDescent="0.3">
      <c r="A35" s="61"/>
      <c r="B35" s="68" t="str">
        <f>HYPERLINK("https://us-east-2-production9-hive-20200324201045952400000002.s3.amazonaws.com/import-files/timberland/product_images/original-TB0A66MK_ELE_P_1.png","TB0A66MKELE1")</f>
        <v>TB0A66MKELE1</v>
      </c>
      <c r="C35" s="61" t="s">
        <v>34</v>
      </c>
      <c r="D35" s="61" t="s">
        <v>66</v>
      </c>
      <c r="E35" s="61" t="s">
        <v>36</v>
      </c>
      <c r="F35" s="61" t="s">
        <v>67</v>
      </c>
      <c r="G35" s="69">
        <v>150</v>
      </c>
      <c r="H35" s="61">
        <f>Q35+R35+S35+T35+U35+V35+W35+X35+Y35+Z35+AA35+AB35+AC35+AD35</f>
        <v>0</v>
      </c>
      <c r="I35" s="70">
        <f>(Q35*WholesalePrice!Q35)+(R35*WholesalePrice!R35)+(S35*WholesalePrice!S35)+(T35*WholesalePrice!T35)+(U35*WholesalePrice!U35)+(V35*WholesalePrice!V35)+(W35*WholesalePrice!W35)+(X35*WholesalePrice!X35)+(Y35*WholesalePrice!Y35)+(Z35*WholesalePrice!Z35)+(AA35*WholesalePrice!AA35)+(AB35*WholesalePrice!AB35)+(AC35*WholesalePrice!AC35)+(AD35*WholesalePrice!AD35)</f>
        <v>0</v>
      </c>
      <c r="J35" s="71"/>
      <c r="K35" s="71"/>
      <c r="L35" s="71"/>
      <c r="M35" s="71"/>
      <c r="N35" s="71"/>
      <c r="O35" s="71"/>
      <c r="P35" s="71"/>
      <c r="Q35" s="74"/>
      <c r="R35" s="71"/>
      <c r="S35" s="74"/>
      <c r="T35" s="74"/>
      <c r="U35" s="74"/>
      <c r="V35" s="74"/>
      <c r="W35" s="74"/>
      <c r="X35" s="74"/>
      <c r="Y35" s="74"/>
      <c r="Z35" s="71"/>
      <c r="AA35" s="74"/>
      <c r="AB35" s="74"/>
      <c r="AC35" s="74"/>
      <c r="AD35" s="71"/>
    </row>
    <row r="36" spans="1:30" ht="12.95" customHeight="1" x14ac:dyDescent="0.3">
      <c r="A36" s="61"/>
      <c r="B36" s="68" t="str">
        <f>HYPERLINK("https://us-east-2-production9-hive-20200324201045952400000002.s3.amazonaws.com/import-files/timberland/product_images/original-TB1A5M6J_214_P_1.png","TB1A5M6J2141")</f>
        <v>TB1A5M6J2141</v>
      </c>
      <c r="C36" s="61" t="s">
        <v>34</v>
      </c>
      <c r="D36" s="61" t="s">
        <v>68</v>
      </c>
      <c r="E36" s="61" t="s">
        <v>36</v>
      </c>
      <c r="F36" s="61" t="s">
        <v>69</v>
      </c>
      <c r="G36" s="69">
        <v>140</v>
      </c>
      <c r="H36" s="61">
        <f>Q36+R36+S36+T36+U36+V36+W36+X36+Y36+AA36+AB36+AC36+AD36</f>
        <v>0</v>
      </c>
      <c r="I36" s="70">
        <f>(Q36*WholesalePrice!Q36)+(R36*WholesalePrice!R36)+(S36*WholesalePrice!S36)+(T36*WholesalePrice!T36)+(U36*WholesalePrice!U36)+(V36*WholesalePrice!V36)+(W36*WholesalePrice!W36)+(X36*WholesalePrice!X36)+(Y36*WholesalePrice!Y36)+(AA36*WholesalePrice!AA36)+(AB36*WholesalePrice!AB36)+(AC36*WholesalePrice!AC36)+(AD36*WholesalePrice!AD36)</f>
        <v>0</v>
      </c>
      <c r="J36" s="71"/>
      <c r="K36" s="71"/>
      <c r="L36" s="71"/>
      <c r="M36" s="71"/>
      <c r="N36" s="71"/>
      <c r="O36" s="71"/>
      <c r="P36" s="71"/>
      <c r="Q36" s="71"/>
      <c r="R36" s="74"/>
      <c r="S36" s="71"/>
      <c r="T36" s="74"/>
      <c r="U36" s="71"/>
      <c r="V36" s="74"/>
      <c r="W36" s="71"/>
      <c r="X36" s="74"/>
      <c r="Y36" s="71"/>
      <c r="Z36" s="71"/>
      <c r="AA36" s="74"/>
      <c r="AB36" s="74"/>
      <c r="AC36" s="74"/>
      <c r="AD36" s="71"/>
    </row>
    <row r="37" spans="1:30" ht="12.95" customHeight="1" x14ac:dyDescent="0.3">
      <c r="A37" s="61"/>
      <c r="B37" s="68" t="str">
        <f>HYPERLINK("https://us-east-2-production9-hive-20200324201045952400000002.s3.amazonaws.com/import-files/timberland/product_images/original-TB1A5X27_001_P_1.png","TB1A5X270011")</f>
        <v>TB1A5X270011</v>
      </c>
      <c r="C37" s="61" t="s">
        <v>34</v>
      </c>
      <c r="D37" s="61" t="s">
        <v>46</v>
      </c>
      <c r="E37" s="61" t="s">
        <v>36</v>
      </c>
      <c r="F37" s="61" t="s">
        <v>70</v>
      </c>
      <c r="G37" s="69">
        <v>125</v>
      </c>
      <c r="H37" s="61">
        <f>AD37</f>
        <v>0</v>
      </c>
      <c r="I37" s="70">
        <f>(AD37*WholesalePrice!AD37)</f>
        <v>0</v>
      </c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4"/>
    </row>
    <row r="38" spans="1:30" ht="12.95" customHeight="1" x14ac:dyDescent="0.3">
      <c r="A38" s="61"/>
      <c r="B38" s="68" t="str">
        <f>HYPERLINK("https://us-east-2-production9-hive-20200324201045952400000002.s3.amazonaws.com/import-files/timberland/product_images/original-TB1A12EO_001_P_1.png","TB1A12EO0011")</f>
        <v>TB1A12EO0011</v>
      </c>
      <c r="C38" s="61" t="s">
        <v>34</v>
      </c>
      <c r="D38" s="61" t="s">
        <v>46</v>
      </c>
      <c r="E38" s="61" t="s">
        <v>36</v>
      </c>
      <c r="F38" s="61" t="s">
        <v>71</v>
      </c>
      <c r="G38" s="69">
        <v>140</v>
      </c>
      <c r="H38" s="61">
        <f t="shared" ref="H38:H43" si="0">Q38+R38+S38+T38+U38+V38+W38+X38+Y38+AA38+AB38+AC38+AD38</f>
        <v>0</v>
      </c>
      <c r="I38" s="70">
        <f>(Q38*WholesalePrice!Q38)+(R38*WholesalePrice!R38)+(S38*WholesalePrice!S38)+(T38*WholesalePrice!T38)+(U38*WholesalePrice!U38)+(V38*WholesalePrice!V38)+(W38*WholesalePrice!W38)+(X38*WholesalePrice!X38)+(Y38*WholesalePrice!Y38)+(AA38*WholesalePrice!AA38)+(AB38*WholesalePrice!AB38)+(AC38*WholesalePrice!AC38)+(AD38*WholesalePrice!AD38)</f>
        <v>0</v>
      </c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4"/>
      <c r="AC38" s="71"/>
      <c r="AD38" s="71"/>
    </row>
    <row r="39" spans="1:30" ht="12.95" customHeight="1" x14ac:dyDescent="0.3">
      <c r="A39" s="61"/>
      <c r="B39" s="68" t="str">
        <f>HYPERLINK("https://us-east-2-production9-hive-20200324201045952400000002.s3.amazonaws.com/import-files/timberland/product_images/original-TB1A12EZ_214_P_1.png","TB1A12EZ2141")</f>
        <v>TB1A12EZ2141</v>
      </c>
      <c r="C39" s="61" t="s">
        <v>34</v>
      </c>
      <c r="D39" s="61" t="s">
        <v>68</v>
      </c>
      <c r="E39" s="61" t="s">
        <v>36</v>
      </c>
      <c r="F39" s="61" t="s">
        <v>71</v>
      </c>
      <c r="G39" s="69">
        <v>140</v>
      </c>
      <c r="H39" s="61">
        <f t="shared" si="0"/>
        <v>0</v>
      </c>
      <c r="I39" s="70">
        <f>(Q39*WholesalePrice!Q39)+(R39*WholesalePrice!R39)+(S39*WholesalePrice!S39)+(T39*WholesalePrice!T39)+(U39*WholesalePrice!U39)+(V39*WholesalePrice!V39)+(W39*WholesalePrice!W39)+(X39*WholesalePrice!X39)+(Y39*WholesalePrice!Y39)+(AA39*WholesalePrice!AA39)+(AB39*WholesalePrice!AB39)+(AC39*WholesalePrice!AC39)+(AD39*WholesalePrice!AD39)</f>
        <v>0</v>
      </c>
      <c r="J39" s="71"/>
      <c r="K39" s="71"/>
      <c r="L39" s="71"/>
      <c r="M39" s="71"/>
      <c r="N39" s="71"/>
      <c r="O39" s="71"/>
      <c r="P39" s="71"/>
      <c r="Q39" s="71"/>
      <c r="R39" s="71"/>
      <c r="S39" s="74"/>
      <c r="T39" s="71"/>
      <c r="U39" s="74"/>
      <c r="V39" s="74"/>
      <c r="W39" s="74"/>
      <c r="X39" s="74"/>
      <c r="Y39" s="74"/>
      <c r="Z39" s="71"/>
      <c r="AA39" s="74"/>
      <c r="AB39" s="74"/>
      <c r="AC39" s="74"/>
      <c r="AD39" s="71"/>
    </row>
    <row r="40" spans="1:30" ht="12.95" customHeight="1" x14ac:dyDescent="0.3">
      <c r="A40" s="61"/>
      <c r="B40" s="68" t="str">
        <f>HYPERLINK("https://us-east-2-production9-hive-20200324201045952400000002.s3.amazonaws.com/import-files/timberland/product_images/original-TB1A1Q6Z_001_P_1.png","TB1A1Q6Z0011")</f>
        <v>TB1A1Q6Z0011</v>
      </c>
      <c r="C40" s="61" t="s">
        <v>34</v>
      </c>
      <c r="D40" s="61" t="s">
        <v>46</v>
      </c>
      <c r="E40" s="61" t="s">
        <v>36</v>
      </c>
      <c r="F40" s="61" t="s">
        <v>72</v>
      </c>
      <c r="G40" s="69">
        <v>155</v>
      </c>
      <c r="H40" s="61">
        <f t="shared" si="0"/>
        <v>0</v>
      </c>
      <c r="I40" s="70">
        <f>(Q40*WholesalePrice!Q40)+(R40*WholesalePrice!R40)+(S40*WholesalePrice!S40)+(T40*WholesalePrice!T40)+(U40*WholesalePrice!U40)+(V40*WholesalePrice!V40)+(W40*WholesalePrice!W40)+(X40*WholesalePrice!X40)+(Y40*WholesalePrice!Y40)+(AA40*WholesalePrice!AA40)+(AB40*WholesalePrice!AB40)+(AC40*WholesalePrice!AC40)+(AD40*WholesalePrice!AD40)</f>
        <v>0</v>
      </c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4"/>
      <c r="AD40" s="71"/>
    </row>
    <row r="41" spans="1:30" ht="12.95" customHeight="1" x14ac:dyDescent="0.3">
      <c r="A41" s="61"/>
      <c r="B41" s="68" t="str">
        <f>HYPERLINK("https://us-east-2-production9-hive-20200324201045952400000002.s3.amazonaws.com/import-files/timberland/product_images/original-TB1A1RW2_214_P_1.png","TB1A1RW22141")</f>
        <v>TB1A1RW22141</v>
      </c>
      <c r="C41" s="61" t="s">
        <v>34</v>
      </c>
      <c r="D41" s="61" t="s">
        <v>68</v>
      </c>
      <c r="E41" s="61" t="s">
        <v>36</v>
      </c>
      <c r="F41" s="61" t="s">
        <v>72</v>
      </c>
      <c r="G41" s="69">
        <v>155</v>
      </c>
      <c r="H41" s="61">
        <f t="shared" si="0"/>
        <v>0</v>
      </c>
      <c r="I41" s="70">
        <f>(Q41*WholesalePrice!Q41)+(R41*WholesalePrice!R41)+(S41*WholesalePrice!S41)+(T41*WholesalePrice!T41)+(U41*WholesalePrice!U41)+(V41*WholesalePrice!V41)+(W41*WholesalePrice!W41)+(X41*WholesalePrice!X41)+(Y41*WholesalePrice!Y41)+(AA41*WholesalePrice!AA41)+(AB41*WholesalePrice!AB41)+(AC41*WholesalePrice!AC41)+(AD41*WholesalePrice!AD41)</f>
        <v>0</v>
      </c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</row>
    <row r="42" spans="1:30" ht="12.95" customHeight="1" x14ac:dyDescent="0.3">
      <c r="A42" s="61"/>
      <c r="B42" s="68" t="str">
        <f>HYPERLINK("https://us-east-2-production9-hive-20200324201045952400000002.s3.amazonaws.com/import-files/timberland/product_images/original-TB1A1V3W_270_P_1.png","TB1A1V3W2701")</f>
        <v>TB1A1V3W2701</v>
      </c>
      <c r="C42" s="61" t="s">
        <v>34</v>
      </c>
      <c r="D42" s="61" t="s">
        <v>73</v>
      </c>
      <c r="E42" s="61" t="s">
        <v>36</v>
      </c>
      <c r="F42" s="61" t="s">
        <v>74</v>
      </c>
      <c r="G42" s="69">
        <v>150</v>
      </c>
      <c r="H42" s="61">
        <f t="shared" si="0"/>
        <v>0</v>
      </c>
      <c r="I42" s="70">
        <f>(Q42*WholesalePrice!Q42)+(R42*WholesalePrice!R42)+(S42*WholesalePrice!S42)+(T42*WholesalePrice!T42)+(U42*WholesalePrice!U42)+(V42*WholesalePrice!V42)+(W42*WholesalePrice!W42)+(X42*WholesalePrice!X42)+(Y42*WholesalePrice!Y42)+(AA42*WholesalePrice!AA42)+(AB42*WholesalePrice!AB42)+(AC42*WholesalePrice!AC42)+(AD42*WholesalePrice!AD42)</f>
        <v>0</v>
      </c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4"/>
      <c r="U42" s="74"/>
      <c r="V42" s="74"/>
      <c r="W42" s="74"/>
      <c r="X42" s="74"/>
      <c r="Y42" s="74"/>
      <c r="Z42" s="71"/>
      <c r="AA42" s="74"/>
      <c r="AB42" s="71"/>
      <c r="AC42" s="71"/>
      <c r="AD42" s="71"/>
    </row>
    <row r="43" spans="1:30" ht="12.95" customHeight="1" x14ac:dyDescent="0.3">
      <c r="A43" s="61"/>
      <c r="B43" s="68" t="str">
        <f>HYPERLINK("https://us-east-2-production9-hive-20200324201045952400000002.s3.amazonaws.com/import-files/timberland/product_images/original-TB1A2APK_001_P_1.png","TB1A2APK0011")</f>
        <v>TB1A2APK0011</v>
      </c>
      <c r="C43" s="61" t="s">
        <v>34</v>
      </c>
      <c r="D43" s="61" t="s">
        <v>46</v>
      </c>
      <c r="E43" s="61" t="s">
        <v>36</v>
      </c>
      <c r="F43" s="61" t="s">
        <v>74</v>
      </c>
      <c r="G43" s="69">
        <v>150</v>
      </c>
      <c r="H43" s="61">
        <f t="shared" si="0"/>
        <v>0</v>
      </c>
      <c r="I43" s="70">
        <f>(Q43*WholesalePrice!Q43)+(R43*WholesalePrice!R43)+(S43*WholesalePrice!S43)+(T43*WholesalePrice!T43)+(U43*WholesalePrice!U43)+(V43*WholesalePrice!V43)+(W43*WholesalePrice!W43)+(X43*WholesalePrice!X43)+(Y43*WholesalePrice!Y43)+(AA43*WholesalePrice!AA43)+(AB43*WholesalePrice!AB43)+(AC43*WholesalePrice!AC43)+(AD43*WholesalePrice!AD43)</f>
        <v>0</v>
      </c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4"/>
      <c r="U43" s="71"/>
      <c r="V43" s="71"/>
      <c r="W43" s="74"/>
      <c r="X43" s="71"/>
      <c r="Y43" s="71"/>
      <c r="Z43" s="71"/>
      <c r="AA43" s="71"/>
      <c r="AB43" s="71"/>
      <c r="AC43" s="74"/>
      <c r="AD43" s="71"/>
    </row>
    <row r="44" spans="1:30" ht="12.95" customHeight="1" x14ac:dyDescent="0.3">
      <c r="A44" s="61"/>
      <c r="B44" s="68" t="str">
        <f>HYPERLINK("https://us-east-2-production9-hive-20200324201045952400000002.s3.amazonaws.com/import-files/timberland/product_images/original-TB189645_001_P_1.png","TB1896450011")</f>
        <v>TB1896450011</v>
      </c>
      <c r="C44" s="61" t="s">
        <v>34</v>
      </c>
      <c r="D44" s="61" t="s">
        <v>46</v>
      </c>
      <c r="E44" s="61" t="s">
        <v>36</v>
      </c>
      <c r="F44" s="61" t="s">
        <v>75</v>
      </c>
      <c r="G44" s="69">
        <v>160</v>
      </c>
      <c r="H44" s="61">
        <f>Q44+R44+S44+T44+U44+V44+W44+X44+Y44+Z44+AA44+AB44+AC44+AD44</f>
        <v>0</v>
      </c>
      <c r="I44" s="70">
        <f>(Q44*WholesalePrice!Q44)+(R44*WholesalePrice!R44)+(S44*WholesalePrice!S44)+(T44*WholesalePrice!T44)+(U44*WholesalePrice!U44)+(V44*WholesalePrice!V44)+(W44*WholesalePrice!W44)+(X44*WholesalePrice!X44)+(Y44*WholesalePrice!Y44)+(Z44*WholesalePrice!Z44)+(AA44*WholesalePrice!AA44)+(AB44*WholesalePrice!AB44)+(AC44*WholesalePrice!AC44)+(AD44*WholesalePrice!AD44)</f>
        <v>0</v>
      </c>
      <c r="J44" s="71"/>
      <c r="K44" s="71"/>
      <c r="L44" s="71"/>
      <c r="M44" s="71"/>
      <c r="N44" s="71"/>
      <c r="O44" s="71"/>
      <c r="P44" s="71"/>
      <c r="Q44" s="74"/>
      <c r="R44" s="74"/>
      <c r="S44" s="74"/>
      <c r="T44" s="74"/>
      <c r="U44" s="74"/>
      <c r="V44" s="74"/>
      <c r="W44" s="74"/>
      <c r="X44" s="74"/>
      <c r="Y44" s="74"/>
      <c r="Z44" s="71"/>
      <c r="AA44" s="74"/>
      <c r="AB44" s="74"/>
      <c r="AC44" s="74"/>
      <c r="AD44" s="71"/>
    </row>
    <row r="45" spans="1:30" ht="12.95" customHeight="1" x14ac:dyDescent="0.3">
      <c r="A45" s="61"/>
      <c r="B45" s="68" t="str">
        <f>HYPERLINK("https://us-east-2-production9-hive-20200324201045952400000002.s3.amazonaws.com/import-files/timberland/product_images/original-TB189646_214_P_1.png","TB1896462141")</f>
        <v>TB1896462141</v>
      </c>
      <c r="C45" s="61" t="s">
        <v>57</v>
      </c>
      <c r="D45" s="61" t="s">
        <v>68</v>
      </c>
      <c r="E45" s="61" t="s">
        <v>36</v>
      </c>
      <c r="F45" s="61" t="s">
        <v>75</v>
      </c>
      <c r="G45" s="69">
        <v>160</v>
      </c>
      <c r="H45" s="61">
        <f>Q45+R45+S45+T45+U45+V45+W45+X45+Y45+Z45+AA45+AB45+AC45+AD45</f>
        <v>0</v>
      </c>
      <c r="I45" s="70">
        <f>(Q45*WholesalePrice!Q45)+(R45*WholesalePrice!R45)+(S45*WholesalePrice!S45)+(T45*WholesalePrice!T45)+(U45*WholesalePrice!U45)+(V45*WholesalePrice!V45)+(W45*WholesalePrice!W45)+(X45*WholesalePrice!X45)+(Y45*WholesalePrice!Y45)+(Z45*WholesalePrice!Z45)+(AA45*WholesalePrice!AA45)+(AB45*WholesalePrice!AB45)+(AC45*WholesalePrice!AC45)+(AD45*WholesalePrice!AD45)</f>
        <v>0</v>
      </c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</row>
    <row r="46" spans="1:30" ht="12.95" customHeight="1" x14ac:dyDescent="0.3">
      <c r="A46" s="61"/>
      <c r="B46" s="68" t="str">
        <f>HYPERLINK("https://us-east-2-production9-hive-20200324201045952400000002.s3.amazonaws.com/import-files/timberland/product_images/original-TB189646_214_P_1.png","TB1896462141")</f>
        <v>TB1896462141</v>
      </c>
      <c r="C46" s="61" t="s">
        <v>34</v>
      </c>
      <c r="D46" s="61" t="s">
        <v>68</v>
      </c>
      <c r="E46" s="61" t="s">
        <v>36</v>
      </c>
      <c r="F46" s="61" t="s">
        <v>75</v>
      </c>
      <c r="G46" s="69">
        <v>160</v>
      </c>
      <c r="H46" s="61">
        <f>Q46+R46+S46+T46+U46+V46+W46+X46+Y46+Z46+AA46+AB46+AC46+AD46</f>
        <v>0</v>
      </c>
      <c r="I46" s="70">
        <f>(Q46*WholesalePrice!Q46)+(R46*WholesalePrice!R46)+(S46*WholesalePrice!S46)+(T46*WholesalePrice!T46)+(U46*WholesalePrice!U46)+(V46*WholesalePrice!V46)+(W46*WholesalePrice!W46)+(X46*WholesalePrice!X46)+(Y46*WholesalePrice!Y46)+(Z46*WholesalePrice!Z46)+(AA46*WholesalePrice!AA46)+(AB46*WholesalePrice!AB46)+(AC46*WholesalePrice!AC46)+(AD46*WholesalePrice!AD46)</f>
        <v>0</v>
      </c>
      <c r="J46" s="71"/>
      <c r="K46" s="71"/>
      <c r="L46" s="71"/>
      <c r="M46" s="71"/>
      <c r="N46" s="71"/>
      <c r="O46" s="71"/>
      <c r="P46" s="71"/>
      <c r="Q46" s="71"/>
      <c r="R46" s="71"/>
      <c r="S46" s="74"/>
      <c r="T46" s="74"/>
      <c r="U46" s="74"/>
      <c r="V46" s="74"/>
      <c r="W46" s="74"/>
      <c r="X46" s="74"/>
      <c r="Y46" s="74"/>
      <c r="Z46" s="71"/>
      <c r="AA46" s="71"/>
      <c r="AB46" s="74"/>
      <c r="AC46" s="71"/>
      <c r="AD46" s="71"/>
    </row>
    <row r="47" spans="1:30" ht="12.95" customHeight="1" x14ac:dyDescent="0.3">
      <c r="A47" s="61"/>
      <c r="B47" s="68" t="str">
        <f>HYPERLINK("https://us-east-2-production9-hive-20200324201045952400000002.s3.amazonaws.com/import-files/timberland/product_images/original-TB1A21B7_231_P_1.png","TB1A21B72311")</f>
        <v>TB1A21B72311</v>
      </c>
      <c r="C47" s="61" t="s">
        <v>34</v>
      </c>
      <c r="D47" s="61" t="s">
        <v>76</v>
      </c>
      <c r="E47" s="61" t="s">
        <v>36</v>
      </c>
      <c r="F47" s="61" t="s">
        <v>77</v>
      </c>
      <c r="G47" s="69">
        <v>160</v>
      </c>
      <c r="H47" s="61">
        <f>Q47+R47+S47+T47+U47+V47+W47+X47+Y47+AA47+AB47+AC47+AD47</f>
        <v>0</v>
      </c>
      <c r="I47" s="70">
        <f>(Q47*WholesalePrice!Q47)+(R47*WholesalePrice!R47)+(S47*WholesalePrice!S47)+(T47*WholesalePrice!T47)+(U47*WholesalePrice!U47)+(V47*WholesalePrice!V47)+(W47*WholesalePrice!W47)+(X47*WholesalePrice!X47)+(Y47*WholesalePrice!Y47)+(AA47*WholesalePrice!AA47)+(AB47*WholesalePrice!AB47)+(AC47*WholesalePrice!AC47)+(AD47*WholesalePrice!AD47)</f>
        <v>0</v>
      </c>
      <c r="J47" s="71"/>
      <c r="K47" s="71"/>
      <c r="L47" s="71"/>
      <c r="M47" s="71"/>
      <c r="N47" s="71"/>
      <c r="O47" s="71"/>
      <c r="P47" s="71"/>
      <c r="Q47" s="71"/>
      <c r="R47" s="71"/>
      <c r="S47" s="74"/>
      <c r="T47" s="74"/>
      <c r="U47" s="74"/>
      <c r="V47" s="74"/>
      <c r="W47" s="74"/>
      <c r="X47" s="74"/>
      <c r="Y47" s="74"/>
      <c r="Z47" s="71"/>
      <c r="AA47" s="74"/>
      <c r="AB47" s="74"/>
      <c r="AC47" s="74"/>
      <c r="AD47" s="74"/>
    </row>
    <row r="48" spans="1:30" ht="12.95" customHeight="1" x14ac:dyDescent="0.3">
      <c r="A48" s="61"/>
      <c r="B48" s="68" t="str">
        <f>HYPERLINK("https://us-east-2-production9-hive-20200324201045952400000002.s3.amazonaws.com/import-files/timberland/product_images/original-TB0A67B3_W02_P_1.png","TB0A67B3W021")</f>
        <v>TB0A67B3W021</v>
      </c>
      <c r="C48" s="61" t="s">
        <v>57</v>
      </c>
      <c r="D48" s="61" t="s">
        <v>78</v>
      </c>
      <c r="E48" s="61" t="s">
        <v>36</v>
      </c>
      <c r="F48" s="61" t="s">
        <v>79</v>
      </c>
      <c r="G48" s="69">
        <v>175</v>
      </c>
      <c r="H48" s="61">
        <f>Q48+R48+S48+T48+U48+V48+W48+X48+Y48+Z48+AA48+AB48+AC48+AD48</f>
        <v>0</v>
      </c>
      <c r="I48" s="70">
        <f>(Q48*WholesalePrice!Q48)+(R48*WholesalePrice!R48)+(S48*WholesalePrice!S48)+(T48*WholesalePrice!T48)+(U48*WholesalePrice!U48)+(V48*WholesalePrice!V48)+(W48*WholesalePrice!W48)+(X48*WholesalePrice!X48)+(Y48*WholesalePrice!Y48)+(Z48*WholesalePrice!Z48)+(AA48*WholesalePrice!AA48)+(AB48*WholesalePrice!AB48)+(AC48*WholesalePrice!AC48)+(AD48*WholesalePrice!AD48)</f>
        <v>0</v>
      </c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</row>
    <row r="49" spans="1:30" ht="12.95" customHeight="1" x14ac:dyDescent="0.3">
      <c r="A49" s="61"/>
      <c r="B49" s="68" t="str">
        <f>HYPERLINK("https://us-east-2-production9-hive-20200324201045952400000002.s3.amazonaws.com/import-files/timberland/product_images/original-TB0A67B3_W02_P_1.png","TB0A67B3W021")</f>
        <v>TB0A67B3W021</v>
      </c>
      <c r="C49" s="61" t="s">
        <v>34</v>
      </c>
      <c r="D49" s="61" t="s">
        <v>78</v>
      </c>
      <c r="E49" s="61" t="s">
        <v>36</v>
      </c>
      <c r="F49" s="61" t="s">
        <v>79</v>
      </c>
      <c r="G49" s="69">
        <v>175</v>
      </c>
      <c r="H49" s="61">
        <f>Q49+R49+S49+T49+U49+V49+W49+X49+Y49+Z49+AA49+AB49+AC49+AD49</f>
        <v>0</v>
      </c>
      <c r="I49" s="70">
        <f>(Q49*WholesalePrice!Q49)+(R49*WholesalePrice!R49)+(S49*WholesalePrice!S49)+(T49*WholesalePrice!T49)+(U49*WholesalePrice!U49)+(V49*WholesalePrice!V49)+(W49*WholesalePrice!W49)+(X49*WholesalePrice!X49)+(Y49*WholesalePrice!Y49)+(Z49*WholesalePrice!Z49)+(AA49*WholesalePrice!AA49)+(AB49*WholesalePrice!AB49)+(AC49*WholesalePrice!AC49)+(AD49*WholesalePrice!AD49)</f>
        <v>0</v>
      </c>
      <c r="J49" s="71"/>
      <c r="K49" s="71"/>
      <c r="L49" s="71"/>
      <c r="M49" s="71"/>
      <c r="N49" s="71"/>
      <c r="O49" s="71"/>
      <c r="P49" s="71"/>
      <c r="Q49" s="71"/>
      <c r="R49" s="71"/>
      <c r="S49" s="74"/>
      <c r="T49" s="74"/>
      <c r="U49" s="74"/>
      <c r="V49" s="74"/>
      <c r="W49" s="74"/>
      <c r="X49" s="74"/>
      <c r="Y49" s="74"/>
      <c r="Z49" s="71"/>
      <c r="AA49" s="74"/>
      <c r="AB49" s="74"/>
      <c r="AC49" s="74"/>
      <c r="AD49" s="74"/>
    </row>
    <row r="50" spans="1:30" ht="12.95" customHeight="1" x14ac:dyDescent="0.3">
      <c r="A50" s="61"/>
      <c r="B50" s="68" t="str">
        <f>HYPERLINK("https://us-east-2-production9-hive-20200324201045952400000002.s3.amazonaws.com/import-files/timberland/product_images/original-TB1A29S7_001_P_1.png","TB1A29S70011")</f>
        <v>TB1A29S70011</v>
      </c>
      <c r="C50" s="61" t="s">
        <v>34</v>
      </c>
      <c r="D50" s="61" t="s">
        <v>46</v>
      </c>
      <c r="E50" s="61" t="s">
        <v>36</v>
      </c>
      <c r="F50" s="61" t="s">
        <v>80</v>
      </c>
      <c r="G50" s="69">
        <v>185</v>
      </c>
      <c r="H50" s="61">
        <f>Q50+R50+S50+T50+U50+V50+W50+X50+Y50+AA50+AB50+AC50+AD50</f>
        <v>0</v>
      </c>
      <c r="I50" s="70">
        <f>(Q50*WholesalePrice!Q50)+(R50*WholesalePrice!R50)+(S50*WholesalePrice!S50)+(T50*WholesalePrice!T50)+(U50*WholesalePrice!U50)+(V50*WholesalePrice!V50)+(W50*WholesalePrice!W50)+(X50*WholesalePrice!X50)+(Y50*WholesalePrice!Y50)+(AA50*WholesalePrice!AA50)+(AB50*WholesalePrice!AB50)+(AC50*WholesalePrice!AC50)+(AD50*WholesalePrice!AD50)</f>
        <v>0</v>
      </c>
      <c r="J50" s="71"/>
      <c r="K50" s="71"/>
      <c r="L50" s="71"/>
      <c r="M50" s="71"/>
      <c r="N50" s="71"/>
      <c r="O50" s="71"/>
      <c r="P50" s="71"/>
      <c r="Q50" s="71"/>
      <c r="R50" s="71"/>
      <c r="S50" s="74"/>
      <c r="T50" s="74"/>
      <c r="U50" s="71"/>
      <c r="V50" s="71"/>
      <c r="W50" s="71"/>
      <c r="X50" s="71"/>
      <c r="Y50" s="71"/>
      <c r="Z50" s="71"/>
      <c r="AA50" s="74"/>
      <c r="AB50" s="71"/>
      <c r="AC50" s="71"/>
      <c r="AD50" s="71"/>
    </row>
    <row r="51" spans="1:30" ht="12.95" customHeight="1" x14ac:dyDescent="0.3">
      <c r="A51" s="61"/>
      <c r="B51" s="68" t="str">
        <f>HYPERLINK("https://us-east-2-production9-hive-20200324201045952400000002.s3.amazonaws.com/import-files/timberland/product_images/original-TB1A131D_001_P_1.png","TB1A131D0011")</f>
        <v>TB1A131D0011</v>
      </c>
      <c r="C51" s="61" t="s">
        <v>34</v>
      </c>
      <c r="D51" s="61" t="s">
        <v>46</v>
      </c>
      <c r="E51" s="61" t="s">
        <v>36</v>
      </c>
      <c r="F51" s="61" t="s">
        <v>81</v>
      </c>
      <c r="G51" s="69">
        <v>170</v>
      </c>
      <c r="H51" s="61">
        <f>Q51+R51+S51+T51+U51+V51+W51+X51+Y51+AA51+AB51+AC51+AD51</f>
        <v>0</v>
      </c>
      <c r="I51" s="70">
        <f>(Q51*WholesalePrice!Q51)+(R51*WholesalePrice!R51)+(S51*WholesalePrice!S51)+(T51*WholesalePrice!T51)+(U51*WholesalePrice!U51)+(V51*WholesalePrice!V51)+(W51*WholesalePrice!W51)+(X51*WholesalePrice!X51)+(Y51*WholesalePrice!Y51)+(AA51*WholesalePrice!AA51)+(AB51*WholesalePrice!AB51)+(AC51*WholesalePrice!AC51)+(AD51*WholesalePrice!AD51)</f>
        <v>0</v>
      </c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4"/>
      <c r="AD51" s="71"/>
    </row>
    <row r="52" spans="1:30" ht="12.95" customHeight="1" x14ac:dyDescent="0.3">
      <c r="A52" s="61"/>
      <c r="B52" s="68" t="str">
        <f>HYPERLINK("https://us-east-2-production9-hive-20200324201045952400000002.s3.amazonaws.com/import-files/timberland/product_images/original-TB1A1VYP_001_P_1.png","TB1A1VYP0011")</f>
        <v>TB1A1VYP0011</v>
      </c>
      <c r="C52" s="61" t="s">
        <v>34</v>
      </c>
      <c r="D52" s="61" t="s">
        <v>46</v>
      </c>
      <c r="E52" s="61" t="s">
        <v>36</v>
      </c>
      <c r="F52" s="61" t="s">
        <v>82</v>
      </c>
      <c r="G52" s="69">
        <v>160</v>
      </c>
      <c r="H52" s="61">
        <f>Q52+R52+S52+T52+U52+V52+W52+X52+Y52+AA52+AB52+AC52+AD52</f>
        <v>0</v>
      </c>
      <c r="I52" s="70">
        <f>(Q52*WholesalePrice!Q52)+(R52*WholesalePrice!R52)+(S52*WholesalePrice!S52)+(T52*WholesalePrice!T52)+(U52*WholesalePrice!U52)+(V52*WholesalePrice!V52)+(W52*WholesalePrice!W52)+(X52*WholesalePrice!X52)+(Y52*WholesalePrice!Y52)+(AA52*WholesalePrice!AA52)+(AB52*WholesalePrice!AB52)+(AC52*WholesalePrice!AC52)+(AD52*WholesalePrice!AD52)</f>
        <v>0</v>
      </c>
      <c r="J52" s="71"/>
      <c r="K52" s="71"/>
      <c r="L52" s="71"/>
      <c r="M52" s="71"/>
      <c r="N52" s="71"/>
      <c r="O52" s="71"/>
      <c r="P52" s="71"/>
      <c r="Q52" s="71"/>
      <c r="R52" s="71"/>
      <c r="S52" s="74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</row>
    <row r="53" spans="1:30" ht="12.95" customHeight="1" x14ac:dyDescent="0.3">
      <c r="A53" s="61"/>
      <c r="B53" s="68" t="str">
        <f>HYPERLINK("https://us-east-2-production9-hive-20200324201045952400000002.s3.amazonaws.com/import-files/timberland/product_images/original-TB0A63V6_W02_P_1.png","TB0A63V6W021")</f>
        <v>TB0A63V6W021</v>
      </c>
      <c r="C53" s="61" t="s">
        <v>57</v>
      </c>
      <c r="D53" s="61" t="s">
        <v>58</v>
      </c>
      <c r="E53" s="61" t="s">
        <v>36</v>
      </c>
      <c r="F53" s="61" t="s">
        <v>83</v>
      </c>
      <c r="G53" s="69">
        <v>140</v>
      </c>
      <c r="H53" s="61">
        <f>Q53+R53+S53+T53+U53+V53+W53+X53+Y53+Z53+AA53+AB53+AC53+AD53</f>
        <v>0</v>
      </c>
      <c r="I53" s="70">
        <f>(Q53*WholesalePrice!Q53)+(R53*WholesalePrice!R53)+(S53*WholesalePrice!S53)+(T53*WholesalePrice!T53)+(U53*WholesalePrice!U53)+(V53*WholesalePrice!V53)+(W53*WholesalePrice!W53)+(X53*WholesalePrice!X53)+(Y53*WholesalePrice!Y53)+(Z53*WholesalePrice!Z53)+(AA53*WholesalePrice!AA53)+(AB53*WholesalePrice!AB53)+(AC53*WholesalePrice!AC53)+(AD53*WholesalePrice!AD53)</f>
        <v>0</v>
      </c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</row>
    <row r="54" spans="1:30" ht="12.95" customHeight="1" x14ac:dyDescent="0.3">
      <c r="A54" s="61"/>
      <c r="B54" s="68" t="str">
        <f>HYPERLINK("https://us-east-2-production9-hive-20200324201045952400000002.s3.amazonaws.com/import-files/timberland/product_images/original-TB0A63V6_W02_P_1.png","TB0A63V6W021")</f>
        <v>TB0A63V6W021</v>
      </c>
      <c r="C54" s="61" t="s">
        <v>34</v>
      </c>
      <c r="D54" s="61" t="s">
        <v>58</v>
      </c>
      <c r="E54" s="61" t="s">
        <v>36</v>
      </c>
      <c r="F54" s="61" t="s">
        <v>83</v>
      </c>
      <c r="G54" s="69">
        <v>140</v>
      </c>
      <c r="H54" s="61">
        <f>Q54+R54+S54+T54+U54+V54+W54+X54+Y54+Z54+AA54+AB54+AC54+AD54</f>
        <v>0</v>
      </c>
      <c r="I54" s="70">
        <f>(Q54*WholesalePrice!Q54)+(R54*WholesalePrice!R54)+(S54*WholesalePrice!S54)+(T54*WholesalePrice!T54)+(U54*WholesalePrice!U54)+(V54*WholesalePrice!V54)+(W54*WholesalePrice!W54)+(X54*WholesalePrice!X54)+(Y54*WholesalePrice!Y54)+(Z54*WholesalePrice!Z54)+(AA54*WholesalePrice!AA54)+(AB54*WholesalePrice!AB54)+(AC54*WholesalePrice!AC54)+(AD54*WholesalePrice!AD54)</f>
        <v>0</v>
      </c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4"/>
      <c r="U54" s="74"/>
      <c r="V54" s="74"/>
      <c r="W54" s="74"/>
      <c r="X54" s="74"/>
      <c r="Y54" s="74"/>
      <c r="Z54" s="71"/>
      <c r="AA54" s="74"/>
      <c r="AB54" s="74"/>
      <c r="AC54" s="71"/>
      <c r="AD54" s="71"/>
    </row>
    <row r="55" spans="1:30" ht="12.95" customHeight="1" x14ac:dyDescent="0.3">
      <c r="A55" s="61"/>
      <c r="B55" s="68" t="str">
        <f>HYPERLINK("https://us-east-2-production9-hive-20200324201045952400000002.s3.amazonaws.com/import-files/timberland/product_images/original-TB0A66G7_EDW_P_1.png","TB0A66G7EDW1")</f>
        <v>TB0A66G7EDW1</v>
      </c>
      <c r="C55" s="61" t="s">
        <v>57</v>
      </c>
      <c r="D55" s="61" t="s">
        <v>84</v>
      </c>
      <c r="E55" s="61" t="s">
        <v>36</v>
      </c>
      <c r="F55" s="61" t="s">
        <v>85</v>
      </c>
      <c r="G55" s="69">
        <v>165</v>
      </c>
      <c r="H55" s="61">
        <f>Q55+R55+S55+T55+U55+V55+W55+X55+Y55+Z55+AA55+AB55+AC55+AD55</f>
        <v>0</v>
      </c>
      <c r="I55" s="70">
        <f>(Q55*WholesalePrice!Q55)+(R55*WholesalePrice!R55)+(S55*WholesalePrice!S55)+(T55*WholesalePrice!T55)+(U55*WholesalePrice!U55)+(V55*WholesalePrice!V55)+(W55*WholesalePrice!W55)+(X55*WholesalePrice!X55)+(Y55*WholesalePrice!Y55)+(Z55*WholesalePrice!Z55)+(AA55*WholesalePrice!AA55)+(AB55*WholesalePrice!AB55)+(AC55*WholesalePrice!AC55)+(AD55*WholesalePrice!AD55)</f>
        <v>0</v>
      </c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</row>
    <row r="56" spans="1:30" ht="12.95" customHeight="1" x14ac:dyDescent="0.3">
      <c r="A56" s="61"/>
      <c r="B56" s="68" t="str">
        <f>HYPERLINK("https://us-east-2-production9-hive-20200324201045952400000002.s3.amazonaws.com/import-files/timberland/product_images/original-TB0A66G7_EDW_P_1.png","TB0A66G7EDW1")</f>
        <v>TB0A66G7EDW1</v>
      </c>
      <c r="C56" s="61" t="s">
        <v>34</v>
      </c>
      <c r="D56" s="61" t="s">
        <v>84</v>
      </c>
      <c r="E56" s="61" t="s">
        <v>36</v>
      </c>
      <c r="F56" s="61" t="s">
        <v>85</v>
      </c>
      <c r="G56" s="69">
        <v>165</v>
      </c>
      <c r="H56" s="61">
        <f>Q56+R56+S56+T56+U56+V56+W56+X56+Y56+Z56+AA56+AB56+AC56+AD56</f>
        <v>0</v>
      </c>
      <c r="I56" s="70">
        <f>(Q56*WholesalePrice!Q56)+(R56*WholesalePrice!R56)+(S56*WholesalePrice!S56)+(T56*WholesalePrice!T56)+(U56*WholesalePrice!U56)+(V56*WholesalePrice!V56)+(W56*WholesalePrice!W56)+(X56*WholesalePrice!X56)+(Y56*WholesalePrice!Y56)+(Z56*WholesalePrice!Z56)+(AA56*WholesalePrice!AA56)+(AB56*WholesalePrice!AB56)+(AC56*WholesalePrice!AC56)+(AD56*WholesalePrice!AD56)</f>
        <v>0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4"/>
      <c r="AD56" s="71"/>
    </row>
    <row r="57" spans="1:30" ht="12.95" customHeight="1" x14ac:dyDescent="0.3">
      <c r="A57" s="61"/>
      <c r="B57" s="68" t="str">
        <f>HYPERLINK("https://us-east-2-production9-hive-20200324201045952400000002.s3.amazonaws.com/import-files/timberland/product_images/original-TB1A1VY3_001_P_1.png","TB1A1VY30011")</f>
        <v>TB1A1VY30011</v>
      </c>
      <c r="C57" s="61" t="s">
        <v>34</v>
      </c>
      <c r="D57" s="61" t="s">
        <v>46</v>
      </c>
      <c r="E57" s="61" t="s">
        <v>36</v>
      </c>
      <c r="F57" s="61" t="s">
        <v>86</v>
      </c>
      <c r="G57" s="69">
        <v>165</v>
      </c>
      <c r="H57" s="61">
        <f>J57+K57+L57+M57+N57+O57+P57+Q57+R57+S57+T57+U57+V57+W57+X57+Y57+AA57+AB57+AC57+AD57</f>
        <v>0</v>
      </c>
      <c r="I57" s="70">
        <f>(J57*WholesalePrice!J57)+(K57*WholesalePrice!K57)+(L57*WholesalePrice!L57)+(M57*WholesalePrice!M57)+(N57*WholesalePrice!N57)+(O57*WholesalePrice!O57)+(P57*WholesalePrice!P57)+(Q57*WholesalePrice!Q57)+(R57*WholesalePrice!R57)+(S57*WholesalePrice!S57)+(T57*WholesalePrice!T57)+(U57*WholesalePrice!U57)+(V57*WholesalePrice!V57)+(W57*WholesalePrice!W57)+(X57*WholesalePrice!X57)+(Y57*WholesalePrice!Y57)+(AA57*WholesalePrice!AA57)+(AB57*WholesalePrice!AB57)+(AC57*WholesalePrice!AC57)+(AD57*WholesalePrice!AD57)</f>
        <v>0</v>
      </c>
      <c r="J57" s="74"/>
      <c r="K57" s="74"/>
      <c r="L57" s="74"/>
      <c r="M57" s="74"/>
      <c r="N57" s="74"/>
      <c r="O57" s="71"/>
      <c r="P57" s="74"/>
      <c r="Q57" s="71"/>
      <c r="R57" s="71"/>
      <c r="S57" s="71"/>
      <c r="T57" s="71"/>
      <c r="U57" s="71"/>
      <c r="V57" s="71"/>
      <c r="W57" s="71"/>
      <c r="X57" s="74"/>
      <c r="Y57" s="71"/>
      <c r="Z57" s="71"/>
      <c r="AA57" s="71"/>
      <c r="AB57" s="74"/>
      <c r="AC57" s="71"/>
      <c r="AD57" s="74"/>
    </row>
    <row r="58" spans="1:30" ht="12.95" customHeight="1" x14ac:dyDescent="0.3">
      <c r="A58" s="61"/>
      <c r="B58" s="68" t="str">
        <f>HYPERLINK("https://us-east-2-production9-hive-20200324201045952400000002.s3.amazonaws.com/import-files/timberland/product_images/original-TB1A1WUT_001_P_1.png","TB1A1WUT0011")</f>
        <v>TB1A1WUT0011</v>
      </c>
      <c r="C58" s="61" t="s">
        <v>34</v>
      </c>
      <c r="D58" s="61" t="s">
        <v>46</v>
      </c>
      <c r="E58" s="61" t="s">
        <v>36</v>
      </c>
      <c r="F58" s="61" t="s">
        <v>87</v>
      </c>
      <c r="G58" s="69">
        <v>165</v>
      </c>
      <c r="H58" s="61">
        <f>J58+K58+L58+M58+N58+O58+P58+Q58+R58+S58+T58+U58+V58+W58+X58+Y58+AA58+AB58+AC58+AD58</f>
        <v>0</v>
      </c>
      <c r="I58" s="70">
        <f>(J58*WholesalePrice!J58)+(K58*WholesalePrice!K58)+(L58*WholesalePrice!L58)+(M58*WholesalePrice!M58)+(N58*WholesalePrice!N58)+(O58*WholesalePrice!O58)+(P58*WholesalePrice!P58)+(Q58*WholesalePrice!Q58)+(R58*WholesalePrice!R58)+(S58*WholesalePrice!S58)+(T58*WholesalePrice!T58)+(U58*WholesalePrice!U58)+(V58*WholesalePrice!V58)+(W58*WholesalePrice!W58)+(X58*WholesalePrice!X58)+(Y58*WholesalePrice!Y58)+(AA58*WholesalePrice!AA58)+(AB58*WholesalePrice!AB58)+(AC58*WholesalePrice!AC58)+(AD58*WholesalePrice!AD58)</f>
        <v>0</v>
      </c>
      <c r="J58" s="74"/>
      <c r="K58" s="74"/>
      <c r="L58" s="74"/>
      <c r="M58" s="74"/>
      <c r="N58" s="74"/>
      <c r="O58" s="74"/>
      <c r="P58" s="74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4"/>
    </row>
    <row r="59" spans="1:30" ht="12.95" customHeight="1" x14ac:dyDescent="0.3">
      <c r="A59" s="61"/>
      <c r="B59" s="68" t="str">
        <f>HYPERLINK("https://us-east-2-production9-hive-20200324201045952400000002.s3.amazonaws.com/import-files/timberland/product_images/original-TB0A5MA1_W02_P_1.png","TB0A5MA1W021")</f>
        <v>TB0A5MA1W021</v>
      </c>
      <c r="C59" s="61" t="s">
        <v>34</v>
      </c>
      <c r="D59" s="61" t="s">
        <v>58</v>
      </c>
      <c r="E59" s="61" t="s">
        <v>36</v>
      </c>
      <c r="F59" s="61" t="s">
        <v>88</v>
      </c>
      <c r="G59" s="69">
        <v>160</v>
      </c>
      <c r="H59" s="61">
        <f>Q59+R59+S59+T59+U59+V59+W59+X59+Y59+AA59+AB59+AC59+AD59</f>
        <v>0</v>
      </c>
      <c r="I59" s="70">
        <f>(Q59*WholesalePrice!Q59)+(R59*WholesalePrice!R59)+(S59*WholesalePrice!S59)+(T59*WholesalePrice!T59)+(U59*WholesalePrice!U59)+(V59*WholesalePrice!V59)+(W59*WholesalePrice!W59)+(X59*WholesalePrice!X59)+(Y59*WholesalePrice!Y59)+(AA59*WholesalePrice!AA59)+(AB59*WholesalePrice!AB59)+(AC59*WholesalePrice!AC59)+(AD59*WholesalePrice!AD59)</f>
        <v>0</v>
      </c>
      <c r="J59" s="71"/>
      <c r="K59" s="71"/>
      <c r="L59" s="71"/>
      <c r="M59" s="71"/>
      <c r="N59" s="71"/>
      <c r="O59" s="71"/>
      <c r="P59" s="71"/>
      <c r="Q59" s="71"/>
      <c r="R59" s="71"/>
      <c r="S59" s="74"/>
      <c r="T59" s="74"/>
      <c r="U59" s="74"/>
      <c r="V59" s="74"/>
      <c r="W59" s="74"/>
      <c r="X59" s="74"/>
      <c r="Y59" s="74"/>
      <c r="Z59" s="71"/>
      <c r="AA59" s="74"/>
      <c r="AB59" s="74"/>
      <c r="AC59" s="71"/>
      <c r="AD59" s="71"/>
    </row>
    <row r="60" spans="1:30" ht="14.25" x14ac:dyDescent="0.3">
      <c r="A60" s="66" t="s">
        <v>89</v>
      </c>
      <c r="B60" s="61"/>
      <c r="C60" s="61"/>
      <c r="D60" s="61"/>
      <c r="E60" s="61"/>
      <c r="F60" s="61"/>
      <c r="G60" s="61" t="s">
        <v>9</v>
      </c>
      <c r="H60" s="61" t="s">
        <v>9</v>
      </c>
      <c r="I60" s="61" t="s">
        <v>9</v>
      </c>
      <c r="J60" s="67" t="s">
        <v>20</v>
      </c>
      <c r="K60" s="67" t="s">
        <v>21</v>
      </c>
      <c r="L60" s="67" t="s">
        <v>22</v>
      </c>
      <c r="M60" s="67" t="s">
        <v>23</v>
      </c>
      <c r="N60" s="67" t="s">
        <v>24</v>
      </c>
      <c r="O60" s="67" t="s">
        <v>25</v>
      </c>
      <c r="P60" s="67" t="s">
        <v>26</v>
      </c>
      <c r="Q60" s="67" t="s">
        <v>27</v>
      </c>
      <c r="R60" s="67" t="s">
        <v>28</v>
      </c>
      <c r="S60" s="67" t="s">
        <v>29</v>
      </c>
      <c r="T60" s="67" t="s">
        <v>30</v>
      </c>
      <c r="U60" s="67" t="s">
        <v>31</v>
      </c>
      <c r="V60" s="67" t="s">
        <v>32</v>
      </c>
    </row>
    <row r="61" spans="1:30" ht="12.95" customHeight="1" x14ac:dyDescent="0.3">
      <c r="A61" s="61"/>
      <c r="B61" s="68" t="str">
        <f>HYPERLINK("https://us-east-2-production9-hive-20200324201045952400000002.s3.amazonaws.com/import-files/timberland/product_images/original-TB1A21WK_001_P_1.png","TB1A21WK0011")</f>
        <v>TB1A21WK0011</v>
      </c>
      <c r="C61" s="61" t="s">
        <v>34</v>
      </c>
      <c r="D61" s="61" t="s">
        <v>46</v>
      </c>
      <c r="E61" s="61" t="s">
        <v>36</v>
      </c>
      <c r="F61" s="61" t="s">
        <v>90</v>
      </c>
      <c r="G61" s="69">
        <v>90</v>
      </c>
      <c r="H61" s="61">
        <f>K61+R61+S61+T61+U61+V61</f>
        <v>0</v>
      </c>
      <c r="I61" s="70">
        <f>(K61*WholesalePrice!K61)+(R61*WholesalePrice!R61)+(S61*WholesalePrice!S61)+(T61*WholesalePrice!T61)+(U61*WholesalePrice!U61)+(V61*WholesalePrice!V61)</f>
        <v>0</v>
      </c>
      <c r="J61" s="71"/>
      <c r="K61" s="74"/>
      <c r="L61" s="71"/>
      <c r="M61" s="71"/>
      <c r="N61" s="71"/>
      <c r="O61" s="71"/>
      <c r="P61" s="71"/>
      <c r="Q61" s="71"/>
      <c r="R61" s="74"/>
      <c r="S61" s="74"/>
      <c r="T61" s="74"/>
      <c r="U61" s="74"/>
      <c r="V61" s="74"/>
    </row>
    <row r="62" spans="1:30" ht="12.95" customHeight="1" x14ac:dyDescent="0.3">
      <c r="A62" s="61"/>
      <c r="B62" s="68" t="str">
        <f>HYPERLINK("https://us-east-2-production9-hive-20200324201045952400000002.s3.amazonaws.com/import-files/timberland/product_images/original-TB1A21X7_214_P_1.png","TB1A21X72141")</f>
        <v>TB1A21X72141</v>
      </c>
      <c r="C62" s="61" t="s">
        <v>34</v>
      </c>
      <c r="D62" s="61" t="s">
        <v>68</v>
      </c>
      <c r="E62" s="61" t="s">
        <v>36</v>
      </c>
      <c r="F62" s="61" t="s">
        <v>91</v>
      </c>
      <c r="G62" s="69">
        <v>90</v>
      </c>
      <c r="H62" s="61">
        <f>J62+K62+L62+M62+N62+O62+P62+Q62+R62+S62+T62+U62+V62</f>
        <v>0</v>
      </c>
      <c r="I62" s="70">
        <f>(J62*WholesalePrice!J62)+(K62*WholesalePrice!K62)+(L62*WholesalePrice!L62)+(M62*WholesalePrice!M62)+(N62*WholesalePrice!N62)+(O62*WholesalePrice!O62)+(P62*WholesalePrice!P62)+(Q62*WholesalePrice!Q62)+(R62*WholesalePrice!R62)+(S62*WholesalePrice!S62)+(T62*WholesalePrice!T62)+(U62*WholesalePrice!U62)+(V62*WholesalePrice!V62)</f>
        <v>0</v>
      </c>
      <c r="J62" s="74"/>
      <c r="K62" s="71"/>
      <c r="L62" s="74"/>
      <c r="M62" s="71"/>
      <c r="N62" s="71"/>
      <c r="O62" s="74"/>
      <c r="P62" s="74"/>
      <c r="Q62" s="74"/>
      <c r="R62" s="74"/>
      <c r="S62" s="74"/>
      <c r="T62" s="74"/>
      <c r="U62" s="71"/>
      <c r="V62" s="71"/>
    </row>
    <row r="63" spans="1:30" ht="12.95" customHeight="1" x14ac:dyDescent="0.3">
      <c r="A63" s="61"/>
      <c r="B63" s="68" t="str">
        <f>HYPERLINK("https://us-east-2-production9-hive-20200324201045952400000002.s3.amazonaws.com/import-files/timberland/product_images/original-TB191670_001_P_1.png","TB1916700011")</f>
        <v>TB1916700011</v>
      </c>
      <c r="C63" s="61" t="s">
        <v>34</v>
      </c>
      <c r="D63" s="61" t="s">
        <v>46</v>
      </c>
      <c r="E63" s="61" t="s">
        <v>36</v>
      </c>
      <c r="F63" s="61" t="s">
        <v>92</v>
      </c>
      <c r="G63" s="69">
        <v>95</v>
      </c>
      <c r="H63" s="61">
        <f>J63+K63+L63+M63+N63+O63+P63+Q63+R63+S63+T63+U63+V63</f>
        <v>0</v>
      </c>
      <c r="I63" s="70">
        <f>(J63*WholesalePrice!J63)+(K63*WholesalePrice!K63)+(L63*WholesalePrice!L63)+(M63*WholesalePrice!M63)+(N63*WholesalePrice!N63)+(O63*WholesalePrice!O63)+(P63*WholesalePrice!P63)+(Q63*WholesalePrice!Q63)+(R63*WholesalePrice!R63)+(S63*WholesalePrice!S63)+(T63*WholesalePrice!T63)+(U63*WholesalePrice!U63)+(V63*WholesalePrice!V63)</f>
        <v>0</v>
      </c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1"/>
      <c r="V63" s="71"/>
    </row>
    <row r="64" spans="1:30" ht="12.95" customHeight="1" x14ac:dyDescent="0.3">
      <c r="A64" s="61"/>
      <c r="B64" s="68" t="str">
        <f>HYPERLINK("https://us-east-2-production9-hive-20200324201045952400000002.s3.amazonaws.com/import-files/timberland/product_images/original-TB0A5ZX3_001_P_1.png","TB0A5ZX30011")</f>
        <v>TB0A5ZX30011</v>
      </c>
      <c r="C64" s="61" t="s">
        <v>34</v>
      </c>
      <c r="D64" s="61" t="s">
        <v>46</v>
      </c>
      <c r="E64" s="61" t="s">
        <v>36</v>
      </c>
      <c r="F64" s="61" t="s">
        <v>93</v>
      </c>
      <c r="G64" s="69">
        <v>65</v>
      </c>
      <c r="H64" s="61">
        <f>J64+K64+L64+M64+N64+O64+P64+Q64+R64+S64+T64+U64+V64</f>
        <v>0</v>
      </c>
      <c r="I64" s="70">
        <f>(J64*WholesalePrice!J64)+(K64*WholesalePrice!K64)+(L64*WholesalePrice!L64)+(M64*WholesalePrice!M64)+(N64*WholesalePrice!N64)+(O64*WholesalePrice!O64)+(P64*WholesalePrice!P64)+(Q64*WholesalePrice!Q64)+(R64*WholesalePrice!R64)+(S64*WholesalePrice!S64)+(T64*WholesalePrice!T64)+(U64*WholesalePrice!U64)+(V64*WholesalePrice!V64)</f>
        <v>0</v>
      </c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1"/>
    </row>
    <row r="65" spans="1:30" ht="12.95" customHeight="1" x14ac:dyDescent="0.3">
      <c r="A65" s="61"/>
      <c r="B65" s="68" t="str">
        <f>HYPERLINK("https://us-east-2-production9-hive-20200324201045952400000002.s3.amazonaws.com/import-files/timberland/product_images/original-TB0A61YH_065_P_1.png","TB0A61YH0651")</f>
        <v>TB0A61YH0651</v>
      </c>
      <c r="C65" s="61" t="s">
        <v>34</v>
      </c>
      <c r="D65" s="61" t="s">
        <v>94</v>
      </c>
      <c r="E65" s="61" t="s">
        <v>36</v>
      </c>
      <c r="F65" s="61" t="s">
        <v>93</v>
      </c>
      <c r="G65" s="69">
        <v>65</v>
      </c>
      <c r="H65" s="61">
        <f>J65+K65+L65+M65+N65+O65+P65+Q65+R65+S65+T65+U65+V65</f>
        <v>0</v>
      </c>
      <c r="I65" s="70">
        <f>(J65*WholesalePrice!J65)+(K65*WholesalePrice!K65)+(L65*WholesalePrice!L65)+(M65*WholesalePrice!M65)+(N65*WholesalePrice!N65)+(O65*WholesalePrice!O65)+(P65*WholesalePrice!P65)+(Q65*WholesalePrice!Q65)+(R65*WholesalePrice!R65)+(S65*WholesalePrice!S65)+(T65*WholesalePrice!T65)+(U65*WholesalePrice!U65)+(V65*WholesalePrice!V65)</f>
        <v>0</v>
      </c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</row>
    <row r="66" spans="1:30" ht="14.25" x14ac:dyDescent="0.3">
      <c r="A66" s="66" t="s">
        <v>95</v>
      </c>
      <c r="B66" s="61"/>
      <c r="C66" s="61"/>
      <c r="D66" s="61"/>
      <c r="E66" s="61"/>
      <c r="F66" s="61"/>
      <c r="G66" s="61" t="s">
        <v>9</v>
      </c>
      <c r="H66" s="61" t="s">
        <v>9</v>
      </c>
      <c r="I66" s="61" t="s">
        <v>9</v>
      </c>
      <c r="J66" s="67" t="s">
        <v>49</v>
      </c>
      <c r="K66" s="67" t="s">
        <v>50</v>
      </c>
      <c r="L66" s="67" t="s">
        <v>51</v>
      </c>
      <c r="M66" s="67" t="s">
        <v>52</v>
      </c>
      <c r="N66" s="67" t="s">
        <v>53</v>
      </c>
      <c r="O66" s="67" t="s">
        <v>54</v>
      </c>
      <c r="P66" s="67" t="s">
        <v>55</v>
      </c>
      <c r="Q66" s="67" t="s">
        <v>20</v>
      </c>
      <c r="R66" s="67" t="s">
        <v>21</v>
      </c>
      <c r="S66" s="67" t="s">
        <v>22</v>
      </c>
      <c r="T66" s="67" t="s">
        <v>23</v>
      </c>
      <c r="U66" s="67" t="s">
        <v>24</v>
      </c>
      <c r="V66" s="67" t="s">
        <v>25</v>
      </c>
      <c r="W66" s="67" t="s">
        <v>26</v>
      </c>
      <c r="X66" s="67" t="s">
        <v>27</v>
      </c>
      <c r="Y66" s="67" t="s">
        <v>28</v>
      </c>
      <c r="Z66" s="67" t="s">
        <v>56</v>
      </c>
      <c r="AA66" s="67" t="s">
        <v>29</v>
      </c>
      <c r="AB66" s="67" t="s">
        <v>30</v>
      </c>
      <c r="AC66" s="67" t="s">
        <v>31</v>
      </c>
      <c r="AD66" s="67" t="s">
        <v>32</v>
      </c>
    </row>
    <row r="67" spans="1:30" ht="12.95" customHeight="1" x14ac:dyDescent="0.3">
      <c r="A67" s="61"/>
      <c r="B67" s="68" t="str">
        <f>HYPERLINK("https://us-east-2-production9-hive-20200324201045952400000002.s3.amazonaws.com/import-files/timberland/product_images/original-TB0A63GK_EM4_P_1.png","TB0A63GKEM41")</f>
        <v>TB0A63GKEM41</v>
      </c>
      <c r="C67" s="61" t="s">
        <v>34</v>
      </c>
      <c r="D67" s="61" t="s">
        <v>61</v>
      </c>
      <c r="E67" s="61" t="s">
        <v>36</v>
      </c>
      <c r="F67" s="61" t="s">
        <v>96</v>
      </c>
      <c r="G67" s="69">
        <v>120</v>
      </c>
      <c r="H67" s="61">
        <f>Q67+R67+S67+T67+U67+V67+W67+X67+Y67+AA67+AB67+AC67+AD67</f>
        <v>0</v>
      </c>
      <c r="I67" s="70">
        <f>(Q67*WholesalePrice!Q67)+(R67*WholesalePrice!R67)+(S67*WholesalePrice!S67)+(T67*WholesalePrice!T67)+(U67*WholesalePrice!U67)+(V67*WholesalePrice!V67)+(W67*WholesalePrice!W67)+(X67*WholesalePrice!X67)+(Y67*WholesalePrice!Y67)+(AA67*WholesalePrice!AA67)+(AB67*WholesalePrice!AB67)+(AC67*WholesalePrice!AC67)+(AD67*WholesalePrice!AD67)</f>
        <v>0</v>
      </c>
      <c r="J67" s="71"/>
      <c r="K67" s="71"/>
      <c r="L67" s="71"/>
      <c r="M67" s="71"/>
      <c r="N67" s="71"/>
      <c r="O67" s="71"/>
      <c r="P67" s="71"/>
      <c r="Q67" s="71"/>
      <c r="R67" s="74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4"/>
      <c r="AD67" s="74"/>
    </row>
    <row r="68" spans="1:30" ht="12.95" customHeight="1" x14ac:dyDescent="0.3">
      <c r="A68" s="61"/>
      <c r="B68" s="68" t="str">
        <f>HYPERLINK("https://us-east-2-production9-hive-20200324201045952400000002.s3.amazonaws.com/import-files/timberland/product_images/original-TB0A63GK_EDX_P_1.png","TB0A63GKEDX1")</f>
        <v>TB0A63GKEDX1</v>
      </c>
      <c r="C68" s="61" t="s">
        <v>57</v>
      </c>
      <c r="D68" s="61" t="s">
        <v>97</v>
      </c>
      <c r="E68" s="61" t="s">
        <v>36</v>
      </c>
      <c r="F68" s="61" t="s">
        <v>96</v>
      </c>
      <c r="G68" s="69">
        <v>120</v>
      </c>
      <c r="H68" s="61">
        <f>Q68+R68+S68+T68+U68+V68+W68+X68+Y68+Z68+AA68+AB68+AC68+AD68</f>
        <v>0</v>
      </c>
      <c r="I68" s="70">
        <f>(Q68*WholesalePrice!Q68)+(R68*WholesalePrice!R68)+(S68*WholesalePrice!S68)+(T68*WholesalePrice!T68)+(U68*WholesalePrice!U68)+(V68*WholesalePrice!V68)+(W68*WholesalePrice!W68)+(X68*WholesalePrice!X68)+(Y68*WholesalePrice!Y68)+(Z68*WholesalePrice!Z68)+(AA68*WholesalePrice!AA68)+(AB68*WholesalePrice!AB68)+(AC68*WholesalePrice!AC68)+(AD68*WholesalePrice!AD68)</f>
        <v>0</v>
      </c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</row>
    <row r="69" spans="1:30" ht="12.95" customHeight="1" x14ac:dyDescent="0.3">
      <c r="A69" s="61"/>
      <c r="B69" s="68" t="str">
        <f>HYPERLINK("https://us-east-2-production9-hive-20200324201045952400000002.s3.amazonaws.com/import-files/timberland/product_images/original-TB0A63GK_EDX_P_1.png","TB0A63GKEDX1")</f>
        <v>TB0A63GKEDX1</v>
      </c>
      <c r="C69" s="61" t="s">
        <v>34</v>
      </c>
      <c r="D69" s="61" t="s">
        <v>97</v>
      </c>
      <c r="E69" s="61" t="s">
        <v>36</v>
      </c>
      <c r="F69" s="61" t="s">
        <v>96</v>
      </c>
      <c r="G69" s="69">
        <v>120</v>
      </c>
      <c r="H69" s="61">
        <f>Q69+R69+S69+T69+U69+V69+W69+X69+Y69+Z69+AA69+AB69+AC69+AD69</f>
        <v>0</v>
      </c>
      <c r="I69" s="70">
        <f>(Q69*WholesalePrice!Q69)+(R69*WholesalePrice!R69)+(S69*WholesalePrice!S69)+(T69*WholesalePrice!T69)+(U69*WholesalePrice!U69)+(V69*WholesalePrice!V69)+(W69*WholesalePrice!W69)+(X69*WholesalePrice!X69)+(Y69*WholesalePrice!Y69)+(Z69*WholesalePrice!Z69)+(AA69*WholesalePrice!AA69)+(AB69*WholesalePrice!AB69)+(AC69*WholesalePrice!AC69)+(AD69*WholesalePrice!AD69)</f>
        <v>0</v>
      </c>
      <c r="J69" s="71"/>
      <c r="K69" s="71"/>
      <c r="L69" s="71"/>
      <c r="M69" s="71"/>
      <c r="N69" s="71"/>
      <c r="O69" s="71"/>
      <c r="P69" s="71"/>
      <c r="Q69" s="71"/>
      <c r="R69" s="74"/>
      <c r="S69" s="74"/>
      <c r="T69" s="74"/>
      <c r="U69" s="74"/>
      <c r="V69" s="74"/>
      <c r="W69" s="74"/>
      <c r="X69" s="74"/>
      <c r="Y69" s="74"/>
      <c r="Z69" s="71"/>
      <c r="AA69" s="74"/>
      <c r="AB69" s="74"/>
      <c r="AC69" s="74"/>
      <c r="AD69" s="71"/>
    </row>
    <row r="70" spans="1:30" ht="12.95" customHeight="1" x14ac:dyDescent="0.3">
      <c r="A70" s="61"/>
      <c r="B70" s="68" t="str">
        <f>HYPERLINK("https://us-east-2-production9-hive-20200324201045952400000002.s3.amazonaws.com/import-files/timberland/product_images/original-TB0A5TTP_ENR_P_1.png","TB0A5TTPENR1")</f>
        <v>TB0A5TTPENR1</v>
      </c>
      <c r="C70" s="61" t="s">
        <v>34</v>
      </c>
      <c r="D70" s="61" t="s">
        <v>98</v>
      </c>
      <c r="E70" s="61" t="s">
        <v>36</v>
      </c>
      <c r="F70" s="61" t="s">
        <v>99</v>
      </c>
      <c r="G70" s="69">
        <v>125</v>
      </c>
      <c r="H70" s="61">
        <f>Q70+R70+S70+T70+U70+V70+W70+X70+Y70+AA70+AB70+AC70+AD70</f>
        <v>0</v>
      </c>
      <c r="I70" s="70">
        <f>(Q70*WholesalePrice!Q70)+(R70*WholesalePrice!R70)+(S70*WholesalePrice!S70)+(T70*WholesalePrice!T70)+(U70*WholesalePrice!U70)+(V70*WholesalePrice!V70)+(W70*WholesalePrice!W70)+(X70*WholesalePrice!X70)+(Y70*WholesalePrice!Y70)+(AA70*WholesalePrice!AA70)+(AB70*WholesalePrice!AB70)+(AC70*WholesalePrice!AC70)+(AD70*WholesalePrice!AD70)</f>
        <v>0</v>
      </c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1"/>
    </row>
    <row r="71" spans="1:30" ht="12.95" customHeight="1" x14ac:dyDescent="0.3">
      <c r="A71" s="61"/>
      <c r="B71" s="68" t="str">
        <f>HYPERLINK("https://us-east-2-production9-hive-20200324201045952400000002.s3.amazonaws.com/import-files/timberland/product_images/original-TB0A42EG_EM6_P_1.png","TB0A42EGEM61")</f>
        <v>TB0A42EGEM61</v>
      </c>
      <c r="C71" s="61" t="s">
        <v>34</v>
      </c>
      <c r="D71" s="61" t="s">
        <v>100</v>
      </c>
      <c r="E71" s="61" t="s">
        <v>36</v>
      </c>
      <c r="F71" s="61" t="s">
        <v>101</v>
      </c>
      <c r="G71" s="69">
        <v>105</v>
      </c>
      <c r="H71" s="61">
        <f>Q71+R71+S71+T71+U71+V71+W71+Y71+AA71+AB71+AC71+AD71</f>
        <v>0</v>
      </c>
      <c r="I71" s="70">
        <f>(Q71*WholesalePrice!Q71)+(R71*WholesalePrice!R71)+(S71*WholesalePrice!S71)+(T71*WholesalePrice!T71)+(U71*WholesalePrice!U71)+(V71*WholesalePrice!V71)+(W71*WholesalePrice!W71)+(Y71*WholesalePrice!Y71)+(AA71*WholesalePrice!AA71)+(AB71*WholesalePrice!AB71)+(AC71*WholesalePrice!AC71)+(AD71*WholesalePrice!AD71)</f>
        <v>0</v>
      </c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1"/>
    </row>
    <row r="72" spans="1:30" ht="12.95" customHeight="1" x14ac:dyDescent="0.3">
      <c r="A72" s="61"/>
      <c r="B72" s="68" t="str">
        <f>HYPERLINK("https://us-east-2-production9-hive-20200324201045952400000002.s3.amazonaws.com/import-files/timberland/product_images/original-TB1A5T7K_001_P_1.png","TB1A5T7K0011")</f>
        <v>TB1A5T7K0011</v>
      </c>
      <c r="C72" s="61" t="s">
        <v>34</v>
      </c>
      <c r="D72" s="61" t="s">
        <v>46</v>
      </c>
      <c r="E72" s="61" t="s">
        <v>36</v>
      </c>
      <c r="F72" s="61" t="s">
        <v>102</v>
      </c>
      <c r="G72" s="69">
        <v>115</v>
      </c>
      <c r="H72" s="61">
        <f>Q72+S72+T72+U72+V72+W72+X72+Y72+AA72+AB72+AC72</f>
        <v>0</v>
      </c>
      <c r="I72" s="70">
        <f>(Q72*WholesalePrice!Q72)+(S72*WholesalePrice!S72)+(T72*WholesalePrice!T72)+(U72*WholesalePrice!U72)+(V72*WholesalePrice!V72)+(W72*WholesalePrice!W72)+(X72*WholesalePrice!X72)+(Y72*WholesalePrice!Y72)+(AA72*WholesalePrice!AA72)+(AB72*WholesalePrice!AB72)+(AC72*WholesalePrice!AC72)</f>
        <v>0</v>
      </c>
      <c r="J72" s="71"/>
      <c r="K72" s="71"/>
      <c r="L72" s="71"/>
      <c r="M72" s="71"/>
      <c r="N72" s="71"/>
      <c r="O72" s="71"/>
      <c r="P72" s="71"/>
      <c r="Q72" s="74"/>
      <c r="R72" s="71"/>
      <c r="S72" s="74"/>
      <c r="T72" s="74"/>
      <c r="U72" s="74"/>
      <c r="V72" s="74"/>
      <c r="W72" s="74"/>
      <c r="X72" s="74"/>
      <c r="Y72" s="74"/>
      <c r="Z72" s="71"/>
      <c r="AA72" s="74"/>
      <c r="AB72" s="74"/>
      <c r="AC72" s="74"/>
      <c r="AD72" s="71"/>
    </row>
    <row r="73" spans="1:30" ht="12.95" customHeight="1" x14ac:dyDescent="0.3">
      <c r="A73" s="61"/>
      <c r="B73" s="68" t="str">
        <f>HYPERLINK("https://us-east-2-production9-hive-20200324201045952400000002.s3.amazonaws.com/import-files/timberland/product_images/original-TB1A44ZW_231_P_1.png","TB1A44ZW2311")</f>
        <v>TB1A44ZW2311</v>
      </c>
      <c r="C73" s="61" t="s">
        <v>34</v>
      </c>
      <c r="D73" s="61" t="s">
        <v>76</v>
      </c>
      <c r="E73" s="61" t="s">
        <v>36</v>
      </c>
      <c r="F73" s="61" t="s">
        <v>103</v>
      </c>
      <c r="G73" s="69">
        <v>125</v>
      </c>
      <c r="H73" s="61">
        <f>Q73+R73+W73+X73+Y73+AA73+AC73+AD73</f>
        <v>0</v>
      </c>
      <c r="I73" s="70">
        <f>(Q73*WholesalePrice!Q73)+(R73*WholesalePrice!R73)+(W73*WholesalePrice!W73)+(X73*WholesalePrice!X73)+(Y73*WholesalePrice!Y73)+(AA73*WholesalePrice!AA73)+(AC73*WholesalePrice!AC73)+(AD73*WholesalePrice!AD73)</f>
        <v>0</v>
      </c>
      <c r="J73" s="71"/>
      <c r="K73" s="71"/>
      <c r="L73" s="71"/>
      <c r="M73" s="71"/>
      <c r="N73" s="71"/>
      <c r="O73" s="71"/>
      <c r="P73" s="71"/>
      <c r="Q73" s="74"/>
      <c r="R73" s="74"/>
      <c r="S73" s="71"/>
      <c r="T73" s="71"/>
      <c r="U73" s="71"/>
      <c r="V73" s="71"/>
      <c r="W73" s="74"/>
      <c r="X73" s="74"/>
      <c r="Y73" s="74"/>
      <c r="Z73" s="71"/>
      <c r="AA73" s="74"/>
      <c r="AB73" s="71"/>
      <c r="AC73" s="74"/>
      <c r="AD73" s="74"/>
    </row>
    <row r="74" spans="1:30" ht="12.95" customHeight="1" x14ac:dyDescent="0.3">
      <c r="A74" s="61"/>
      <c r="B74" s="68" t="str">
        <f>HYPERLINK("https://us-east-2-production9-hive-20200324201045952400000002.s3.amazonaws.com/import-files/timberland/product_images/original-TB0A66KY_EM4_P_1.png","TB0A66KYEM41")</f>
        <v>TB0A66KYEM41</v>
      </c>
      <c r="C74" s="61" t="s">
        <v>57</v>
      </c>
      <c r="D74" s="61" t="s">
        <v>104</v>
      </c>
      <c r="E74" s="61" t="s">
        <v>36</v>
      </c>
      <c r="F74" s="61" t="s">
        <v>105</v>
      </c>
      <c r="G74" s="69">
        <v>160</v>
      </c>
      <c r="H74" s="61">
        <f>Q74+R74+S74+T74+U74+V74+W74+X74+Y74+Z74+AA74+AB74+AC74+AD74</f>
        <v>0</v>
      </c>
      <c r="I74" s="70">
        <f>(Q74*WholesalePrice!Q74)+(R74*WholesalePrice!R74)+(S74*WholesalePrice!S74)+(T74*WholesalePrice!T74)+(U74*WholesalePrice!U74)+(V74*WholesalePrice!V74)+(W74*WholesalePrice!W74)+(X74*WholesalePrice!X74)+(Y74*WholesalePrice!Y74)+(Z74*WholesalePrice!Z74)+(AA74*WholesalePrice!AA74)+(AB74*WholesalePrice!AB74)+(AC74*WholesalePrice!AC74)+(AD74*WholesalePrice!AD74)</f>
        <v>0</v>
      </c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71"/>
    </row>
    <row r="75" spans="1:30" ht="12.95" customHeight="1" x14ac:dyDescent="0.3">
      <c r="A75" s="61"/>
      <c r="B75" s="68" t="str">
        <f>HYPERLINK("https://us-east-2-production9-hive-20200324201045952400000002.s3.amazonaws.com/import-files/timberland/product_images/original-TB0A66KY_EM4_P_1.png","TB0A66KYEM41")</f>
        <v>TB0A66KYEM41</v>
      </c>
      <c r="C75" s="61" t="s">
        <v>34</v>
      </c>
      <c r="D75" s="61" t="s">
        <v>104</v>
      </c>
      <c r="E75" s="61" t="s">
        <v>36</v>
      </c>
      <c r="F75" s="61" t="s">
        <v>105</v>
      </c>
      <c r="G75" s="69">
        <v>160</v>
      </c>
      <c r="H75" s="61">
        <f>Q75+R75+S75+T75+U75+V75+W75+X75+Y75+Z75+AA75+AB75+AC75+AD75</f>
        <v>0</v>
      </c>
      <c r="I75" s="70">
        <f>(Q75*WholesalePrice!Q75)+(R75*WholesalePrice!R75)+(S75*WholesalePrice!S75)+(T75*WholesalePrice!T75)+(U75*WholesalePrice!U75)+(V75*WholesalePrice!V75)+(W75*WholesalePrice!W75)+(X75*WholesalePrice!X75)+(Y75*WholesalePrice!Y75)+(Z75*WholesalePrice!Z75)+(AA75*WholesalePrice!AA75)+(AB75*WholesalePrice!AB75)+(AC75*WholesalePrice!AC75)+(AD75*WholesalePrice!AD75)</f>
        <v>0</v>
      </c>
      <c r="J75" s="71"/>
      <c r="K75" s="71"/>
      <c r="L75" s="71"/>
      <c r="M75" s="71"/>
      <c r="N75" s="71"/>
      <c r="O75" s="71"/>
      <c r="P75" s="71"/>
      <c r="Q75" s="74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  <c r="AC75" s="74"/>
      <c r="AD75" s="71"/>
    </row>
    <row r="76" spans="1:30" ht="12.95" customHeight="1" x14ac:dyDescent="0.3">
      <c r="A76" s="61"/>
      <c r="B76" s="68" t="str">
        <f>HYPERLINK("https://us-east-2-production9-hive-20200324201045952400000002.s3.amazonaws.com/import-files/timberland/product_images/original-TB191631_214_P_1.png","TB1916312141")</f>
        <v>TB1916312141</v>
      </c>
      <c r="C76" s="61" t="s">
        <v>34</v>
      </c>
      <c r="D76" s="61" t="s">
        <v>68</v>
      </c>
      <c r="E76" s="61" t="s">
        <v>36</v>
      </c>
      <c r="F76" s="61" t="s">
        <v>106</v>
      </c>
      <c r="G76" s="69">
        <v>145</v>
      </c>
      <c r="H76" s="61">
        <f>Q76+R76+S76+T76+U76+V76+W76+X76+Y76+AA76+AB76+AC76+AD76</f>
        <v>0</v>
      </c>
      <c r="I76" s="70">
        <f>(Q76*WholesalePrice!Q76)+(R76*WholesalePrice!R76)+(S76*WholesalePrice!S76)+(T76*WholesalePrice!T76)+(U76*WholesalePrice!U76)+(V76*WholesalePrice!V76)+(W76*WholesalePrice!W76)+(X76*WholesalePrice!X76)+(Y76*WholesalePrice!Y76)+(AA76*WholesalePrice!AA76)+(AB76*WholesalePrice!AB76)+(AC76*WholesalePrice!AC76)+(AD76*WholesalePrice!AD76)</f>
        <v>0</v>
      </c>
      <c r="J76" s="71"/>
      <c r="K76" s="71"/>
      <c r="L76" s="71"/>
      <c r="M76" s="71"/>
      <c r="N76" s="71"/>
      <c r="O76" s="71"/>
      <c r="P76" s="71"/>
      <c r="Q76" s="74"/>
      <c r="R76" s="74"/>
      <c r="S76" s="74"/>
      <c r="T76" s="74"/>
      <c r="U76" s="74"/>
      <c r="V76" s="74"/>
      <c r="W76" s="74"/>
      <c r="X76" s="74"/>
      <c r="Y76" s="74"/>
      <c r="Z76" s="71"/>
      <c r="AA76" s="74"/>
      <c r="AB76" s="74"/>
      <c r="AC76" s="74"/>
      <c r="AD76" s="74"/>
    </row>
    <row r="77" spans="1:30" ht="12.95" customHeight="1" x14ac:dyDescent="0.3">
      <c r="A77" s="61"/>
      <c r="B77" s="68" t="str">
        <f>HYPERLINK("https://us-east-2-production9-hive-20200324201045952400000002.s3.amazonaws.com/import-files/timberland/product_images/original-TB1A11UT_001_P_1.png","TB1A11UT0011")</f>
        <v>TB1A11UT0011</v>
      </c>
      <c r="C77" s="61" t="s">
        <v>34</v>
      </c>
      <c r="D77" s="61" t="s">
        <v>46</v>
      </c>
      <c r="E77" s="61" t="s">
        <v>36</v>
      </c>
      <c r="F77" s="61" t="s">
        <v>106</v>
      </c>
      <c r="G77" s="69">
        <v>145</v>
      </c>
      <c r="H77" s="61">
        <f>Q77+R77+S77+T77+U77+V77+W77+X77+Y77+AA77+AB77+AC77+AD77</f>
        <v>0</v>
      </c>
      <c r="I77" s="70">
        <f>(Q77*WholesalePrice!Q77)+(R77*WholesalePrice!R77)+(S77*WholesalePrice!S77)+(T77*WholesalePrice!T77)+(U77*WholesalePrice!U77)+(V77*WholesalePrice!V77)+(W77*WholesalePrice!W77)+(X77*WholesalePrice!X77)+(Y77*WholesalePrice!Y77)+(AA77*WholesalePrice!AA77)+(AB77*WholesalePrice!AB77)+(AC77*WholesalePrice!AC77)+(AD77*WholesalePrice!AD77)</f>
        <v>0</v>
      </c>
      <c r="J77" s="71"/>
      <c r="K77" s="71"/>
      <c r="L77" s="71"/>
      <c r="M77" s="71"/>
      <c r="N77" s="71"/>
      <c r="O77" s="71"/>
      <c r="P77" s="71"/>
      <c r="Q77" s="74"/>
      <c r="R77" s="71"/>
      <c r="S77" s="74"/>
      <c r="T77" s="71"/>
      <c r="U77" s="74"/>
      <c r="V77" s="74"/>
      <c r="W77" s="74"/>
      <c r="X77" s="74"/>
      <c r="Y77" s="74"/>
      <c r="Z77" s="71"/>
      <c r="AA77" s="74"/>
      <c r="AB77" s="74"/>
      <c r="AC77" s="71"/>
      <c r="AD77" s="71"/>
    </row>
    <row r="78" spans="1:30" ht="12.95" customHeight="1" x14ac:dyDescent="0.3">
      <c r="A78" s="61"/>
      <c r="B78" s="68" t="str">
        <f>HYPERLINK("https://us-east-2-production9-hive-20200324201045952400000002.s3.amazonaws.com/import-files/timberland/product_images/original-TB1A22H2_231_P_1.png","TB1A22H22311")</f>
        <v>TB1A22H22311</v>
      </c>
      <c r="C78" s="61" t="s">
        <v>34</v>
      </c>
      <c r="D78" s="61" t="s">
        <v>76</v>
      </c>
      <c r="E78" s="61" t="s">
        <v>36</v>
      </c>
      <c r="F78" s="61" t="s">
        <v>107</v>
      </c>
      <c r="G78" s="69">
        <v>125</v>
      </c>
      <c r="H78" s="61">
        <f>Q78+R78+S78+T78+U78+V78+W78+X78+Y78+AA78+AB78+AC78+AD78</f>
        <v>0</v>
      </c>
      <c r="I78" s="70">
        <f>(Q78*WholesalePrice!Q78)+(R78*WholesalePrice!R78)+(S78*WholesalePrice!S78)+(T78*WholesalePrice!T78)+(U78*WholesalePrice!U78)+(V78*WholesalePrice!V78)+(W78*WholesalePrice!W78)+(X78*WholesalePrice!X78)+(Y78*WholesalePrice!Y78)+(AA78*WholesalePrice!AA78)+(AB78*WholesalePrice!AB78)+(AC78*WholesalePrice!AC78)+(AD78*WholesalePrice!AD78)</f>
        <v>0</v>
      </c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71"/>
      <c r="AC78" s="71"/>
      <c r="AD78" s="74"/>
    </row>
    <row r="79" spans="1:30" ht="14.25" x14ac:dyDescent="0.3">
      <c r="A79" s="66" t="s">
        <v>108</v>
      </c>
      <c r="B79" s="61"/>
      <c r="C79" s="61"/>
      <c r="D79" s="61"/>
      <c r="E79" s="61"/>
      <c r="F79" s="61"/>
      <c r="G79" s="61" t="s">
        <v>9</v>
      </c>
      <c r="H79" s="61" t="s">
        <v>9</v>
      </c>
      <c r="I79" s="61" t="s">
        <v>9</v>
      </c>
      <c r="J79" s="67" t="s">
        <v>20</v>
      </c>
      <c r="K79" s="67" t="s">
        <v>21</v>
      </c>
      <c r="L79" s="67" t="s">
        <v>22</v>
      </c>
      <c r="M79" s="67" t="s">
        <v>23</v>
      </c>
      <c r="N79" s="67" t="s">
        <v>24</v>
      </c>
      <c r="O79" s="67" t="s">
        <v>25</v>
      </c>
      <c r="P79" s="67" t="s">
        <v>26</v>
      </c>
      <c r="Q79" s="67" t="s">
        <v>27</v>
      </c>
      <c r="R79" s="67" t="s">
        <v>28</v>
      </c>
      <c r="S79" s="67" t="s">
        <v>56</v>
      </c>
      <c r="T79" s="67" t="s">
        <v>29</v>
      </c>
      <c r="U79" s="67" t="s">
        <v>30</v>
      </c>
      <c r="V79" s="67" t="s">
        <v>31</v>
      </c>
      <c r="W79" s="67" t="s">
        <v>32</v>
      </c>
    </row>
    <row r="80" spans="1:30" ht="12.95" customHeight="1" x14ac:dyDescent="0.3">
      <c r="A80" s="61"/>
      <c r="B80" s="68" t="str">
        <f>HYPERLINK("https://us-east-2-production9-hive-20200324201045952400000002.s3.amazonaws.com/import-files/timberland/product_images/original-TB0A5ZZK_214_P_1.png","TB0A5ZZK2141")</f>
        <v>TB0A5ZZK2141</v>
      </c>
      <c r="C80" s="61" t="s">
        <v>57</v>
      </c>
      <c r="D80" s="61" t="s">
        <v>68</v>
      </c>
      <c r="E80" s="61" t="s">
        <v>36</v>
      </c>
      <c r="F80" s="61" t="s">
        <v>109</v>
      </c>
      <c r="G80" s="69">
        <v>120</v>
      </c>
      <c r="H80" s="61">
        <f>J80+K80+L80+M80+N80+O80+P80+Q80+R80+T80+U80+V80+W80</f>
        <v>0</v>
      </c>
      <c r="I80" s="70">
        <f>(J80*WholesalePrice!J80)+(K80*WholesalePrice!K80)+(L80*WholesalePrice!L80)+(M80*WholesalePrice!M80)+(N80*WholesalePrice!N80)+(O80*WholesalePrice!O80)+(P80*WholesalePrice!P80)+(Q80*WholesalePrice!Q80)+(R80*WholesalePrice!R80)+(T80*WholesalePrice!T80)+(U80*WholesalePrice!U80)+(V80*WholesalePrice!V80)+(W80*WholesalePrice!W80)</f>
        <v>0</v>
      </c>
      <c r="J80" s="74"/>
      <c r="K80" s="71"/>
      <c r="L80" s="74"/>
      <c r="M80" s="74"/>
      <c r="N80" s="74"/>
      <c r="O80" s="71"/>
      <c r="P80" s="71"/>
      <c r="Q80" s="71"/>
      <c r="R80" s="74"/>
      <c r="S80" s="71"/>
      <c r="T80" s="74"/>
      <c r="U80" s="74"/>
      <c r="V80" s="71"/>
      <c r="W80" s="74"/>
    </row>
    <row r="81" spans="1:23" ht="12.95" customHeight="1" x14ac:dyDescent="0.3">
      <c r="A81" s="61"/>
      <c r="B81" s="68" t="str">
        <f>HYPERLINK("https://us-east-2-production9-hive-20200324201045952400000002.s3.amazonaws.com/import-files/timberland/product_images/original-TB0A6117_001_P_1.png","TB0A61170011")</f>
        <v>TB0A61170011</v>
      </c>
      <c r="C81" s="61" t="s">
        <v>57</v>
      </c>
      <c r="D81" s="61" t="s">
        <v>46</v>
      </c>
      <c r="E81" s="61" t="s">
        <v>36</v>
      </c>
      <c r="F81" s="61" t="s">
        <v>109</v>
      </c>
      <c r="G81" s="69">
        <v>120</v>
      </c>
      <c r="H81" s="61">
        <f>J81+K81+L81+M81+N81+O81+P81+Q81+R81+T81+U81+V81+W81</f>
        <v>0</v>
      </c>
      <c r="I81" s="70">
        <f>(J81*WholesalePrice!J81)+(K81*WholesalePrice!K81)+(L81*WholesalePrice!L81)+(M81*WholesalePrice!M81)+(N81*WholesalePrice!N81)+(O81*WholesalePrice!O81)+(P81*WholesalePrice!P81)+(Q81*WholesalePrice!Q81)+(R81*WholesalePrice!R81)+(T81*WholesalePrice!T81)+(U81*WholesalePrice!U81)+(V81*WholesalePrice!V81)+(W81*WholesalePrice!W81)</f>
        <v>0</v>
      </c>
      <c r="J81" s="74"/>
      <c r="K81" s="74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4"/>
      <c r="W81" s="74"/>
    </row>
    <row r="82" spans="1:23" ht="12.95" customHeight="1" x14ac:dyDescent="0.3">
      <c r="A82" s="61"/>
      <c r="B82" s="68" t="str">
        <f>HYPERLINK("https://us-east-2-production9-hive-20200324201045952400000002.s3.amazonaws.com/import-files/timberland/product_images/original-TB0A5X93_214_P_1.png","TB0A5X932141")</f>
        <v>TB0A5X932141</v>
      </c>
      <c r="C82" s="61" t="s">
        <v>34</v>
      </c>
      <c r="D82" s="61" t="s">
        <v>68</v>
      </c>
      <c r="E82" s="61" t="s">
        <v>36</v>
      </c>
      <c r="F82" s="61" t="s">
        <v>110</v>
      </c>
      <c r="G82" s="69">
        <v>125</v>
      </c>
      <c r="H82" s="61">
        <f>J82+K82+L82+M82+N82+O82+P82+Q82+R82+T82+U82+V82+W82</f>
        <v>0</v>
      </c>
      <c r="I82" s="70">
        <f>(J82*WholesalePrice!J82)+(K82*WholesalePrice!K82)+(L82*WholesalePrice!L82)+(M82*WholesalePrice!M82)+(N82*WholesalePrice!N82)+(O82*WholesalePrice!O82)+(P82*WholesalePrice!P82)+(Q82*WholesalePrice!Q82)+(R82*WholesalePrice!R82)+(T82*WholesalePrice!T82)+(U82*WholesalePrice!U82)+(V82*WholesalePrice!V82)+(W82*WholesalePrice!W82)</f>
        <v>0</v>
      </c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4"/>
      <c r="V82" s="71"/>
      <c r="W82" s="71"/>
    </row>
    <row r="83" spans="1:23" ht="12.95" customHeight="1" x14ac:dyDescent="0.3">
      <c r="A83" s="61"/>
      <c r="B83" s="68" t="str">
        <f>HYPERLINK("https://us-east-2-production9-hive-20200324201045952400000002.s3.amazonaws.com/import-files/timberland/product_images/original-TB0A5YYF_001_P_1.png","TB0A5YYF0011")</f>
        <v>TB0A5YYF0011</v>
      </c>
      <c r="C83" s="61" t="s">
        <v>34</v>
      </c>
      <c r="D83" s="61" t="s">
        <v>46</v>
      </c>
      <c r="E83" s="61" t="s">
        <v>36</v>
      </c>
      <c r="F83" s="61" t="s">
        <v>110</v>
      </c>
      <c r="G83" s="69">
        <v>125</v>
      </c>
      <c r="H83" s="61">
        <f>J83+K83+L83+M83+N83+O83+P83+Q83+R83+S83+T83+U83+V83+W83</f>
        <v>0</v>
      </c>
      <c r="I83" s="70">
        <f>(J83*WholesalePrice!J83)+(K83*WholesalePrice!K83)+(L83*WholesalePrice!L83)+(M83*WholesalePrice!M83)+(N83*WholesalePrice!N83)+(O83*WholesalePrice!O83)+(P83*WholesalePrice!P83)+(Q83*WholesalePrice!Q83)+(R83*WholesalePrice!R83)+(S83*WholesalePrice!S83)+(T83*WholesalePrice!T83)+(U83*WholesalePrice!U83)+(V83*WholesalePrice!V83)+(W83*WholesalePrice!W83)</f>
        <v>0</v>
      </c>
      <c r="J83" s="71"/>
      <c r="K83" s="71"/>
      <c r="L83" s="71"/>
      <c r="M83" s="71"/>
      <c r="N83" s="71"/>
      <c r="O83" s="74"/>
      <c r="P83" s="71"/>
      <c r="Q83" s="74"/>
      <c r="R83" s="74"/>
      <c r="S83" s="71"/>
      <c r="T83" s="71"/>
      <c r="U83" s="71"/>
      <c r="V83" s="71"/>
      <c r="W83" s="71"/>
    </row>
    <row r="84" spans="1:23" ht="14.25" x14ac:dyDescent="0.3">
      <c r="A84" s="66" t="s">
        <v>111</v>
      </c>
      <c r="B84" s="61"/>
      <c r="C84" s="61"/>
      <c r="D84" s="61"/>
      <c r="E84" s="61"/>
      <c r="F84" s="61"/>
      <c r="G84" s="61" t="s">
        <v>9</v>
      </c>
      <c r="H84" s="61" t="s">
        <v>9</v>
      </c>
      <c r="I84" s="61" t="s">
        <v>9</v>
      </c>
      <c r="J84" s="67" t="s">
        <v>20</v>
      </c>
      <c r="K84" s="67" t="s">
        <v>21</v>
      </c>
      <c r="L84" s="67" t="s">
        <v>22</v>
      </c>
      <c r="M84" s="67" t="s">
        <v>23</v>
      </c>
      <c r="N84" s="67" t="s">
        <v>24</v>
      </c>
      <c r="O84" s="67" t="s">
        <v>25</v>
      </c>
      <c r="P84" s="67" t="s">
        <v>26</v>
      </c>
      <c r="Q84" s="67" t="s">
        <v>27</v>
      </c>
      <c r="R84" s="67" t="s">
        <v>28</v>
      </c>
      <c r="S84" s="67" t="s">
        <v>56</v>
      </c>
      <c r="T84" s="67" t="s">
        <v>29</v>
      </c>
      <c r="U84" s="67" t="s">
        <v>30</v>
      </c>
      <c r="V84" s="67" t="s">
        <v>31</v>
      </c>
      <c r="W84" s="67" t="s">
        <v>32</v>
      </c>
    </row>
    <row r="85" spans="1:23" ht="12.95" customHeight="1" x14ac:dyDescent="0.3">
      <c r="A85" s="61"/>
      <c r="B85" s="68" t="str">
        <f>HYPERLINK("https://us-east-2-production9-hive-20200324201045952400000002.s3.amazonaws.com/import-files/timberland/product_images/original-TB0A67SF_EL0_P_1.png","TB0A67SFEL01")</f>
        <v>TB0A67SFEL01</v>
      </c>
      <c r="C85" s="61" t="s">
        <v>57</v>
      </c>
      <c r="D85" s="61" t="s">
        <v>112</v>
      </c>
      <c r="E85" s="61" t="s">
        <v>36</v>
      </c>
      <c r="F85" s="61" t="s">
        <v>113</v>
      </c>
      <c r="G85" s="69">
        <v>70</v>
      </c>
      <c r="H85" s="61">
        <f>J85+K85+L85+M85+N85+O85+P85+Q85+R85+S85+T85+U85+V85+W85</f>
        <v>0</v>
      </c>
      <c r="I85" s="70">
        <f>(J85*WholesalePrice!J85)+(K85*WholesalePrice!K85)+(L85*WholesalePrice!L85)+(M85*WholesalePrice!M85)+(N85*WholesalePrice!N85)+(O85*WholesalePrice!O85)+(P85*WholesalePrice!P85)+(Q85*WholesalePrice!Q85)+(R85*WholesalePrice!R85)+(S85*WholesalePrice!S85)+(T85*WholesalePrice!T85)+(U85*WholesalePrice!U85)+(V85*WholesalePrice!V85)+(W85*WholesalePrice!W85)</f>
        <v>0</v>
      </c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</row>
    <row r="86" spans="1:23" ht="12.95" customHeight="1" x14ac:dyDescent="0.3">
      <c r="A86" s="61"/>
      <c r="B86" s="68" t="str">
        <f>HYPERLINK("https://us-east-2-production9-hive-20200324201045952400000002.s3.amazonaws.com/import-files/timberland/product_images/original-TB0A67SF_EL0_P_1.png","TB0A67SFEL01")</f>
        <v>TB0A67SFEL01</v>
      </c>
      <c r="C86" s="61" t="s">
        <v>34</v>
      </c>
      <c r="D86" s="61" t="s">
        <v>112</v>
      </c>
      <c r="E86" s="61" t="s">
        <v>36</v>
      </c>
      <c r="F86" s="61" t="s">
        <v>113</v>
      </c>
      <c r="G86" s="69">
        <v>70</v>
      </c>
      <c r="H86" s="61">
        <f>J86+K86+L86+M86+N86+O86+P86+Q86+R86+S86+T86+U86+V86+W86</f>
        <v>0</v>
      </c>
      <c r="I86" s="70">
        <f>(J86*WholesalePrice!J86)+(K86*WholesalePrice!K86)+(L86*WholesalePrice!L86)+(M86*WholesalePrice!M86)+(N86*WholesalePrice!N86)+(O86*WholesalePrice!O86)+(P86*WholesalePrice!P86)+(Q86*WholesalePrice!Q86)+(R86*WholesalePrice!R86)+(S86*WholesalePrice!S86)+(T86*WholesalePrice!T86)+(U86*WholesalePrice!U86)+(V86*WholesalePrice!V86)+(W86*WholesalePrice!W86)</f>
        <v>0</v>
      </c>
      <c r="J86" s="74"/>
      <c r="K86" s="74"/>
      <c r="L86" s="74"/>
      <c r="M86" s="74"/>
      <c r="N86" s="74"/>
      <c r="O86" s="74"/>
      <c r="P86" s="74"/>
      <c r="Q86" s="74"/>
      <c r="R86" s="74"/>
      <c r="S86" s="71"/>
      <c r="T86" s="74"/>
      <c r="U86" s="71"/>
      <c r="V86" s="71"/>
      <c r="W86" s="71"/>
    </row>
    <row r="87" spans="1:23" ht="12.95" customHeight="1" x14ac:dyDescent="0.3">
      <c r="A87" s="61"/>
      <c r="B87" s="68" t="str">
        <f>HYPERLINK("https://us-east-2-production9-hive-20200324201045952400000002.s3.amazonaws.com/import-files/timberland/product_images/original-TB0A6167_001_P_1.png","TB0A61670011")</f>
        <v>TB0A61670011</v>
      </c>
      <c r="C87" s="61" t="s">
        <v>34</v>
      </c>
      <c r="D87" s="61" t="s">
        <v>46</v>
      </c>
      <c r="E87" s="61" t="s">
        <v>36</v>
      </c>
      <c r="F87" s="61" t="s">
        <v>45</v>
      </c>
      <c r="G87" s="69">
        <v>90</v>
      </c>
      <c r="H87" s="61">
        <f>J87+K87+L87+M87+N87+O87+P87+Q87+R87+T87+U87+V87+W87</f>
        <v>0</v>
      </c>
      <c r="I87" s="70">
        <f>(J87*WholesalePrice!J87)+(K87*WholesalePrice!K87)+(L87*WholesalePrice!L87)+(M87*WholesalePrice!M87)+(N87*WholesalePrice!N87)+(O87*WholesalePrice!O87)+(P87*WholesalePrice!P87)+(Q87*WholesalePrice!Q87)+(R87*WholesalePrice!R87)+(T87*WholesalePrice!T87)+(U87*WholesalePrice!U87)+(V87*WholesalePrice!V87)+(W87*WholesalePrice!W87)</f>
        <v>0</v>
      </c>
      <c r="J87" s="74"/>
      <c r="K87" s="74"/>
      <c r="L87" s="74"/>
      <c r="M87" s="74"/>
      <c r="N87" s="74"/>
      <c r="O87" s="71"/>
      <c r="P87" s="71"/>
      <c r="Q87" s="71"/>
      <c r="R87" s="71"/>
      <c r="S87" s="71"/>
      <c r="T87" s="71"/>
      <c r="U87" s="74"/>
      <c r="V87" s="74"/>
      <c r="W87" s="74"/>
    </row>
    <row r="88" spans="1:23" ht="14.25" x14ac:dyDescent="0.3">
      <c r="A88" s="66" t="s">
        <v>114</v>
      </c>
      <c r="B88" s="61"/>
      <c r="C88" s="61"/>
      <c r="D88" s="61"/>
      <c r="E88" s="61"/>
      <c r="F88" s="61"/>
      <c r="G88" s="61" t="s">
        <v>9</v>
      </c>
      <c r="H88" s="61" t="s">
        <v>9</v>
      </c>
      <c r="I88" s="61" t="s">
        <v>9</v>
      </c>
      <c r="J88" s="67" t="s">
        <v>20</v>
      </c>
      <c r="K88" s="67" t="s">
        <v>21</v>
      </c>
      <c r="L88" s="67" t="s">
        <v>22</v>
      </c>
      <c r="M88" s="67" t="s">
        <v>23</v>
      </c>
      <c r="N88" s="67" t="s">
        <v>24</v>
      </c>
      <c r="O88" s="67" t="s">
        <v>25</v>
      </c>
      <c r="P88" s="67" t="s">
        <v>26</v>
      </c>
      <c r="Q88" s="67" t="s">
        <v>27</v>
      </c>
      <c r="R88" s="67" t="s">
        <v>28</v>
      </c>
      <c r="S88" s="67" t="s">
        <v>56</v>
      </c>
      <c r="T88" s="67" t="s">
        <v>29</v>
      </c>
      <c r="U88" s="67" t="s">
        <v>30</v>
      </c>
      <c r="V88" s="67" t="s">
        <v>31</v>
      </c>
      <c r="W88" s="67" t="s">
        <v>32</v>
      </c>
    </row>
    <row r="89" spans="1:23" ht="12.95" customHeight="1" x14ac:dyDescent="0.3">
      <c r="A89" s="61"/>
      <c r="B89" s="68" t="str">
        <f>HYPERLINK("https://us-east-2-production9-hive-20200324201045952400000002.s3.amazonaws.com/import-files/timberland/product_images/original-TB1A278X_001_P_1.png","TB1A278X0011")</f>
        <v>TB1A278X0011</v>
      </c>
      <c r="C89" s="61" t="s">
        <v>34</v>
      </c>
      <c r="D89" s="61" t="s">
        <v>46</v>
      </c>
      <c r="E89" s="61" t="s">
        <v>36</v>
      </c>
      <c r="F89" s="61" t="s">
        <v>115</v>
      </c>
      <c r="G89" s="69">
        <v>90</v>
      </c>
      <c r="H89" s="61">
        <f>J89+K89+L89+M89+N89+O89+P89+Q89+R89+T89+U89+V89+W89</f>
        <v>0</v>
      </c>
      <c r="I89" s="70">
        <f>(J89*WholesalePrice!J89)+(K89*WholesalePrice!K89)+(L89*WholesalePrice!L89)+(M89*WholesalePrice!M89)+(N89*WholesalePrice!N89)+(O89*WholesalePrice!O89)+(P89*WholesalePrice!P89)+(Q89*WholesalePrice!Q89)+(R89*WholesalePrice!R89)+(T89*WholesalePrice!T89)+(U89*WholesalePrice!U89)+(V89*WholesalePrice!V89)+(W89*WholesalePrice!W89)</f>
        <v>0</v>
      </c>
      <c r="J89" s="74"/>
      <c r="K89" s="71"/>
      <c r="L89" s="71"/>
      <c r="M89" s="71"/>
      <c r="N89" s="74"/>
      <c r="O89" s="74"/>
      <c r="P89" s="71"/>
      <c r="Q89" s="74"/>
      <c r="R89" s="71"/>
      <c r="S89" s="71"/>
      <c r="T89" s="74"/>
      <c r="U89" s="74"/>
      <c r="V89" s="74"/>
      <c r="W89" s="74"/>
    </row>
    <row r="90" spans="1:23" ht="12.95" customHeight="1" x14ac:dyDescent="0.3">
      <c r="A90" s="61"/>
      <c r="B90" s="68" t="str">
        <f>HYPERLINK("https://us-east-2-production9-hive-20200324201045952400000002.s3.amazonaws.com/import-files/timberland/product_images/original-TB1A2CB8_001_P_1.png","TB1A2CB80011")</f>
        <v>TB1A2CB80011</v>
      </c>
      <c r="C90" s="61" t="s">
        <v>57</v>
      </c>
      <c r="D90" s="61" t="s">
        <v>46</v>
      </c>
      <c r="E90" s="61" t="s">
        <v>36</v>
      </c>
      <c r="F90" s="61" t="s">
        <v>116</v>
      </c>
      <c r="G90" s="69">
        <v>115</v>
      </c>
      <c r="H90" s="61">
        <f>J90+K90+L90+M90+N90+O90+P90+Q90+R90+S90+T90+U90+V90+W90</f>
        <v>0</v>
      </c>
      <c r="I90" s="70">
        <f>(J90*WholesalePrice!J90)+(K90*WholesalePrice!K90)+(L90*WholesalePrice!L90)+(M90*WholesalePrice!M90)+(N90*WholesalePrice!N90)+(O90*WholesalePrice!O90)+(P90*WholesalePrice!P90)+(Q90*WholesalePrice!Q90)+(R90*WholesalePrice!R90)+(S90*WholesalePrice!S90)+(T90*WholesalePrice!T90)+(U90*WholesalePrice!U90)+(V90*WholesalePrice!V90)+(W90*WholesalePrice!W90)</f>
        <v>0</v>
      </c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</row>
    <row r="91" spans="1:23" ht="12.95" customHeight="1" x14ac:dyDescent="0.3">
      <c r="A91" s="61"/>
      <c r="B91" s="68" t="str">
        <f>HYPERLINK("https://us-east-2-production9-hive-20200324201045952400000002.s3.amazonaws.com/import-files/timberland/product_images/original-TB1A2CB8_001_P_1.png","TB1A2CB80011")</f>
        <v>TB1A2CB80011</v>
      </c>
      <c r="C91" s="61" t="s">
        <v>34</v>
      </c>
      <c r="D91" s="61" t="s">
        <v>46</v>
      </c>
      <c r="E91" s="61" t="s">
        <v>36</v>
      </c>
      <c r="F91" s="61" t="s">
        <v>116</v>
      </c>
      <c r="G91" s="69">
        <v>115</v>
      </c>
      <c r="H91" s="61">
        <f>J91+K91+L91+M91+N91+O91+P91+Q91+R91+S91+T91+U91+V91+W91</f>
        <v>0</v>
      </c>
      <c r="I91" s="70">
        <f>(J91*WholesalePrice!J91)+(K91*WholesalePrice!K91)+(L91*WholesalePrice!L91)+(M91*WholesalePrice!M91)+(N91*WholesalePrice!N91)+(O91*WholesalePrice!O91)+(P91*WholesalePrice!P91)+(Q91*WholesalePrice!Q91)+(R91*WholesalePrice!R91)+(S91*WholesalePrice!S91)+(T91*WholesalePrice!T91)+(U91*WholesalePrice!U91)+(V91*WholesalePrice!V91)+(W91*WholesalePrice!W91)</f>
        <v>0</v>
      </c>
      <c r="J91" s="71"/>
      <c r="K91" s="71"/>
      <c r="L91" s="71"/>
      <c r="M91" s="74"/>
      <c r="N91" s="74"/>
      <c r="O91" s="74"/>
      <c r="P91" s="74"/>
      <c r="Q91" s="71"/>
      <c r="R91" s="71"/>
      <c r="S91" s="71"/>
      <c r="T91" s="74"/>
      <c r="U91" s="74"/>
      <c r="V91" s="71"/>
      <c r="W91" s="71"/>
    </row>
    <row r="92" spans="1:23" ht="12.95" customHeight="1" x14ac:dyDescent="0.3">
      <c r="A92" s="61"/>
      <c r="B92" s="68" t="str">
        <f>HYPERLINK("https://us-east-2-production9-hive-20200324201045952400000002.s3.amazonaws.com/import-files/timberland/product_images/original-TB0A61T7_214_P_1.png","TB0A61T72141")</f>
        <v>TB0A61T72141</v>
      </c>
      <c r="C92" s="61" t="s">
        <v>34</v>
      </c>
      <c r="D92" s="61" t="s">
        <v>68</v>
      </c>
      <c r="E92" s="61" t="s">
        <v>36</v>
      </c>
      <c r="F92" s="61" t="s">
        <v>117</v>
      </c>
      <c r="G92" s="69">
        <v>90</v>
      </c>
      <c r="H92" s="61">
        <f>J92+K92+L92+M92+N92+O92+P92+Q92+R92+T92+U92+V92+W92</f>
        <v>0</v>
      </c>
      <c r="I92" s="70">
        <f>(J92*WholesalePrice!J92)+(K92*WholesalePrice!K92)+(L92*WholesalePrice!L92)+(M92*WholesalePrice!M92)+(N92*WholesalePrice!N92)+(O92*WholesalePrice!O92)+(P92*WholesalePrice!P92)+(Q92*WholesalePrice!Q92)+(R92*WholesalePrice!R92)+(T92*WholesalePrice!T92)+(U92*WholesalePrice!U92)+(V92*WholesalePrice!V92)+(W92*WholesalePrice!W92)</f>
        <v>0</v>
      </c>
      <c r="J92" s="71"/>
      <c r="K92" s="71"/>
      <c r="L92" s="71"/>
      <c r="M92" s="71"/>
      <c r="N92" s="71"/>
      <c r="O92" s="71"/>
      <c r="P92" s="71"/>
      <c r="Q92" s="74"/>
      <c r="R92" s="71"/>
      <c r="S92" s="71"/>
      <c r="T92" s="74"/>
      <c r="U92" s="74"/>
      <c r="V92" s="71"/>
      <c r="W92" s="71"/>
    </row>
    <row r="93" spans="1:23" ht="12.95" customHeight="1" x14ac:dyDescent="0.3">
      <c r="A93" s="61"/>
      <c r="B93" s="68" t="str">
        <f>HYPERLINK("https://us-east-2-production9-hive-20200324201045952400000002.s3.amazonaws.com/import-files/timberland/product_images/original-TB1A27XS_214_P_1.png","TB1A27XS2141")</f>
        <v>TB1A27XS2141</v>
      </c>
      <c r="C93" s="61" t="s">
        <v>34</v>
      </c>
      <c r="D93" s="61" t="s">
        <v>68</v>
      </c>
      <c r="E93" s="61" t="s">
        <v>36</v>
      </c>
      <c r="F93" s="61" t="s">
        <v>118</v>
      </c>
      <c r="G93" s="69">
        <v>80</v>
      </c>
      <c r="H93" s="61">
        <f>J93+K93+L93+M93+N93+O93+P93+Q93+R93+T93+U93+V93+W93</f>
        <v>0</v>
      </c>
      <c r="I93" s="70">
        <f>(J93*WholesalePrice!J93)+(K93*WholesalePrice!K93)+(L93*WholesalePrice!L93)+(M93*WholesalePrice!M93)+(N93*WholesalePrice!N93)+(O93*WholesalePrice!O93)+(P93*WholesalePrice!P93)+(Q93*WholesalePrice!Q93)+(R93*WholesalePrice!R93)+(T93*WholesalePrice!T93)+(U93*WholesalePrice!U93)+(V93*WholesalePrice!V93)+(W93*WholesalePrice!W93)</f>
        <v>0</v>
      </c>
      <c r="J93" s="74"/>
      <c r="K93" s="74"/>
      <c r="L93" s="74"/>
      <c r="M93" s="74"/>
      <c r="N93" s="74"/>
      <c r="O93" s="74"/>
      <c r="P93" s="74"/>
      <c r="Q93" s="74"/>
      <c r="R93" s="74"/>
      <c r="S93" s="71"/>
      <c r="T93" s="74"/>
      <c r="U93" s="74"/>
      <c r="V93" s="74"/>
      <c r="W93" s="74"/>
    </row>
    <row r="94" spans="1:23" ht="12.95" customHeight="1" x14ac:dyDescent="0.3">
      <c r="A94" s="61"/>
      <c r="B94" s="68" t="str">
        <f>HYPERLINK("https://us-east-2-production9-hive-20200324201045952400000002.s3.amazonaws.com/import-files/timberland/product_images/original-TB0A63XB_EPB_P_1.png","TB0A63XBEPB1")</f>
        <v>TB0A63XBEPB1</v>
      </c>
      <c r="C94" s="61" t="s">
        <v>34</v>
      </c>
      <c r="D94" s="61" t="s">
        <v>119</v>
      </c>
      <c r="E94" s="61" t="s">
        <v>36</v>
      </c>
      <c r="F94" s="61" t="s">
        <v>120</v>
      </c>
      <c r="G94" s="69">
        <v>100</v>
      </c>
      <c r="H94" s="61">
        <f>J94+K94+L94+M94+N94+O94+P94+Q94+R94+T94+U94+V94+W94</f>
        <v>0</v>
      </c>
      <c r="I94" s="70">
        <f>(J94*WholesalePrice!J94)+(K94*WholesalePrice!K94)+(L94*WholesalePrice!L94)+(M94*WholesalePrice!M94)+(N94*WholesalePrice!N94)+(O94*WholesalePrice!O94)+(P94*WholesalePrice!P94)+(Q94*WholesalePrice!Q94)+(R94*WholesalePrice!R94)+(T94*WholesalePrice!T94)+(U94*WholesalePrice!U94)+(V94*WholesalePrice!V94)+(W94*WholesalePrice!W94)</f>
        <v>0</v>
      </c>
      <c r="J94" s="74"/>
      <c r="K94" s="74"/>
      <c r="L94" s="74"/>
      <c r="M94" s="74"/>
      <c r="N94" s="74"/>
      <c r="O94" s="74"/>
      <c r="P94" s="74"/>
      <c r="Q94" s="74"/>
      <c r="R94" s="74"/>
      <c r="S94" s="71"/>
      <c r="T94" s="74"/>
      <c r="U94" s="74"/>
      <c r="V94" s="74"/>
      <c r="W94" s="74"/>
    </row>
    <row r="95" spans="1:23" ht="12.95" customHeight="1" x14ac:dyDescent="0.3">
      <c r="A95" s="61"/>
      <c r="B95" s="68" t="str">
        <f>HYPERLINK("https://us-east-2-production9-hive-20200324201045952400000002.s3.amazonaws.com/import-files/timberland/product_images/original-TB0A63XY_EK5_P_1.png","TB0A63XYEK51")</f>
        <v>TB0A63XYEK51</v>
      </c>
      <c r="C95" s="61" t="s">
        <v>34</v>
      </c>
      <c r="D95" s="61" t="s">
        <v>38</v>
      </c>
      <c r="E95" s="61" t="s">
        <v>36</v>
      </c>
      <c r="F95" s="61" t="s">
        <v>121</v>
      </c>
      <c r="G95" s="69">
        <v>95</v>
      </c>
      <c r="H95" s="61">
        <f>J95+K95+L95+M95+N95+O95+P95+Q95+R95+T95+U95+V95+W95</f>
        <v>0</v>
      </c>
      <c r="I95" s="70">
        <f>(J95*WholesalePrice!J95)+(K95*WholesalePrice!K95)+(L95*WholesalePrice!L95)+(M95*WholesalePrice!M95)+(N95*WholesalePrice!N95)+(O95*WholesalePrice!O95)+(P95*WholesalePrice!P95)+(Q95*WholesalePrice!Q95)+(R95*WholesalePrice!R95)+(T95*WholesalePrice!T95)+(U95*WholesalePrice!U95)+(V95*WholesalePrice!V95)+(W95*WholesalePrice!W95)</f>
        <v>0</v>
      </c>
      <c r="J95" s="71"/>
      <c r="K95" s="74"/>
      <c r="L95" s="74"/>
      <c r="M95" s="71"/>
      <c r="N95" s="71"/>
      <c r="O95" s="71"/>
      <c r="P95" s="71"/>
      <c r="Q95" s="71"/>
      <c r="R95" s="71"/>
      <c r="S95" s="71"/>
      <c r="T95" s="71"/>
      <c r="U95" s="74"/>
      <c r="V95" s="74"/>
      <c r="W95" s="71"/>
    </row>
    <row r="96" spans="1:23" ht="14.25" x14ac:dyDescent="0.3">
      <c r="A96" s="66" t="s">
        <v>122</v>
      </c>
      <c r="B96" s="61"/>
      <c r="C96" s="61"/>
      <c r="D96" s="61"/>
      <c r="E96" s="61"/>
      <c r="F96" s="61"/>
      <c r="G96" s="61" t="s">
        <v>9</v>
      </c>
      <c r="H96" s="61" t="s">
        <v>9</v>
      </c>
      <c r="I96" s="61" t="s">
        <v>9</v>
      </c>
      <c r="J96" s="67" t="s">
        <v>20</v>
      </c>
      <c r="K96" s="67" t="s">
        <v>21</v>
      </c>
      <c r="L96" s="67" t="s">
        <v>22</v>
      </c>
      <c r="M96" s="67" t="s">
        <v>23</v>
      </c>
      <c r="N96" s="67" t="s">
        <v>24</v>
      </c>
      <c r="O96" s="67" t="s">
        <v>25</v>
      </c>
      <c r="P96" s="67" t="s">
        <v>26</v>
      </c>
      <c r="Q96" s="67" t="s">
        <v>27</v>
      </c>
      <c r="R96" s="67" t="s">
        <v>28</v>
      </c>
      <c r="S96" s="67" t="s">
        <v>29</v>
      </c>
      <c r="T96" s="67" t="s">
        <v>30</v>
      </c>
      <c r="U96" s="67" t="s">
        <v>31</v>
      </c>
      <c r="V96" s="67" t="s">
        <v>32</v>
      </c>
    </row>
    <row r="97" spans="1:22" ht="12.95" customHeight="1" x14ac:dyDescent="0.3">
      <c r="A97" s="61"/>
      <c r="B97" s="68" t="str">
        <f>HYPERLINK("https://us-east-2-production9-hive-20200324201045952400000002.s3.amazonaws.com/import-files/timberland/product_images/original-TB0A5MAN_EM4_P_1.png","TB0A5MANEM41")</f>
        <v>TB0A5MANEM41</v>
      </c>
      <c r="C97" s="61" t="s">
        <v>34</v>
      </c>
      <c r="D97" s="61" t="s">
        <v>61</v>
      </c>
      <c r="E97" s="61" t="s">
        <v>36</v>
      </c>
      <c r="F97" s="61" t="s">
        <v>123</v>
      </c>
      <c r="G97" s="69">
        <v>165</v>
      </c>
      <c r="H97" s="61">
        <f>J97+K97+L97+M97+N97+O97+P97+Q97+R97+S97+T97+U97+V97</f>
        <v>0</v>
      </c>
      <c r="I97" s="70">
        <f>(J97*WholesalePrice!J97)+(K97*WholesalePrice!K97)+(L97*WholesalePrice!L97)+(M97*WholesalePrice!M97)+(N97*WholesalePrice!N97)+(O97*WholesalePrice!O97)+(P97*WholesalePrice!P97)+(Q97*WholesalePrice!Q97)+(R97*WholesalePrice!R97)+(S97*WholesalePrice!S97)+(T97*WholesalePrice!T97)+(U97*WholesalePrice!U97)+(V97*WholesalePrice!V97)</f>
        <v>0</v>
      </c>
      <c r="J97" s="71"/>
      <c r="K97" s="71"/>
      <c r="L97" s="74"/>
      <c r="M97" s="74"/>
      <c r="N97" s="74"/>
      <c r="O97" s="74"/>
      <c r="P97" s="74"/>
      <c r="Q97" s="74"/>
      <c r="R97" s="74"/>
      <c r="S97" s="74"/>
      <c r="T97" s="74"/>
      <c r="U97" s="71"/>
      <c r="V97" s="71"/>
    </row>
    <row r="98" spans="1:22" ht="12.95" customHeight="1" x14ac:dyDescent="0.3">
      <c r="A98" s="61"/>
      <c r="B98" s="68" t="str">
        <f>HYPERLINK("https://us-east-2-production9-hive-20200324201045952400000002.s3.amazonaws.com/import-files/timberland/product_images/original-TB1A5U6Y_214_P_1.png","TB1A5U6Y2141")</f>
        <v>TB1A5U6Y2141</v>
      </c>
      <c r="C98" s="61" t="s">
        <v>34</v>
      </c>
      <c r="D98" s="61" t="s">
        <v>68</v>
      </c>
      <c r="E98" s="61" t="s">
        <v>36</v>
      </c>
      <c r="F98" s="61" t="s">
        <v>124</v>
      </c>
      <c r="G98" s="69">
        <v>155</v>
      </c>
      <c r="H98" s="61">
        <f>J98+K98+L98+M98+N98+O98+P98+Q98+R98+S98+T98+U98+V98</f>
        <v>0</v>
      </c>
      <c r="I98" s="70">
        <f>(J98*WholesalePrice!J98)+(K98*WholesalePrice!K98)+(L98*WholesalePrice!L98)+(M98*WholesalePrice!M98)+(N98*WholesalePrice!N98)+(O98*WholesalePrice!O98)+(P98*WholesalePrice!P98)+(Q98*WholesalePrice!Q98)+(R98*WholesalePrice!R98)+(S98*WholesalePrice!S98)+(T98*WholesalePrice!T98)+(U98*WholesalePrice!U98)+(V98*WholesalePrice!V98)</f>
        <v>0</v>
      </c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ht="12.95" customHeight="1" x14ac:dyDescent="0.3">
      <c r="A99" s="61"/>
      <c r="B99" s="68" t="str">
        <f>HYPERLINK("https://us-east-2-production9-hive-20200324201045952400000002.s3.amazonaws.com/import-files/timberland/product_images/original-TB1A4499_214_P_1.png","TB1A44992141")</f>
        <v>TB1A44992141</v>
      </c>
      <c r="C99" s="61" t="s">
        <v>34</v>
      </c>
      <c r="D99" s="61" t="s">
        <v>68</v>
      </c>
      <c r="E99" s="61" t="s">
        <v>36</v>
      </c>
      <c r="F99" s="61" t="s">
        <v>125</v>
      </c>
      <c r="G99" s="69">
        <v>160</v>
      </c>
      <c r="H99" s="61">
        <f>J99+K99+L99+M99+N99+O99+P99+Q99+R99+S99+T99+U99+V99</f>
        <v>0</v>
      </c>
      <c r="I99" s="70">
        <f>(J99*WholesalePrice!J99)+(K99*WholesalePrice!K99)+(L99*WholesalePrice!L99)+(M99*WholesalePrice!M99)+(N99*WholesalePrice!N99)+(O99*WholesalePrice!O99)+(P99*WholesalePrice!P99)+(Q99*WholesalePrice!Q99)+(R99*WholesalePrice!R99)+(S99*WholesalePrice!S99)+(T99*WholesalePrice!T99)+(U99*WholesalePrice!U99)+(V99*WholesalePrice!V99)</f>
        <v>0</v>
      </c>
      <c r="J99" s="71"/>
      <c r="K99" s="71"/>
      <c r="L99" s="74"/>
      <c r="M99" s="74"/>
      <c r="N99" s="71"/>
      <c r="O99" s="71"/>
      <c r="P99" s="71"/>
      <c r="Q99" s="71"/>
      <c r="R99" s="71"/>
      <c r="S99" s="71"/>
      <c r="T99" s="71"/>
      <c r="U99" s="71"/>
      <c r="V99" s="71"/>
    </row>
    <row r="100" spans="1:22" ht="14.25" x14ac:dyDescent="0.3">
      <c r="A100" s="66" t="s">
        <v>126</v>
      </c>
      <c r="B100" s="61"/>
      <c r="C100" s="61"/>
      <c r="D100" s="61"/>
      <c r="E100" s="61"/>
      <c r="F100" s="61"/>
      <c r="G100" s="61" t="s">
        <v>9</v>
      </c>
      <c r="H100" s="61" t="s">
        <v>9</v>
      </c>
      <c r="I100" s="61" t="s">
        <v>9</v>
      </c>
      <c r="J100" s="67" t="s">
        <v>50</v>
      </c>
      <c r="K100" s="67" t="s">
        <v>52</v>
      </c>
      <c r="L100" s="67" t="s">
        <v>54</v>
      </c>
      <c r="M100" s="67" t="s">
        <v>20</v>
      </c>
      <c r="N100" s="67" t="s">
        <v>22</v>
      </c>
      <c r="O100" s="67" t="s">
        <v>24</v>
      </c>
      <c r="P100" s="67" t="s">
        <v>26</v>
      </c>
      <c r="Q100" s="67" t="s">
        <v>28</v>
      </c>
      <c r="R100" s="67" t="s">
        <v>29</v>
      </c>
      <c r="S100" s="67" t="s">
        <v>30</v>
      </c>
      <c r="T100" s="67" t="s">
        <v>31</v>
      </c>
      <c r="U100" s="67" t="s">
        <v>32</v>
      </c>
      <c r="V100" s="67" t="s">
        <v>127</v>
      </c>
    </row>
    <row r="101" spans="1:22" ht="12.95" customHeight="1" x14ac:dyDescent="0.3">
      <c r="A101" s="61"/>
      <c r="B101" s="68" t="str">
        <f>HYPERLINK("https://us-east-2-production9-hive-20200324201045952400000002.s3.amazonaws.com/import-files/timberland/product_images/original-TB1A5QXJ_001_P_1.png","TB1A5QXJ0011")</f>
        <v>TB1A5QXJ0011</v>
      </c>
      <c r="C101" s="61" t="s">
        <v>34</v>
      </c>
      <c r="D101" s="61" t="s">
        <v>46</v>
      </c>
      <c r="E101" s="61" t="s">
        <v>36</v>
      </c>
      <c r="F101" s="61" t="s">
        <v>128</v>
      </c>
      <c r="G101" s="69">
        <v>187.5</v>
      </c>
      <c r="H101" s="61">
        <f>J101+K101+L101+M101+N101+O101+P101+Q101+R101+S101+T101+U101+V101</f>
        <v>0</v>
      </c>
      <c r="I101" s="70">
        <f>(J101*WholesalePrice!J101)+(K101*WholesalePrice!K101)+(L101*WholesalePrice!L101)+(M101*WholesalePrice!M101)+(N101*WholesalePrice!N101)+(O101*WholesalePrice!O101)+(P101*WholesalePrice!P101)+(Q101*WholesalePrice!Q101)+(R101*WholesalePrice!R101)+(S101*WholesalePrice!S101)+(T101*WholesalePrice!T101)+(U101*WholesalePrice!U101)+(V101*WholesalePrice!V101)</f>
        <v>0</v>
      </c>
      <c r="J101" s="74"/>
      <c r="K101" s="74"/>
      <c r="L101" s="74"/>
      <c r="M101" s="74"/>
      <c r="N101" s="71"/>
      <c r="O101" s="74"/>
      <c r="P101" s="71"/>
      <c r="Q101" s="71"/>
      <c r="R101" s="74"/>
      <c r="S101" s="71"/>
      <c r="T101" s="71"/>
      <c r="U101" s="74"/>
      <c r="V101" s="74"/>
    </row>
    <row r="102" spans="1:22" ht="14.25" x14ac:dyDescent="0.3">
      <c r="A102" s="66" t="s">
        <v>129</v>
      </c>
      <c r="B102" s="61"/>
      <c r="C102" s="61"/>
      <c r="D102" s="61"/>
      <c r="E102" s="61"/>
      <c r="F102" s="61"/>
      <c r="G102" s="61" t="s">
        <v>9</v>
      </c>
      <c r="H102" s="61" t="s">
        <v>9</v>
      </c>
      <c r="I102" s="61" t="s">
        <v>9</v>
      </c>
      <c r="J102" s="67" t="s">
        <v>53</v>
      </c>
      <c r="K102" s="67" t="s">
        <v>54</v>
      </c>
      <c r="L102" s="67" t="s">
        <v>55</v>
      </c>
      <c r="M102" s="67" t="s">
        <v>20</v>
      </c>
      <c r="N102" s="67" t="s">
        <v>21</v>
      </c>
      <c r="O102" s="67" t="s">
        <v>22</v>
      </c>
      <c r="P102" s="67" t="s">
        <v>23</v>
      </c>
      <c r="Q102" s="67" t="s">
        <v>24</v>
      </c>
      <c r="R102" s="67" t="s">
        <v>25</v>
      </c>
      <c r="S102" s="67" t="s">
        <v>26</v>
      </c>
      <c r="T102" s="67" t="s">
        <v>28</v>
      </c>
    </row>
    <row r="103" spans="1:22" ht="12.95" customHeight="1" x14ac:dyDescent="0.3">
      <c r="A103" s="61"/>
      <c r="B103" s="68" t="str">
        <f>HYPERLINK("https://us-east-2-production9-hive-20200324201045952400000002.s3.amazonaws.com/import-files/timberland/product_images/original-TB1A1KQS_001_P_1.png","TB1A1KQS0011")</f>
        <v>TB1A1KQS0011</v>
      </c>
      <c r="C103" s="61" t="s">
        <v>34</v>
      </c>
      <c r="D103" s="61" t="s">
        <v>46</v>
      </c>
      <c r="E103" s="61" t="s">
        <v>130</v>
      </c>
      <c r="F103" s="61" t="s">
        <v>131</v>
      </c>
      <c r="G103" s="69">
        <v>135</v>
      </c>
      <c r="H103" s="61">
        <f>J103+K103+L103+M103+N103+O103+P103+Q103+R103+S103+T103</f>
        <v>0</v>
      </c>
      <c r="I103" s="70">
        <f>(J103*WholesalePrice!J103)+(K103*WholesalePrice!K103)+(L103*WholesalePrice!L103)+(M103*WholesalePrice!M103)+(N103*WholesalePrice!N103)+(O103*WholesalePrice!O103)+(P103*WholesalePrice!P103)+(Q103*WholesalePrice!Q103)+(R103*WholesalePrice!R103)+(S103*WholesalePrice!S103)+(T103*WholesalePrice!T103)</f>
        <v>0</v>
      </c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</row>
    <row r="104" spans="1:22" ht="12.95" customHeight="1" x14ac:dyDescent="0.3">
      <c r="A104" s="61"/>
      <c r="B104" s="68" t="str">
        <f>HYPERLINK("https://us-east-2-production9-hive-20200324201045952400000002.s3.amazonaws.com/import-files/timberland/product_images/original-TB1A22SD_231_P_1.png","TB1A22SD2311")</f>
        <v>TB1A22SD2311</v>
      </c>
      <c r="C104" s="61" t="s">
        <v>34</v>
      </c>
      <c r="D104" s="61" t="s">
        <v>132</v>
      </c>
      <c r="E104" s="61" t="s">
        <v>130</v>
      </c>
      <c r="F104" s="61" t="s">
        <v>131</v>
      </c>
      <c r="G104" s="69">
        <v>135</v>
      </c>
      <c r="H104" s="61">
        <f>J104+K104+L104+M104+N104+O104+P104+Q104+R104+S104+T104</f>
        <v>0</v>
      </c>
      <c r="I104" s="70">
        <f>(J104*WholesalePrice!J104)+(K104*WholesalePrice!K104)+(L104*WholesalePrice!L104)+(M104*WholesalePrice!M104)+(N104*WholesalePrice!N104)+(O104*WholesalePrice!O104)+(P104*WholesalePrice!P104)+(Q104*WholesalePrice!Q104)+(R104*WholesalePrice!R104)+(S104*WholesalePrice!S104)+(T104*WholesalePrice!T104)</f>
        <v>0</v>
      </c>
      <c r="J104" s="71"/>
      <c r="K104" s="74"/>
      <c r="L104" s="71"/>
      <c r="M104" s="71"/>
      <c r="N104" s="71"/>
      <c r="O104" s="71"/>
      <c r="P104" s="71"/>
      <c r="Q104" s="71"/>
      <c r="R104" s="71"/>
      <c r="S104" s="71"/>
      <c r="T104" s="71"/>
    </row>
    <row r="105" spans="1:22" ht="14.25" x14ac:dyDescent="0.3">
      <c r="A105" s="66" t="s">
        <v>133</v>
      </c>
      <c r="B105" s="61"/>
      <c r="C105" s="61"/>
      <c r="D105" s="61"/>
      <c r="E105" s="61"/>
      <c r="F105" s="61"/>
      <c r="G105" s="61" t="s">
        <v>9</v>
      </c>
      <c r="H105" s="61" t="s">
        <v>9</v>
      </c>
      <c r="I105" s="61" t="s">
        <v>9</v>
      </c>
      <c r="J105" s="67" t="s">
        <v>52</v>
      </c>
      <c r="K105" s="67" t="s">
        <v>53</v>
      </c>
      <c r="L105" s="67" t="s">
        <v>54</v>
      </c>
      <c r="M105" s="67" t="s">
        <v>55</v>
      </c>
      <c r="N105" s="67" t="s">
        <v>20</v>
      </c>
      <c r="O105" s="67" t="s">
        <v>21</v>
      </c>
      <c r="P105" s="67" t="s">
        <v>22</v>
      </c>
      <c r="Q105" s="67" t="s">
        <v>23</v>
      </c>
      <c r="R105" s="67" t="s">
        <v>24</v>
      </c>
      <c r="S105" s="67" t="s">
        <v>25</v>
      </c>
      <c r="T105" s="67" t="s">
        <v>26</v>
      </c>
      <c r="U105" s="67" t="s">
        <v>28</v>
      </c>
    </row>
    <row r="106" spans="1:22" ht="12.95" customHeight="1" x14ac:dyDescent="0.3">
      <c r="A106" s="61"/>
      <c r="B106" s="68" t="str">
        <f>HYPERLINK("https://us-east-2-production9-hive-20200324201045952400000002.s3.amazonaws.com/import-files/timberland/product_images/original-TB0A612F_214_P_1.png","TB0A612F2141")</f>
        <v>TB0A612F2141</v>
      </c>
      <c r="C106" s="61" t="s">
        <v>57</v>
      </c>
      <c r="D106" s="61" t="s">
        <v>68</v>
      </c>
      <c r="E106" s="61" t="s">
        <v>130</v>
      </c>
      <c r="F106" s="61" t="s">
        <v>109</v>
      </c>
      <c r="G106" s="69">
        <v>115</v>
      </c>
      <c r="H106" s="61">
        <f>J106+K106+L106+M106+N106+O106+P106+Q106+R106+S106+T106+U106</f>
        <v>0</v>
      </c>
      <c r="I106" s="70">
        <f>(J106*WholesalePrice!J106)+(K106*WholesalePrice!K106)+(L106*WholesalePrice!L106)+(M106*WholesalePrice!M106)+(N106*WholesalePrice!N106)+(O106*WholesalePrice!O106)+(P106*WholesalePrice!P106)+(Q106*WholesalePrice!Q106)+(R106*WholesalePrice!R106)+(S106*WholesalePrice!S106)+(T106*WholesalePrice!T106)+(U106*WholesalePrice!U106)</f>
        <v>0</v>
      </c>
      <c r="J106" s="74"/>
      <c r="K106" s="74"/>
      <c r="L106" s="71"/>
      <c r="M106" s="71"/>
      <c r="N106" s="71"/>
      <c r="O106" s="71"/>
      <c r="P106" s="71"/>
      <c r="Q106" s="71"/>
      <c r="R106" s="71"/>
      <c r="S106" s="71"/>
      <c r="T106" s="71"/>
      <c r="U106" s="71"/>
    </row>
    <row r="107" spans="1:22" ht="14.25" x14ac:dyDescent="0.3">
      <c r="A107" s="66" t="s">
        <v>134</v>
      </c>
      <c r="B107" s="61"/>
      <c r="C107" s="61"/>
      <c r="D107" s="61"/>
      <c r="E107" s="61"/>
      <c r="F107" s="61"/>
      <c r="G107" s="61" t="s">
        <v>9</v>
      </c>
      <c r="H107" s="61" t="s">
        <v>9</v>
      </c>
      <c r="I107" s="61" t="s">
        <v>9</v>
      </c>
      <c r="J107" s="67" t="s">
        <v>53</v>
      </c>
      <c r="K107" s="67" t="s">
        <v>54</v>
      </c>
      <c r="L107" s="67" t="s">
        <v>55</v>
      </c>
      <c r="M107" s="67" t="s">
        <v>20</v>
      </c>
      <c r="N107" s="67" t="s">
        <v>21</v>
      </c>
      <c r="O107" s="67" t="s">
        <v>22</v>
      </c>
      <c r="P107" s="67" t="s">
        <v>23</v>
      </c>
      <c r="Q107" s="67" t="s">
        <v>24</v>
      </c>
      <c r="R107" s="67" t="s">
        <v>25</v>
      </c>
      <c r="S107" s="67" t="s">
        <v>26</v>
      </c>
      <c r="T107" s="67" t="s">
        <v>28</v>
      </c>
    </row>
    <row r="108" spans="1:22" ht="12.95" customHeight="1" x14ac:dyDescent="0.3">
      <c r="A108" s="61"/>
      <c r="B108" s="68" t="str">
        <f>HYPERLINK("https://us-east-2-production9-hive-20200324201045952400000002.s3.amazonaws.com/import-files/timberland/product_images/original-TB0A66T7_ECS_P_1.png","TB0A66T7ECS1")</f>
        <v>TB0A66T7ECS1</v>
      </c>
      <c r="C108" s="61" t="s">
        <v>34</v>
      </c>
      <c r="D108" s="61" t="s">
        <v>135</v>
      </c>
      <c r="E108" s="61" t="s">
        <v>130</v>
      </c>
      <c r="F108" s="61" t="s">
        <v>40</v>
      </c>
      <c r="G108" s="69">
        <v>75</v>
      </c>
      <c r="H108" s="61">
        <f>J108+K108+L108+M108+N108+O108+P108+Q108+R108+S108+T108</f>
        <v>0</v>
      </c>
      <c r="I108" s="70">
        <f>(J108*WholesalePrice!J108)+(K108*WholesalePrice!K108)+(L108*WholesalePrice!L108)+(M108*WholesalePrice!M108)+(N108*WholesalePrice!N108)+(O108*WholesalePrice!O108)+(P108*WholesalePrice!P108)+(Q108*WholesalePrice!Q108)+(R108*WholesalePrice!R108)+(S108*WholesalePrice!S108)+(T108*WholesalePrice!T108)</f>
        <v>0</v>
      </c>
      <c r="J108" s="71"/>
      <c r="K108" s="74"/>
      <c r="L108" s="74"/>
      <c r="M108" s="74"/>
      <c r="N108" s="71"/>
      <c r="O108" s="71"/>
      <c r="P108" s="71"/>
      <c r="Q108" s="74"/>
      <c r="R108" s="74"/>
      <c r="S108" s="71"/>
      <c r="T108" s="71"/>
    </row>
    <row r="109" spans="1:22" ht="12.95" customHeight="1" x14ac:dyDescent="0.3">
      <c r="A109" s="61"/>
      <c r="B109" s="68" t="str">
        <f>HYPERLINK("https://us-east-2-production9-hive-20200324201045952400000002.s3.amazonaws.com/import-files/timberland/product_images/original-TB0A632U_001_P_1.png","TB0A632U0011")</f>
        <v>TB0A632U0011</v>
      </c>
      <c r="C109" s="61" t="s">
        <v>34</v>
      </c>
      <c r="D109" s="61" t="s">
        <v>46</v>
      </c>
      <c r="E109" s="61" t="s">
        <v>130</v>
      </c>
      <c r="F109" s="61" t="s">
        <v>93</v>
      </c>
      <c r="G109" s="69">
        <v>65</v>
      </c>
      <c r="H109" s="61">
        <f>J109+K109+L109+M109+N109+O109+P109+Q109+R109+S109+T109</f>
        <v>0</v>
      </c>
      <c r="I109" s="70">
        <f>(J109*WholesalePrice!J109)+(K109*WholesalePrice!K109)+(L109*WholesalePrice!L109)+(M109*WholesalePrice!M109)+(N109*WholesalePrice!N109)+(O109*WholesalePrice!O109)+(P109*WholesalePrice!P109)+(Q109*WholesalePrice!Q109)+(R109*WholesalePrice!R109)+(S109*WholesalePrice!S109)+(T109*WholesalePrice!T109)</f>
        <v>0</v>
      </c>
      <c r="J109" s="71"/>
      <c r="K109" s="71"/>
      <c r="L109" s="71"/>
      <c r="M109" s="71"/>
      <c r="N109" s="74"/>
      <c r="O109" s="71"/>
      <c r="P109" s="74"/>
      <c r="Q109" s="74"/>
      <c r="R109" s="74"/>
      <c r="S109" s="74"/>
      <c r="T109" s="71"/>
    </row>
    <row r="110" spans="1:22" ht="12.95" customHeight="1" x14ac:dyDescent="0.3">
      <c r="A110" s="61"/>
      <c r="B110" s="68" t="str">
        <f>HYPERLINK("https://us-east-2-production9-hive-20200324201045952400000002.s3.amazonaws.com/import-files/timberland/product_images/original-TB0A6247_065_P_1.png","TB0A62470651")</f>
        <v>TB0A62470651</v>
      </c>
      <c r="C110" s="61" t="s">
        <v>34</v>
      </c>
      <c r="D110" s="61" t="s">
        <v>94</v>
      </c>
      <c r="E110" s="61" t="s">
        <v>130</v>
      </c>
      <c r="F110" s="61" t="s">
        <v>93</v>
      </c>
      <c r="G110" s="69">
        <v>65</v>
      </c>
      <c r="H110" s="61">
        <f>J110+K110+L110+M110+N110+O110+P110+Q110+R110+S110+T110</f>
        <v>0</v>
      </c>
      <c r="I110" s="70">
        <f>(J110*WholesalePrice!J110)+(K110*WholesalePrice!K110)+(L110*WholesalePrice!L110)+(M110*WholesalePrice!M110)+(N110*WholesalePrice!N110)+(O110*WholesalePrice!O110)+(P110*WholesalePrice!P110)+(Q110*WholesalePrice!Q110)+(R110*WholesalePrice!R110)+(S110*WholesalePrice!S110)+(T110*WholesalePrice!T110)</f>
        <v>0</v>
      </c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</row>
    <row r="111" spans="1:22" ht="12.95" customHeight="1" x14ac:dyDescent="0.3">
      <c r="A111" s="61"/>
      <c r="B111" s="68" t="str">
        <f>HYPERLINK("https://us-east-2-production9-hive-20200324201045952400000002.s3.amazonaws.com/import-files/timberland/product_images/original-TB1A2A63_001_P_1.png","TB1A2A630011")</f>
        <v>TB1A2A630011</v>
      </c>
      <c r="C111" s="61" t="s">
        <v>34</v>
      </c>
      <c r="D111" s="61" t="s">
        <v>46</v>
      </c>
      <c r="E111" s="61" t="s">
        <v>130</v>
      </c>
      <c r="F111" s="61" t="s">
        <v>47</v>
      </c>
      <c r="G111" s="69">
        <v>85</v>
      </c>
      <c r="H111" s="61">
        <f>L111+M111+N111+O111+P111</f>
        <v>0</v>
      </c>
      <c r="I111" s="70">
        <f>(L111*WholesalePrice!L111)+(M111*WholesalePrice!M111)+(N111*WholesalePrice!N111)+(O111*WholesalePrice!O111)+(P111*WholesalePrice!P111)</f>
        <v>0</v>
      </c>
      <c r="J111" s="71"/>
      <c r="K111" s="71"/>
      <c r="L111" s="74"/>
      <c r="M111" s="74"/>
      <c r="N111" s="74"/>
      <c r="O111" s="74"/>
      <c r="P111" s="74"/>
      <c r="Q111" s="71"/>
      <c r="R111" s="71"/>
      <c r="S111" s="71"/>
      <c r="T111" s="71"/>
    </row>
    <row r="112" spans="1:22" ht="14.25" x14ac:dyDescent="0.3">
      <c r="A112" s="66" t="s">
        <v>136</v>
      </c>
      <c r="B112" s="61"/>
      <c r="C112" s="61"/>
      <c r="D112" s="61"/>
      <c r="E112" s="61"/>
      <c r="F112" s="61"/>
      <c r="G112" s="61" t="s">
        <v>9</v>
      </c>
      <c r="H112" s="61" t="s">
        <v>9</v>
      </c>
      <c r="I112" s="61" t="s">
        <v>9</v>
      </c>
      <c r="J112" s="67" t="s">
        <v>53</v>
      </c>
      <c r="K112" s="67" t="s">
        <v>54</v>
      </c>
      <c r="L112" s="67" t="s">
        <v>55</v>
      </c>
      <c r="M112" s="67" t="s">
        <v>20</v>
      </c>
      <c r="N112" s="67" t="s">
        <v>21</v>
      </c>
      <c r="O112" s="67" t="s">
        <v>22</v>
      </c>
      <c r="P112" s="67" t="s">
        <v>23</v>
      </c>
      <c r="Q112" s="67" t="s">
        <v>24</v>
      </c>
      <c r="R112" s="67" t="s">
        <v>25</v>
      </c>
      <c r="S112" s="67" t="s">
        <v>26</v>
      </c>
      <c r="T112" s="67" t="s">
        <v>28</v>
      </c>
    </row>
    <row r="113" spans="1:28" ht="12.95" customHeight="1" x14ac:dyDescent="0.3">
      <c r="A113" s="61"/>
      <c r="B113" s="68" t="str">
        <f>HYPERLINK("https://us-east-2-production9-hive-20200324201045952400000002.s3.amazonaws.com/import-files/timberland/product_images/original-TB1A2KAJ_231_P_1.png","TB1A2KAJ2311")</f>
        <v>TB1A2KAJ2311</v>
      </c>
      <c r="C113" s="61" t="s">
        <v>34</v>
      </c>
      <c r="D113" s="61" t="s">
        <v>76</v>
      </c>
      <c r="E113" s="61" t="s">
        <v>130</v>
      </c>
      <c r="F113" s="61" t="s">
        <v>107</v>
      </c>
      <c r="G113" s="69">
        <v>120</v>
      </c>
      <c r="H113" s="61">
        <f>J113+K113+L113+M113+N113+O113+P113+Q113+R113+S113+T113</f>
        <v>0</v>
      </c>
      <c r="I113" s="70">
        <f>(J113*WholesalePrice!J113)+(K113*WholesalePrice!K113)+(L113*WholesalePrice!L113)+(M113*WholesalePrice!M113)+(N113*WholesalePrice!N113)+(O113*WholesalePrice!O113)+(P113*WholesalePrice!P113)+(Q113*WholesalePrice!Q113)+(R113*WholesalePrice!R113)+(S113*WholesalePrice!S113)+(T113*WholesalePrice!T113)</f>
        <v>0</v>
      </c>
      <c r="J113" s="71"/>
      <c r="K113" s="74"/>
      <c r="L113" s="71"/>
      <c r="M113" s="74"/>
      <c r="N113" s="74"/>
      <c r="O113" s="71"/>
      <c r="P113" s="74"/>
      <c r="Q113" s="71"/>
      <c r="R113" s="71"/>
      <c r="S113" s="71"/>
      <c r="T113" s="71"/>
    </row>
    <row r="114" spans="1:28" ht="14.25" x14ac:dyDescent="0.3">
      <c r="A114" s="66" t="s">
        <v>137</v>
      </c>
      <c r="B114" s="61"/>
      <c r="C114" s="61"/>
      <c r="D114" s="61"/>
      <c r="E114" s="61"/>
      <c r="F114" s="61"/>
      <c r="G114" s="61" t="s">
        <v>9</v>
      </c>
      <c r="H114" s="61" t="s">
        <v>9</v>
      </c>
      <c r="I114" s="61" t="s">
        <v>9</v>
      </c>
      <c r="J114" s="67" t="s">
        <v>53</v>
      </c>
      <c r="K114" s="67" t="s">
        <v>54</v>
      </c>
      <c r="L114" s="67" t="s">
        <v>55</v>
      </c>
      <c r="M114" s="67" t="s">
        <v>20</v>
      </c>
      <c r="N114" s="67" t="s">
        <v>21</v>
      </c>
      <c r="O114" s="67" t="s">
        <v>22</v>
      </c>
      <c r="P114" s="67" t="s">
        <v>23</v>
      </c>
      <c r="Q114" s="67" t="s">
        <v>24</v>
      </c>
      <c r="R114" s="67" t="s">
        <v>25</v>
      </c>
      <c r="S114" s="67" t="s">
        <v>26</v>
      </c>
      <c r="T114" s="67" t="s">
        <v>28</v>
      </c>
    </row>
    <row r="115" spans="1:28" ht="12.95" customHeight="1" x14ac:dyDescent="0.3">
      <c r="A115" s="61"/>
      <c r="B115" s="68" t="str">
        <f>HYPERLINK("https://us-east-2-production9-hive-20200324201045952400000002.s3.amazonaws.com/import-files/timberland/product_images/original-TB0A67T3_EL0_P_1.png","TB0A67T3EL01")</f>
        <v>TB0A67T3EL01</v>
      </c>
      <c r="C115" s="61" t="s">
        <v>34</v>
      </c>
      <c r="D115" s="61" t="s">
        <v>112</v>
      </c>
      <c r="E115" s="61" t="s">
        <v>130</v>
      </c>
      <c r="F115" s="61" t="s">
        <v>138</v>
      </c>
      <c r="G115" s="69">
        <v>70</v>
      </c>
      <c r="H115" s="61">
        <f>J115+K115+L115+M115+N115+O115+P115+Q115+R115+S115+T115</f>
        <v>0</v>
      </c>
      <c r="I115" s="70">
        <f>(J115*WholesalePrice!J115)+(K115*WholesalePrice!K115)+(L115*WholesalePrice!L115)+(M115*WholesalePrice!M115)+(N115*WholesalePrice!N115)+(O115*WholesalePrice!O115)+(P115*WholesalePrice!P115)+(Q115*WholesalePrice!Q115)+(R115*WholesalePrice!R115)+(S115*WholesalePrice!S115)+(T115*WholesalePrice!T115)</f>
        <v>0</v>
      </c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</row>
    <row r="116" spans="1:28" ht="14.25" x14ac:dyDescent="0.3">
      <c r="A116" s="66" t="s">
        <v>139</v>
      </c>
      <c r="B116" s="61"/>
      <c r="C116" s="61"/>
      <c r="D116" s="61"/>
      <c r="E116" s="61"/>
      <c r="F116" s="61"/>
      <c r="G116" s="61" t="s">
        <v>9</v>
      </c>
      <c r="H116" s="61" t="s">
        <v>9</v>
      </c>
      <c r="I116" s="61" t="s">
        <v>9</v>
      </c>
      <c r="J116" s="67" t="s">
        <v>140</v>
      </c>
      <c r="K116" s="67" t="s">
        <v>50</v>
      </c>
      <c r="L116" s="67" t="s">
        <v>54</v>
      </c>
      <c r="M116" s="67" t="s">
        <v>22</v>
      </c>
      <c r="N116" s="67" t="s">
        <v>26</v>
      </c>
      <c r="O116" s="67" t="s">
        <v>29</v>
      </c>
      <c r="P116" s="67" t="s">
        <v>31</v>
      </c>
      <c r="Q116" s="67" t="s">
        <v>127</v>
      </c>
    </row>
    <row r="117" spans="1:28" ht="12.95" customHeight="1" x14ac:dyDescent="0.3">
      <c r="A117" s="61"/>
      <c r="B117" s="68" t="str">
        <f>HYPERLINK("https://us-east-2-production9-hive-20200324201045952400000002.s3.amazonaws.com/import-files/timberland/product_images/original-TB0A6DBP_001_P_1.png","TB0A6DBP0011")</f>
        <v>TB0A6DBP0011</v>
      </c>
      <c r="C117" s="61" t="s">
        <v>141</v>
      </c>
      <c r="D117" s="61" t="s">
        <v>46</v>
      </c>
      <c r="E117" s="61" t="s">
        <v>130</v>
      </c>
      <c r="F117" s="61" t="s">
        <v>142</v>
      </c>
      <c r="G117" s="69">
        <v>50</v>
      </c>
      <c r="H117" s="61"/>
      <c r="I117" s="70" t="s">
        <v>9</v>
      </c>
      <c r="J117" s="71"/>
      <c r="K117" s="71"/>
      <c r="L117" s="71"/>
      <c r="M117" s="71"/>
      <c r="N117" s="71"/>
      <c r="O117" s="71"/>
      <c r="P117" s="71"/>
      <c r="Q117" s="71"/>
    </row>
    <row r="118" spans="1:28" ht="14.25" x14ac:dyDescent="0.3">
      <c r="A118" s="66" t="s">
        <v>143</v>
      </c>
      <c r="B118" s="61"/>
      <c r="C118" s="61"/>
      <c r="D118" s="61"/>
      <c r="E118" s="61"/>
      <c r="F118" s="61"/>
      <c r="G118" s="61" t="s">
        <v>9</v>
      </c>
      <c r="H118" s="61" t="s">
        <v>9</v>
      </c>
      <c r="I118" s="61" t="s">
        <v>9</v>
      </c>
      <c r="J118" s="67" t="s">
        <v>144</v>
      </c>
      <c r="K118" s="67" t="s">
        <v>145</v>
      </c>
      <c r="L118" s="67" t="s">
        <v>146</v>
      </c>
      <c r="M118" s="67" t="s">
        <v>147</v>
      </c>
      <c r="N118" s="67" t="s">
        <v>148</v>
      </c>
      <c r="O118" s="67" t="s">
        <v>149</v>
      </c>
      <c r="P118" s="67" t="s">
        <v>150</v>
      </c>
      <c r="Q118" s="67" t="s">
        <v>151</v>
      </c>
      <c r="R118" s="67" t="s">
        <v>152</v>
      </c>
      <c r="S118" s="67" t="s">
        <v>153</v>
      </c>
      <c r="T118" s="67" t="s">
        <v>154</v>
      </c>
      <c r="U118" s="67" t="s">
        <v>155</v>
      </c>
      <c r="V118" s="67" t="s">
        <v>156</v>
      </c>
      <c r="W118" s="67" t="s">
        <v>157</v>
      </c>
      <c r="X118" s="67" t="s">
        <v>158</v>
      </c>
      <c r="Y118" s="67" t="s">
        <v>159</v>
      </c>
      <c r="Z118" s="67" t="s">
        <v>160</v>
      </c>
      <c r="AA118" s="67" t="s">
        <v>161</v>
      </c>
      <c r="AB118" s="67" t="s">
        <v>162</v>
      </c>
    </row>
    <row r="119" spans="1:28" ht="12.95" customHeight="1" x14ac:dyDescent="0.3">
      <c r="A119" s="61"/>
      <c r="B119" s="68" t="str">
        <f>HYPERLINK("https://us-east-2-production9-hive-20200324201045952400000002.s3.amazonaws.com/import-files/timberland/product_images/original-TB0A5MT2_D02_P_1.png","TB0A5MT2D021")</f>
        <v>TB0A5MT2D021</v>
      </c>
      <c r="C119" s="61" t="s">
        <v>145</v>
      </c>
      <c r="D119" s="61" t="s">
        <v>163</v>
      </c>
      <c r="E119" s="61" t="s">
        <v>36</v>
      </c>
      <c r="F119" s="61" t="s">
        <v>164</v>
      </c>
      <c r="G119" s="69">
        <v>35</v>
      </c>
      <c r="H119" s="61">
        <f>J119+K119+L119+M119+N119+O119+P119+Q119+R119+S119+T119+U119</f>
        <v>0</v>
      </c>
      <c r="I119" s="70">
        <f>(J119*WholesalePrice!J119)+(K119*WholesalePrice!K119)+(L119*WholesalePrice!L119)+(M119*WholesalePrice!M119)+(N119*WholesalePrice!N119)+(O119*WholesalePrice!O119)+(P119*WholesalePrice!P119)+(Q119*WholesalePrice!Q119)+(R119*WholesalePrice!R119)+(S119*WholesalePrice!S119)+(T119*WholesalePrice!T119)+(U119*WholesalePrice!U119)</f>
        <v>0</v>
      </c>
      <c r="J119" s="71"/>
      <c r="K119" s="71"/>
      <c r="L119" s="71"/>
      <c r="M119" s="74"/>
      <c r="N119" s="71"/>
      <c r="O119" s="71"/>
      <c r="P119" s="71"/>
      <c r="Q119" s="71"/>
      <c r="R119" s="71"/>
      <c r="S119" s="71"/>
      <c r="T119" s="71"/>
      <c r="U119" s="74"/>
      <c r="V119" s="71"/>
      <c r="W119" s="71"/>
      <c r="X119" s="71"/>
      <c r="Y119" s="71"/>
      <c r="Z119" s="71"/>
      <c r="AA119" s="71"/>
      <c r="AB119" s="71"/>
    </row>
    <row r="120" spans="1:28" ht="12.95" customHeight="1" x14ac:dyDescent="0.3">
      <c r="A120" s="61"/>
      <c r="B120" s="68" t="str">
        <f>HYPERLINK("https://us-east-2-production9-hive-20200324201045952400000002.s3.amazonaws.com/import-files/timberland/product_images/original-TB0A5MT2_D02_P_1.png","TB0A5MT2D021")</f>
        <v>TB0A5MT2D021</v>
      </c>
      <c r="C120" s="61" t="s">
        <v>147</v>
      </c>
      <c r="D120" s="61" t="s">
        <v>163</v>
      </c>
      <c r="E120" s="61" t="s">
        <v>36</v>
      </c>
      <c r="F120" s="61" t="s">
        <v>164</v>
      </c>
      <c r="G120" s="69">
        <v>35</v>
      </c>
      <c r="H120" s="61">
        <f>J120+K120+L120+M120+N120+O120+P120+Q120+R120+S120+T120+U120</f>
        <v>0</v>
      </c>
      <c r="I120" s="70">
        <f>(J120*WholesalePrice!J120)+(K120*WholesalePrice!K120)+(L120*WholesalePrice!L120)+(M120*WholesalePrice!M120)+(N120*WholesalePrice!N120)+(O120*WholesalePrice!O120)+(P120*WholesalePrice!P120)+(Q120*WholesalePrice!Q120)+(R120*WholesalePrice!R120)+(S120*WholesalePrice!S120)+(T120*WholesalePrice!T120)+(U120*WholesalePrice!U120)</f>
        <v>0</v>
      </c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4"/>
      <c r="V120" s="71"/>
      <c r="W120" s="71"/>
      <c r="X120" s="71"/>
      <c r="Y120" s="71"/>
      <c r="Z120" s="71"/>
      <c r="AA120" s="71"/>
      <c r="AB120" s="71"/>
    </row>
    <row r="121" spans="1:28" ht="12.95" customHeight="1" x14ac:dyDescent="0.3">
      <c r="A121" s="61"/>
      <c r="B121" s="68" t="str">
        <f>HYPERLINK("https://us-east-2-production9-hive-20200324201045952400000002.s3.amazonaws.com/import-files/timberland/product_images/original-TB0A5MT2_D02_P_1.png","TB0A5MT2D021")</f>
        <v>TB0A5MT2D021</v>
      </c>
      <c r="C121" s="61" t="s">
        <v>149</v>
      </c>
      <c r="D121" s="61" t="s">
        <v>163</v>
      </c>
      <c r="E121" s="61" t="s">
        <v>36</v>
      </c>
      <c r="F121" s="61" t="s">
        <v>164</v>
      </c>
      <c r="G121" s="69">
        <v>35</v>
      </c>
      <c r="H121" s="61">
        <f>J121+K121+L121+M121+N121+O121+P121+Q121+R121+S121+T121+U121</f>
        <v>0</v>
      </c>
      <c r="I121" s="70">
        <f>(J121*WholesalePrice!J121)+(K121*WholesalePrice!K121)+(L121*WholesalePrice!L121)+(M121*WholesalePrice!M121)+(N121*WholesalePrice!N121)+(O121*WholesalePrice!O121)+(P121*WholesalePrice!P121)+(Q121*WholesalePrice!Q121)+(R121*WholesalePrice!R121)+(S121*WholesalePrice!S121)+(T121*WholesalePrice!T121)+(U121*WholesalePrice!U121)</f>
        <v>0</v>
      </c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4"/>
      <c r="U121" s="74"/>
      <c r="V121" s="71"/>
      <c r="W121" s="71"/>
      <c r="X121" s="71"/>
      <c r="Y121" s="71"/>
      <c r="Z121" s="71"/>
      <c r="AA121" s="71"/>
      <c r="AB121" s="71"/>
    </row>
    <row r="122" spans="1:28" ht="12.95" customHeight="1" x14ac:dyDescent="0.3">
      <c r="A122" s="61"/>
      <c r="B122" s="68" t="str">
        <f>HYPERLINK("https://us-east-2-production9-hive-20200324201045952400000002.s3.amazonaws.com/import-files/timberland/product_images/original-TB0A5MT2_D02_P_1.png","TB0A5MT2D021")</f>
        <v>TB0A5MT2D021</v>
      </c>
      <c r="C122" s="61" t="s">
        <v>165</v>
      </c>
      <c r="D122" s="61" t="s">
        <v>163</v>
      </c>
      <c r="E122" s="61" t="s">
        <v>36</v>
      </c>
      <c r="F122" s="61" t="s">
        <v>164</v>
      </c>
      <c r="G122" s="69">
        <v>35</v>
      </c>
      <c r="H122" s="61">
        <f>J122+K122+M122+O122+P122+Q122+R122+S122+T122+U122+V122+W122+X122+Y122+Z122+AA122+AB122</f>
        <v>0</v>
      </c>
      <c r="I122" s="70">
        <f>(J122*WholesalePrice!J122)+(K122*WholesalePrice!K122)+(M122*WholesalePrice!M122)+(O122*WholesalePrice!O122)+(P122*WholesalePrice!P122)+(Q122*WholesalePrice!Q122)+(R122*WholesalePrice!R122)+(S122*WholesalePrice!S122)+(T122*WholesalePrice!T122)+(U122*WholesalePrice!U122)+(V122*WholesalePrice!V122)+(W122*WholesalePrice!W122)+(X122*WholesalePrice!X122)+(Y122*WholesalePrice!Y122)+(Z122*WholesalePrice!Z122)+(AA122*WholesalePrice!AA122)+(AB122*WholesalePrice!AB122)</f>
        <v>0</v>
      </c>
      <c r="J122" s="71"/>
      <c r="K122" s="74"/>
      <c r="L122" s="71"/>
      <c r="M122" s="71"/>
      <c r="N122" s="71"/>
      <c r="O122" s="74"/>
      <c r="P122" s="71"/>
      <c r="Q122" s="71"/>
      <c r="R122" s="71"/>
      <c r="S122" s="74"/>
      <c r="T122" s="74"/>
      <c r="U122" s="74"/>
      <c r="V122" s="74"/>
      <c r="W122" s="74"/>
      <c r="X122" s="74"/>
      <c r="Y122" s="74"/>
      <c r="Z122" s="71"/>
      <c r="AA122" s="71"/>
      <c r="AB122" s="71"/>
    </row>
    <row r="123" spans="1:28" ht="14.25" x14ac:dyDescent="0.3">
      <c r="A123" s="66" t="s">
        <v>166</v>
      </c>
      <c r="B123" s="61"/>
      <c r="C123" s="61"/>
      <c r="D123" s="61"/>
      <c r="E123" s="61"/>
      <c r="F123" s="61"/>
      <c r="G123" s="61" t="s">
        <v>9</v>
      </c>
      <c r="H123" s="61" t="s">
        <v>9</v>
      </c>
      <c r="I123" s="61" t="s">
        <v>9</v>
      </c>
      <c r="J123" s="67" t="s">
        <v>167</v>
      </c>
      <c r="K123" s="67" t="s">
        <v>168</v>
      </c>
      <c r="L123" s="67" t="s">
        <v>169</v>
      </c>
      <c r="M123" s="67" t="s">
        <v>170</v>
      </c>
      <c r="N123" s="67" t="s">
        <v>171</v>
      </c>
    </row>
    <row r="124" spans="1:28" ht="12.95" customHeight="1" x14ac:dyDescent="0.3">
      <c r="A124" s="61"/>
      <c r="B124" s="68" t="str">
        <f>HYPERLINK("https://us-east-2-production9-hive-20200324201045952400000002.s3.amazonaws.com/import-files/timberland/product_images/original-TB1A237T_D02_P_1.png","TB1A237TD021")</f>
        <v>TB1A237TD021</v>
      </c>
      <c r="C124" s="61" t="s">
        <v>9</v>
      </c>
      <c r="D124" s="61" t="s">
        <v>163</v>
      </c>
      <c r="E124" s="61" t="s">
        <v>36</v>
      </c>
      <c r="F124" s="61" t="s">
        <v>172</v>
      </c>
      <c r="G124" s="69">
        <v>100</v>
      </c>
      <c r="H124" s="61">
        <f>J124+K124+N124</f>
        <v>0</v>
      </c>
      <c r="I124" s="70">
        <f>(J124*WholesalePrice!J124)+(K124*WholesalePrice!K124)+(N124*WholesalePrice!N124)</f>
        <v>0</v>
      </c>
      <c r="J124" s="74"/>
      <c r="K124" s="74"/>
      <c r="L124" s="71"/>
      <c r="M124" s="71"/>
      <c r="N124" s="74"/>
    </row>
    <row r="125" spans="1:28" ht="14.25" x14ac:dyDescent="0.3">
      <c r="A125" s="66" t="s">
        <v>173</v>
      </c>
      <c r="B125" s="61"/>
      <c r="C125" s="61"/>
      <c r="D125" s="61"/>
      <c r="E125" s="61"/>
      <c r="F125" s="61"/>
      <c r="G125" s="61" t="s">
        <v>9</v>
      </c>
      <c r="H125" s="61" t="s">
        <v>9</v>
      </c>
      <c r="I125" s="61" t="s">
        <v>9</v>
      </c>
      <c r="J125" s="67" t="s">
        <v>50</v>
      </c>
      <c r="K125" s="67" t="s">
        <v>52</v>
      </c>
      <c r="L125" s="67" t="s">
        <v>54</v>
      </c>
      <c r="M125" s="67" t="s">
        <v>20</v>
      </c>
      <c r="N125" s="67" t="s">
        <v>22</v>
      </c>
      <c r="O125" s="67" t="s">
        <v>24</v>
      </c>
      <c r="P125" s="67" t="s">
        <v>26</v>
      </c>
      <c r="Q125" s="67" t="s">
        <v>28</v>
      </c>
      <c r="R125" s="67" t="s">
        <v>29</v>
      </c>
      <c r="S125" s="67" t="s">
        <v>30</v>
      </c>
      <c r="T125" s="67" t="s">
        <v>31</v>
      </c>
      <c r="U125" s="67" t="s">
        <v>32</v>
      </c>
      <c r="V125" s="67" t="s">
        <v>127</v>
      </c>
    </row>
    <row r="126" spans="1:28" ht="12.95" customHeight="1" x14ac:dyDescent="0.3">
      <c r="A126" s="61"/>
      <c r="B126" s="68" t="str">
        <f>HYPERLINK("https://us-east-2-production9-hive-20200324201045952400000002.s3.amazonaws.com/import-files/timberland/product_images/original-TB0A5MR2_827_P_1.png","TB0A5MR28271")</f>
        <v>TB0A5MR28271</v>
      </c>
      <c r="C126" s="61" t="s">
        <v>34</v>
      </c>
      <c r="D126" s="61" t="s">
        <v>174</v>
      </c>
      <c r="E126" s="61" t="s">
        <v>36</v>
      </c>
      <c r="F126" s="61" t="s">
        <v>175</v>
      </c>
      <c r="G126" s="69">
        <v>50</v>
      </c>
      <c r="H126" s="61">
        <f>J126+K126+L126+M126+N126+O126+P126+Q126+R126+S126+T126+U126+V126</f>
        <v>0</v>
      </c>
      <c r="I126" s="70">
        <f>(J126*WholesalePrice!J126)+(K126*WholesalePrice!K126)+(L126*WholesalePrice!L126)+(M126*WholesalePrice!M126)+(N126*WholesalePrice!N126)+(O126*WholesalePrice!O126)+(P126*WholesalePrice!P126)+(Q126*WholesalePrice!Q126)+(R126*WholesalePrice!R126)+(S126*WholesalePrice!S126)+(T126*WholesalePrice!T126)+(U126*WholesalePrice!U126)+(V126*WholesalePrice!V126)</f>
        <v>0</v>
      </c>
      <c r="J126" s="74"/>
      <c r="K126" s="74"/>
      <c r="L126" s="74"/>
      <c r="M126" s="71"/>
      <c r="N126" s="71"/>
      <c r="O126" s="74"/>
      <c r="P126" s="71"/>
      <c r="Q126" s="71"/>
      <c r="R126" s="71"/>
      <c r="S126" s="71"/>
      <c r="T126" s="71"/>
      <c r="U126" s="74"/>
      <c r="V126" s="74"/>
    </row>
    <row r="127" spans="1:28" ht="12.95" customHeight="1" x14ac:dyDescent="0.3">
      <c r="A127" s="61"/>
      <c r="B127" s="68" t="str">
        <f>HYPERLINK("https://us-east-2-production9-hive-20200324201045952400000002.s3.amazonaws.com/import-files/timberland/product_images/original-TB0A5TTB_484_P_1.png","TB0A5TTB4841")</f>
        <v>TB0A5TTB4841</v>
      </c>
      <c r="C127" s="61" t="s">
        <v>34</v>
      </c>
      <c r="D127" s="61" t="s">
        <v>176</v>
      </c>
      <c r="E127" s="61" t="s">
        <v>36</v>
      </c>
      <c r="F127" s="61" t="s">
        <v>177</v>
      </c>
      <c r="G127" s="69">
        <v>50</v>
      </c>
      <c r="H127" s="61">
        <f>J127+K127+L127+M127+N127+O127+P127+Q127+R127+S127+U127+V127</f>
        <v>0</v>
      </c>
      <c r="I127" s="70">
        <f>(J127*WholesalePrice!J127)+(K127*WholesalePrice!K127)+(L127*WholesalePrice!L127)+(M127*WholesalePrice!M127)+(N127*WholesalePrice!N127)+(O127*WholesalePrice!O127)+(P127*WholesalePrice!P127)+(Q127*WholesalePrice!Q127)+(R127*WholesalePrice!R127)+(S127*WholesalePrice!S127)+(U127*WholesalePrice!U127)+(V127*WholesalePrice!V127)</f>
        <v>0</v>
      </c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1"/>
      <c r="U127" s="74"/>
      <c r="V127" s="74"/>
    </row>
    <row r="128" spans="1:28" ht="14.25" x14ac:dyDescent="0.3">
      <c r="A128" s="66" t="s">
        <v>178</v>
      </c>
      <c r="B128" s="61"/>
      <c r="C128" s="61"/>
      <c r="D128" s="61"/>
      <c r="E128" s="61"/>
      <c r="F128" s="61"/>
      <c r="G128" s="61" t="s">
        <v>9</v>
      </c>
      <c r="H128" s="61" t="s">
        <v>9</v>
      </c>
      <c r="I128" s="61" t="s">
        <v>9</v>
      </c>
      <c r="J128" s="67" t="s">
        <v>179</v>
      </c>
      <c r="K128" s="67" t="s">
        <v>167</v>
      </c>
      <c r="L128" s="67" t="s">
        <v>168</v>
      </c>
      <c r="M128" s="67" t="s">
        <v>169</v>
      </c>
      <c r="N128" s="67" t="s">
        <v>170</v>
      </c>
      <c r="O128" s="67" t="s">
        <v>171</v>
      </c>
    </row>
    <row r="129" spans="1:15" ht="12.95" customHeight="1" x14ac:dyDescent="0.3">
      <c r="A129" s="61"/>
      <c r="B129" s="68" t="str">
        <f>HYPERLINK("https://us-east-2-production9-hive-20200324201045952400000002.s3.amazonaws.com/import-files/timberland/product_images/original-TB0A6667_EOQ_P_1.png","TB0A6667EOQ1")</f>
        <v>TB0A6667EOQ1</v>
      </c>
      <c r="C129" s="61" t="s">
        <v>57</v>
      </c>
      <c r="D129" s="61" t="s">
        <v>180</v>
      </c>
      <c r="E129" s="61" t="s">
        <v>181</v>
      </c>
      <c r="F129" s="61" t="s">
        <v>182</v>
      </c>
      <c r="G129" s="69">
        <v>22.5</v>
      </c>
      <c r="H129" s="61">
        <f>J129+K129+L129+M129+N129+O129</f>
        <v>0</v>
      </c>
      <c r="I129" s="70">
        <f>(J129*WholesalePrice!J129)+(K129*WholesalePrice!K129)+(L129*WholesalePrice!L129)+(M129*WholesalePrice!M129)+(N129*WholesalePrice!N129)+(O129*WholesalePrice!O129)</f>
        <v>0</v>
      </c>
      <c r="J129" s="71"/>
      <c r="K129" s="74"/>
      <c r="L129" s="74"/>
      <c r="M129" s="74"/>
      <c r="N129" s="74"/>
      <c r="O129" s="74"/>
    </row>
    <row r="130" spans="1:15" ht="12.95" customHeight="1" x14ac:dyDescent="0.3">
      <c r="A130" s="61"/>
      <c r="B130" s="68" t="str">
        <f>HYPERLINK("https://us-east-2-production9-hive-20200324201045952400000002.s3.amazonaws.com/import-files/timberland/product_images/original-TB091621_827_P_1.png","TB0916218271")</f>
        <v>TB0916218271</v>
      </c>
      <c r="C130" s="61" t="s">
        <v>57</v>
      </c>
      <c r="D130" s="61" t="s">
        <v>174</v>
      </c>
      <c r="E130" s="61" t="s">
        <v>181</v>
      </c>
      <c r="F130" s="61" t="s">
        <v>183</v>
      </c>
      <c r="G130" s="69">
        <v>20</v>
      </c>
      <c r="H130" s="61">
        <f>J130+K130+L130+M130+N130+O130</f>
        <v>0</v>
      </c>
      <c r="I130" s="70">
        <f>(J130*WholesalePrice!J130)+(K130*WholesalePrice!K130)+(L130*WholesalePrice!L130)+(M130*WholesalePrice!M130)+(N130*WholesalePrice!N130)+(O130*WholesalePrice!O130)</f>
        <v>0</v>
      </c>
      <c r="J130" s="74"/>
      <c r="K130" s="71"/>
      <c r="L130" s="71"/>
      <c r="M130" s="71"/>
      <c r="N130" s="74"/>
      <c r="O130" s="74"/>
    </row>
    <row r="131" spans="1:15" ht="12.95" customHeight="1" x14ac:dyDescent="0.3">
      <c r="A131" s="61"/>
      <c r="B131" s="68" t="str">
        <f>HYPERLINK("https://us-east-2-production9-hive-20200324201045952400000002.s3.amazonaws.com/import-files/timberland/product_images/original-TB0A1ORE_827_P_1.png","TB0A1ORE8271")</f>
        <v>TB0A1ORE8271</v>
      </c>
      <c r="C131" s="61" t="s">
        <v>57</v>
      </c>
      <c r="D131" s="61" t="s">
        <v>174</v>
      </c>
      <c r="E131" s="61" t="s">
        <v>181</v>
      </c>
      <c r="F131" s="61" t="s">
        <v>184</v>
      </c>
      <c r="G131" s="69">
        <v>20</v>
      </c>
      <c r="H131" s="61"/>
      <c r="I131" s="70"/>
      <c r="J131" s="71"/>
      <c r="K131" s="71"/>
      <c r="L131" s="71"/>
      <c r="M131" s="71"/>
      <c r="N131" s="71"/>
      <c r="O131" s="71"/>
    </row>
    <row r="132" spans="1:15" ht="14.25" x14ac:dyDescent="0.3">
      <c r="A132" s="66" t="s">
        <v>185</v>
      </c>
      <c r="B132" s="61"/>
      <c r="C132" s="61"/>
      <c r="D132" s="61"/>
      <c r="E132" s="61"/>
      <c r="F132" s="61"/>
      <c r="G132" s="61" t="s">
        <v>9</v>
      </c>
      <c r="H132" s="61" t="s">
        <v>9</v>
      </c>
      <c r="I132" s="61" t="s">
        <v>9</v>
      </c>
      <c r="J132" s="67" t="s">
        <v>186</v>
      </c>
    </row>
    <row r="133" spans="1:15" ht="12.95" customHeight="1" x14ac:dyDescent="0.3">
      <c r="A133" s="61"/>
      <c r="B133" s="68" t="str">
        <f>HYPERLINK("https://us-east-2-production9-hive-20200324201045952400000002.s3.amazonaws.com/import-files/timberland/product_images/original-TB0A2EPW_000_P_1.png","TB0A2EPW0001")</f>
        <v>TB0A2EPW0001</v>
      </c>
      <c r="C133" s="61" t="s">
        <v>9</v>
      </c>
      <c r="D133" s="61" t="s">
        <v>187</v>
      </c>
      <c r="E133" s="61" t="s">
        <v>181</v>
      </c>
      <c r="F133" s="61" t="s">
        <v>188</v>
      </c>
      <c r="G133" s="69">
        <v>15</v>
      </c>
      <c r="H133" s="61">
        <f>J133</f>
        <v>0</v>
      </c>
      <c r="I133" s="70">
        <f>(J133*WholesalePrice!J133)</f>
        <v>0</v>
      </c>
      <c r="J133" s="74"/>
    </row>
    <row r="134" spans="1:15" ht="12.95" customHeight="1" x14ac:dyDescent="0.3">
      <c r="G134" s="72" t="s">
        <v>189</v>
      </c>
      <c r="H134" s="73">
        <f>0+SUM(H16:H133)</f>
        <v>0</v>
      </c>
      <c r="I134" s="70">
        <f>0+SUM(I16:I133)</f>
        <v>0</v>
      </c>
    </row>
    <row r="136" spans="1:15" ht="14.25" x14ac:dyDescent="0.3">
      <c r="H136" s="115" t="s">
        <v>190</v>
      </c>
      <c r="I136" s="116" t="s">
        <v>190</v>
      </c>
      <c r="J136" s="117">
        <f t="shared" ref="J136:K136" si="1">0+SUM(H134:H134)</f>
        <v>0</v>
      </c>
      <c r="K136" s="118">
        <f t="shared" si="1"/>
        <v>0</v>
      </c>
    </row>
    <row r="137" spans="1:15" ht="14.25" x14ac:dyDescent="0.3">
      <c r="H137" s="115" t="s">
        <v>18</v>
      </c>
      <c r="I137" s="116" t="s">
        <v>18</v>
      </c>
      <c r="J137" s="117">
        <f t="shared" ref="J137:K137" si="2">0+SUM(I134:I134)</f>
        <v>0</v>
      </c>
      <c r="K137" s="118">
        <f t="shared" si="2"/>
        <v>0</v>
      </c>
    </row>
  </sheetData>
  <sheetProtection password="E42B" sheet="1" autoFilter="0"/>
  <autoFilter ref="A14:AD137" xr:uid="{00000000-0009-0000-0000-00000C000000}"/>
  <mergeCells count="13">
    <mergeCell ref="H137:I137"/>
    <mergeCell ref="J137:K137"/>
    <mergeCell ref="A11:C11"/>
    <mergeCell ref="A12:F12"/>
    <mergeCell ref="G12:I12"/>
    <mergeCell ref="J13:V13"/>
    <mergeCell ref="H136:I136"/>
    <mergeCell ref="J136:K136"/>
    <mergeCell ref="D5:F5"/>
    <mergeCell ref="D6:F6"/>
    <mergeCell ref="D7:F7"/>
    <mergeCell ref="D8:F8"/>
    <mergeCell ref="D9:F9"/>
  </mergeCells>
  <phoneticPr fontId="2" type="noConversion"/>
  <pageMargins left="0.7" right="0.7" top="0.75" bottom="0.75" header="0.3" footer="0.3"/>
  <pageSetup paperSize="9" orientation="portrait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N1277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4.42578125" style="1" bestFit="1" customWidth="1"/>
    <col min="2" max="2" width="60.85546875" style="1" bestFit="1" customWidth="1"/>
    <col min="3" max="3" width="16.5703125" style="1" bestFit="1" customWidth="1"/>
    <col min="4" max="4" width="13.28515625" style="1" bestFit="1" customWidth="1"/>
    <col min="5" max="5" width="14.42578125" style="1" customWidth="1"/>
    <col min="6" max="6" width="34.85546875" style="1" bestFit="1" customWidth="1"/>
    <col min="7" max="7" width="53.28515625" style="1" customWidth="1"/>
    <col min="8" max="8" width="14.42578125" style="1" customWidth="1"/>
    <col min="9" max="10" width="9.140625" style="1" customWidth="1"/>
    <col min="11" max="11" width="14.42578125" style="1" customWidth="1"/>
    <col min="12" max="12" width="10.85546875" style="1" customWidth="1"/>
    <col min="13" max="13" width="12.140625" style="1" customWidth="1"/>
  </cols>
  <sheetData>
    <row r="1" spans="1:14" s="2" customFormat="1" x14ac:dyDescent="0.25">
      <c r="A1" s="53" t="s">
        <v>1402</v>
      </c>
      <c r="B1" s="53" t="s">
        <v>1403</v>
      </c>
      <c r="C1" s="53" t="s">
        <v>1404</v>
      </c>
      <c r="D1" s="53" t="s">
        <v>1405</v>
      </c>
      <c r="E1" s="53" t="s">
        <v>1406</v>
      </c>
      <c r="F1" s="53" t="s">
        <v>1407</v>
      </c>
      <c r="G1" s="53" t="s">
        <v>13</v>
      </c>
      <c r="H1" s="53" t="s">
        <v>1408</v>
      </c>
      <c r="I1" s="53" t="s">
        <v>1409</v>
      </c>
      <c r="J1" s="53" t="s">
        <v>1410</v>
      </c>
      <c r="K1" s="53" t="s">
        <v>1411</v>
      </c>
      <c r="L1" s="53" t="s">
        <v>1412</v>
      </c>
      <c r="M1" s="53" t="s">
        <v>1413</v>
      </c>
      <c r="N1" s="54"/>
    </row>
    <row r="2" spans="1:14" x14ac:dyDescent="0.25">
      <c r="A2" s="1" t="s">
        <v>1414</v>
      </c>
      <c r="B2" s="1" t="s">
        <v>37</v>
      </c>
      <c r="C2" s="1" t="s">
        <v>7</v>
      </c>
      <c r="D2" s="1" t="s">
        <v>1415</v>
      </c>
      <c r="E2" s="1" t="s">
        <v>1416</v>
      </c>
      <c r="F2" s="1" t="s">
        <v>1417</v>
      </c>
      <c r="G2" s="1" t="s">
        <v>35</v>
      </c>
      <c r="H2" s="1" t="s">
        <v>36</v>
      </c>
      <c r="I2" s="1" t="s">
        <v>20</v>
      </c>
      <c r="J2" s="1" t="s">
        <v>34</v>
      </c>
      <c r="K2" s="1" t="s">
        <v>1418</v>
      </c>
      <c r="L2" s="1" t="s">
        <v>1419</v>
      </c>
      <c r="M2" s="41">
        <v>46109</v>
      </c>
    </row>
    <row r="3" spans="1:14" x14ac:dyDescent="0.25">
      <c r="A3" s="1" t="s">
        <v>1414</v>
      </c>
      <c r="B3" s="1" t="s">
        <v>37</v>
      </c>
      <c r="C3" s="1" t="s">
        <v>7</v>
      </c>
      <c r="D3" s="1" t="s">
        <v>1415</v>
      </c>
      <c r="E3" s="1" t="s">
        <v>1416</v>
      </c>
      <c r="F3" s="1" t="s">
        <v>1417</v>
      </c>
      <c r="G3" s="1" t="s">
        <v>35</v>
      </c>
      <c r="H3" s="1" t="s">
        <v>36</v>
      </c>
      <c r="I3" s="1" t="s">
        <v>21</v>
      </c>
      <c r="J3" s="1" t="s">
        <v>34</v>
      </c>
      <c r="K3" s="1" t="s">
        <v>1420</v>
      </c>
      <c r="L3" s="1" t="s">
        <v>1419</v>
      </c>
      <c r="M3" s="41">
        <v>46087</v>
      </c>
    </row>
    <row r="4" spans="1:14" x14ac:dyDescent="0.25">
      <c r="A4" s="1" t="s">
        <v>1414</v>
      </c>
      <c r="B4" s="1" t="s">
        <v>37</v>
      </c>
      <c r="C4" s="1" t="s">
        <v>7</v>
      </c>
      <c r="D4" s="1" t="s">
        <v>1415</v>
      </c>
      <c r="E4" s="1" t="s">
        <v>1416</v>
      </c>
      <c r="F4" s="1" t="s">
        <v>1417</v>
      </c>
      <c r="G4" s="1" t="s">
        <v>35</v>
      </c>
      <c r="H4" s="1" t="s">
        <v>36</v>
      </c>
      <c r="I4" s="1" t="s">
        <v>22</v>
      </c>
      <c r="J4" s="1" t="s">
        <v>34</v>
      </c>
      <c r="K4" s="1" t="s">
        <v>1421</v>
      </c>
      <c r="L4" s="1" t="s">
        <v>1419</v>
      </c>
      <c r="M4" s="41">
        <v>46087</v>
      </c>
    </row>
    <row r="5" spans="1:14" x14ac:dyDescent="0.25">
      <c r="A5" s="1" t="s">
        <v>1414</v>
      </c>
      <c r="B5" s="1" t="s">
        <v>37</v>
      </c>
      <c r="C5" s="1" t="s">
        <v>7</v>
      </c>
      <c r="D5" s="1" t="s">
        <v>1415</v>
      </c>
      <c r="E5" s="1" t="s">
        <v>1416</v>
      </c>
      <c r="F5" s="1" t="s">
        <v>1417</v>
      </c>
      <c r="G5" s="1" t="s">
        <v>35</v>
      </c>
      <c r="H5" s="1" t="s">
        <v>36</v>
      </c>
      <c r="I5" s="1" t="s">
        <v>23</v>
      </c>
      <c r="J5" s="1" t="s">
        <v>34</v>
      </c>
      <c r="K5" s="1" t="s">
        <v>1422</v>
      </c>
      <c r="L5" s="1" t="s">
        <v>1419</v>
      </c>
      <c r="M5" s="41">
        <v>46087</v>
      </c>
    </row>
    <row r="6" spans="1:14" x14ac:dyDescent="0.25">
      <c r="A6" s="1" t="s">
        <v>1414</v>
      </c>
      <c r="B6" s="1" t="s">
        <v>37</v>
      </c>
      <c r="C6" s="1" t="s">
        <v>7</v>
      </c>
      <c r="D6" s="1" t="s">
        <v>1415</v>
      </c>
      <c r="E6" s="1" t="s">
        <v>1416</v>
      </c>
      <c r="F6" s="1" t="s">
        <v>1417</v>
      </c>
      <c r="G6" s="1" t="s">
        <v>35</v>
      </c>
      <c r="H6" s="1" t="s">
        <v>36</v>
      </c>
      <c r="I6" s="1" t="s">
        <v>24</v>
      </c>
      <c r="J6" s="1" t="s">
        <v>34</v>
      </c>
      <c r="K6" s="1" t="s">
        <v>1423</v>
      </c>
      <c r="L6" s="1" t="s">
        <v>1419</v>
      </c>
      <c r="M6" s="41">
        <v>46087</v>
      </c>
    </row>
    <row r="7" spans="1:14" x14ac:dyDescent="0.25">
      <c r="A7" s="1" t="s">
        <v>1414</v>
      </c>
      <c r="B7" s="1" t="s">
        <v>37</v>
      </c>
      <c r="C7" s="1" t="s">
        <v>7</v>
      </c>
      <c r="D7" s="1" t="s">
        <v>1415</v>
      </c>
      <c r="E7" s="1" t="s">
        <v>1416</v>
      </c>
      <c r="F7" s="1" t="s">
        <v>1417</v>
      </c>
      <c r="G7" s="1" t="s">
        <v>35</v>
      </c>
      <c r="H7" s="1" t="s">
        <v>36</v>
      </c>
      <c r="I7" s="1" t="s">
        <v>25</v>
      </c>
      <c r="J7" s="1" t="s">
        <v>34</v>
      </c>
      <c r="K7" s="1" t="s">
        <v>1424</v>
      </c>
      <c r="L7" s="1" t="s">
        <v>1419</v>
      </c>
      <c r="M7" s="41">
        <v>46087</v>
      </c>
    </row>
    <row r="8" spans="1:14" x14ac:dyDescent="0.25">
      <c r="A8" s="1" t="s">
        <v>1414</v>
      </c>
      <c r="B8" s="1" t="s">
        <v>37</v>
      </c>
      <c r="C8" s="1" t="s">
        <v>7</v>
      </c>
      <c r="D8" s="1" t="s">
        <v>1415</v>
      </c>
      <c r="E8" s="1" t="s">
        <v>1416</v>
      </c>
      <c r="F8" s="1" t="s">
        <v>1417</v>
      </c>
      <c r="G8" s="1" t="s">
        <v>35</v>
      </c>
      <c r="H8" s="1" t="s">
        <v>36</v>
      </c>
      <c r="I8" s="1" t="s">
        <v>26</v>
      </c>
      <c r="J8" s="1" t="s">
        <v>34</v>
      </c>
      <c r="K8" s="1" t="s">
        <v>1425</v>
      </c>
      <c r="L8" s="1" t="s">
        <v>1419</v>
      </c>
      <c r="M8" s="41">
        <v>46087</v>
      </c>
    </row>
    <row r="9" spans="1:14" x14ac:dyDescent="0.25">
      <c r="A9" s="1" t="s">
        <v>1414</v>
      </c>
      <c r="B9" s="1" t="s">
        <v>37</v>
      </c>
      <c r="C9" s="1" t="s">
        <v>7</v>
      </c>
      <c r="D9" s="1" t="s">
        <v>1415</v>
      </c>
      <c r="E9" s="1" t="s">
        <v>1416</v>
      </c>
      <c r="F9" s="1" t="s">
        <v>1417</v>
      </c>
      <c r="G9" s="1" t="s">
        <v>35</v>
      </c>
      <c r="H9" s="1" t="s">
        <v>36</v>
      </c>
      <c r="I9" s="1" t="s">
        <v>27</v>
      </c>
      <c r="J9" s="1" t="s">
        <v>34</v>
      </c>
      <c r="K9" s="1" t="s">
        <v>1426</v>
      </c>
      <c r="L9" s="1" t="s">
        <v>1419</v>
      </c>
      <c r="M9" s="41">
        <v>46087</v>
      </c>
    </row>
    <row r="10" spans="1:14" x14ac:dyDescent="0.25">
      <c r="A10" s="1" t="s">
        <v>1414</v>
      </c>
      <c r="B10" s="1" t="s">
        <v>37</v>
      </c>
      <c r="C10" s="1" t="s">
        <v>7</v>
      </c>
      <c r="D10" s="1" t="s">
        <v>1415</v>
      </c>
      <c r="E10" s="1" t="s">
        <v>1416</v>
      </c>
      <c r="F10" s="1" t="s">
        <v>1417</v>
      </c>
      <c r="G10" s="1" t="s">
        <v>35</v>
      </c>
      <c r="H10" s="1" t="s">
        <v>36</v>
      </c>
      <c r="I10" s="1" t="s">
        <v>28</v>
      </c>
      <c r="J10" s="1" t="s">
        <v>34</v>
      </c>
      <c r="K10" s="1" t="s">
        <v>1427</v>
      </c>
      <c r="L10" s="1" t="s">
        <v>1419</v>
      </c>
      <c r="M10" s="41">
        <v>46087</v>
      </c>
    </row>
    <row r="11" spans="1:14" x14ac:dyDescent="0.25">
      <c r="A11" s="1" t="s">
        <v>1414</v>
      </c>
      <c r="B11" s="1" t="s">
        <v>37</v>
      </c>
      <c r="C11" s="1" t="s">
        <v>7</v>
      </c>
      <c r="D11" s="1" t="s">
        <v>1415</v>
      </c>
      <c r="E11" s="1" t="s">
        <v>1416</v>
      </c>
      <c r="F11" s="1" t="s">
        <v>1417</v>
      </c>
      <c r="G11" s="1" t="s">
        <v>35</v>
      </c>
      <c r="H11" s="1" t="s">
        <v>36</v>
      </c>
      <c r="I11" s="1" t="s">
        <v>29</v>
      </c>
      <c r="J11" s="1" t="s">
        <v>34</v>
      </c>
      <c r="K11" s="1" t="s">
        <v>1428</v>
      </c>
      <c r="L11" s="1" t="s">
        <v>1419</v>
      </c>
      <c r="M11" s="41">
        <v>46087</v>
      </c>
    </row>
    <row r="12" spans="1:14" x14ac:dyDescent="0.25">
      <c r="A12" s="1" t="s">
        <v>1414</v>
      </c>
      <c r="B12" s="1" t="s">
        <v>37</v>
      </c>
      <c r="C12" s="1" t="s">
        <v>7</v>
      </c>
      <c r="D12" s="1" t="s">
        <v>1415</v>
      </c>
      <c r="E12" s="1" t="s">
        <v>1416</v>
      </c>
      <c r="F12" s="1" t="s">
        <v>1417</v>
      </c>
      <c r="G12" s="1" t="s">
        <v>35</v>
      </c>
      <c r="H12" s="1" t="s">
        <v>36</v>
      </c>
      <c r="I12" s="1" t="s">
        <v>30</v>
      </c>
      <c r="J12" s="1" t="s">
        <v>34</v>
      </c>
      <c r="K12" s="1" t="s">
        <v>1429</v>
      </c>
      <c r="L12" s="1" t="s">
        <v>1419</v>
      </c>
      <c r="M12" s="41">
        <v>46109</v>
      </c>
    </row>
    <row r="13" spans="1:14" x14ac:dyDescent="0.25">
      <c r="A13" s="1" t="s">
        <v>1414</v>
      </c>
      <c r="B13" s="1" t="s">
        <v>37</v>
      </c>
      <c r="C13" s="1" t="s">
        <v>7</v>
      </c>
      <c r="D13" s="1" t="s">
        <v>1415</v>
      </c>
      <c r="E13" s="1" t="s">
        <v>1416</v>
      </c>
      <c r="F13" s="1" t="s">
        <v>1417</v>
      </c>
      <c r="G13" s="1" t="s">
        <v>35</v>
      </c>
      <c r="H13" s="1" t="s">
        <v>36</v>
      </c>
      <c r="I13" s="1" t="s">
        <v>31</v>
      </c>
      <c r="J13" s="1" t="s">
        <v>34</v>
      </c>
      <c r="K13" s="1" t="s">
        <v>1430</v>
      </c>
      <c r="L13" s="1" t="s">
        <v>1419</v>
      </c>
      <c r="M13" s="41">
        <v>46174</v>
      </c>
    </row>
    <row r="14" spans="1:14" x14ac:dyDescent="0.25">
      <c r="A14" s="1" t="s">
        <v>1414</v>
      </c>
      <c r="B14" s="1" t="s">
        <v>37</v>
      </c>
      <c r="C14" s="1" t="s">
        <v>7</v>
      </c>
      <c r="D14" s="1" t="s">
        <v>1415</v>
      </c>
      <c r="E14" s="1" t="s">
        <v>1416</v>
      </c>
      <c r="F14" s="1" t="s">
        <v>1417</v>
      </c>
      <c r="G14" s="1" t="s">
        <v>35</v>
      </c>
      <c r="H14" s="1" t="s">
        <v>36</v>
      </c>
      <c r="I14" s="1" t="s">
        <v>32</v>
      </c>
      <c r="J14" s="1" t="s">
        <v>34</v>
      </c>
      <c r="K14" s="1" t="s">
        <v>1431</v>
      </c>
      <c r="L14" s="1" t="s">
        <v>1419</v>
      </c>
      <c r="M14" s="41">
        <v>46087</v>
      </c>
    </row>
    <row r="15" spans="1:14" x14ac:dyDescent="0.25">
      <c r="A15" s="1" t="s">
        <v>1432</v>
      </c>
      <c r="B15" s="1" t="s">
        <v>37</v>
      </c>
      <c r="C15" s="1" t="s">
        <v>7</v>
      </c>
      <c r="D15" s="1" t="s">
        <v>1415</v>
      </c>
      <c r="E15" s="1" t="s">
        <v>1416</v>
      </c>
      <c r="F15" s="1" t="s">
        <v>1417</v>
      </c>
      <c r="G15" s="1" t="s">
        <v>38</v>
      </c>
      <c r="H15" s="1" t="s">
        <v>36</v>
      </c>
      <c r="I15" s="1" t="s">
        <v>20</v>
      </c>
      <c r="J15" s="1" t="s">
        <v>34</v>
      </c>
      <c r="K15" s="1" t="s">
        <v>1433</v>
      </c>
      <c r="L15" s="1" t="s">
        <v>1419</v>
      </c>
      <c r="M15" s="41">
        <v>46109</v>
      </c>
    </row>
    <row r="16" spans="1:14" x14ac:dyDescent="0.25">
      <c r="A16" s="1" t="s">
        <v>1432</v>
      </c>
      <c r="B16" s="1" t="s">
        <v>37</v>
      </c>
      <c r="C16" s="1" t="s">
        <v>7</v>
      </c>
      <c r="D16" s="1" t="s">
        <v>1415</v>
      </c>
      <c r="E16" s="1" t="s">
        <v>1416</v>
      </c>
      <c r="F16" s="1" t="s">
        <v>1417</v>
      </c>
      <c r="G16" s="1" t="s">
        <v>38</v>
      </c>
      <c r="H16" s="1" t="s">
        <v>36</v>
      </c>
      <c r="I16" s="1" t="s">
        <v>21</v>
      </c>
      <c r="J16" s="1" t="s">
        <v>34</v>
      </c>
      <c r="K16" s="1" t="s">
        <v>1434</v>
      </c>
      <c r="L16" s="1" t="s">
        <v>1419</v>
      </c>
      <c r="M16" s="41">
        <v>46109</v>
      </c>
    </row>
    <row r="17" spans="1:13" x14ac:dyDescent="0.25">
      <c r="A17" s="1" t="s">
        <v>1432</v>
      </c>
      <c r="B17" s="1" t="s">
        <v>37</v>
      </c>
      <c r="C17" s="1" t="s">
        <v>7</v>
      </c>
      <c r="D17" s="1" t="s">
        <v>1415</v>
      </c>
      <c r="E17" s="1" t="s">
        <v>1416</v>
      </c>
      <c r="F17" s="1" t="s">
        <v>1417</v>
      </c>
      <c r="G17" s="1" t="s">
        <v>38</v>
      </c>
      <c r="H17" s="1" t="s">
        <v>36</v>
      </c>
      <c r="I17" s="1" t="s">
        <v>22</v>
      </c>
      <c r="J17" s="1" t="s">
        <v>34</v>
      </c>
      <c r="K17" s="1" t="s">
        <v>1435</v>
      </c>
      <c r="L17" s="1" t="s">
        <v>1419</v>
      </c>
      <c r="M17" s="41">
        <v>46087</v>
      </c>
    </row>
    <row r="18" spans="1:13" x14ac:dyDescent="0.25">
      <c r="A18" s="1" t="s">
        <v>1432</v>
      </c>
      <c r="B18" s="1" t="s">
        <v>37</v>
      </c>
      <c r="C18" s="1" t="s">
        <v>7</v>
      </c>
      <c r="D18" s="1" t="s">
        <v>1415</v>
      </c>
      <c r="E18" s="1" t="s">
        <v>1416</v>
      </c>
      <c r="F18" s="1" t="s">
        <v>1417</v>
      </c>
      <c r="G18" s="1" t="s">
        <v>38</v>
      </c>
      <c r="H18" s="1" t="s">
        <v>36</v>
      </c>
      <c r="I18" s="1" t="s">
        <v>23</v>
      </c>
      <c r="J18" s="1" t="s">
        <v>34</v>
      </c>
      <c r="K18" s="1" t="s">
        <v>1436</v>
      </c>
      <c r="L18" s="1" t="s">
        <v>1419</v>
      </c>
      <c r="M18" s="41">
        <v>46087</v>
      </c>
    </row>
    <row r="19" spans="1:13" x14ac:dyDescent="0.25">
      <c r="A19" s="1" t="s">
        <v>1432</v>
      </c>
      <c r="B19" s="1" t="s">
        <v>37</v>
      </c>
      <c r="C19" s="1" t="s">
        <v>7</v>
      </c>
      <c r="D19" s="1" t="s">
        <v>1415</v>
      </c>
      <c r="E19" s="1" t="s">
        <v>1416</v>
      </c>
      <c r="F19" s="1" t="s">
        <v>1417</v>
      </c>
      <c r="G19" s="1" t="s">
        <v>38</v>
      </c>
      <c r="H19" s="1" t="s">
        <v>36</v>
      </c>
      <c r="I19" s="1" t="s">
        <v>24</v>
      </c>
      <c r="J19" s="1" t="s">
        <v>34</v>
      </c>
      <c r="K19" s="1" t="s">
        <v>1437</v>
      </c>
      <c r="L19" s="1" t="s">
        <v>1419</v>
      </c>
      <c r="M19" s="41">
        <v>46087</v>
      </c>
    </row>
    <row r="20" spans="1:13" x14ac:dyDescent="0.25">
      <c r="A20" s="1" t="s">
        <v>1432</v>
      </c>
      <c r="B20" s="1" t="s">
        <v>37</v>
      </c>
      <c r="C20" s="1" t="s">
        <v>7</v>
      </c>
      <c r="D20" s="1" t="s">
        <v>1415</v>
      </c>
      <c r="E20" s="1" t="s">
        <v>1416</v>
      </c>
      <c r="F20" s="1" t="s">
        <v>1417</v>
      </c>
      <c r="G20" s="1" t="s">
        <v>38</v>
      </c>
      <c r="H20" s="1" t="s">
        <v>36</v>
      </c>
      <c r="I20" s="1" t="s">
        <v>25</v>
      </c>
      <c r="J20" s="1" t="s">
        <v>34</v>
      </c>
      <c r="K20" s="1" t="s">
        <v>1438</v>
      </c>
      <c r="L20" s="1" t="s">
        <v>1419</v>
      </c>
      <c r="M20" s="41">
        <v>46087</v>
      </c>
    </row>
    <row r="21" spans="1:13" x14ac:dyDescent="0.25">
      <c r="A21" s="1" t="s">
        <v>1432</v>
      </c>
      <c r="B21" s="1" t="s">
        <v>37</v>
      </c>
      <c r="C21" s="1" t="s">
        <v>7</v>
      </c>
      <c r="D21" s="1" t="s">
        <v>1415</v>
      </c>
      <c r="E21" s="1" t="s">
        <v>1416</v>
      </c>
      <c r="F21" s="1" t="s">
        <v>1417</v>
      </c>
      <c r="G21" s="1" t="s">
        <v>38</v>
      </c>
      <c r="H21" s="1" t="s">
        <v>36</v>
      </c>
      <c r="I21" s="1" t="s">
        <v>26</v>
      </c>
      <c r="J21" s="1" t="s">
        <v>34</v>
      </c>
      <c r="K21" s="1" t="s">
        <v>1439</v>
      </c>
      <c r="L21" s="1" t="s">
        <v>1419</v>
      </c>
      <c r="M21" s="41">
        <v>46087</v>
      </c>
    </row>
    <row r="22" spans="1:13" x14ac:dyDescent="0.25">
      <c r="A22" s="1" t="s">
        <v>1432</v>
      </c>
      <c r="B22" s="1" t="s">
        <v>37</v>
      </c>
      <c r="C22" s="1" t="s">
        <v>7</v>
      </c>
      <c r="D22" s="1" t="s">
        <v>1415</v>
      </c>
      <c r="E22" s="1" t="s">
        <v>1416</v>
      </c>
      <c r="F22" s="1" t="s">
        <v>1417</v>
      </c>
      <c r="G22" s="1" t="s">
        <v>38</v>
      </c>
      <c r="H22" s="1" t="s">
        <v>36</v>
      </c>
      <c r="I22" s="1" t="s">
        <v>27</v>
      </c>
      <c r="J22" s="1" t="s">
        <v>34</v>
      </c>
      <c r="K22" s="1" t="s">
        <v>1440</v>
      </c>
      <c r="L22" s="1" t="s">
        <v>1419</v>
      </c>
      <c r="M22" s="41">
        <v>46087</v>
      </c>
    </row>
    <row r="23" spans="1:13" x14ac:dyDescent="0.25">
      <c r="A23" s="1" t="s">
        <v>1432</v>
      </c>
      <c r="B23" s="1" t="s">
        <v>37</v>
      </c>
      <c r="C23" s="1" t="s">
        <v>7</v>
      </c>
      <c r="D23" s="1" t="s">
        <v>1415</v>
      </c>
      <c r="E23" s="1" t="s">
        <v>1416</v>
      </c>
      <c r="F23" s="1" t="s">
        <v>1417</v>
      </c>
      <c r="G23" s="1" t="s">
        <v>38</v>
      </c>
      <c r="H23" s="1" t="s">
        <v>36</v>
      </c>
      <c r="I23" s="1" t="s">
        <v>28</v>
      </c>
      <c r="J23" s="1" t="s">
        <v>34</v>
      </c>
      <c r="K23" s="1" t="s">
        <v>1441</v>
      </c>
      <c r="L23" s="1" t="s">
        <v>1419</v>
      </c>
      <c r="M23" s="41">
        <v>46087</v>
      </c>
    </row>
    <row r="24" spans="1:13" x14ac:dyDescent="0.25">
      <c r="A24" s="1" t="s">
        <v>1432</v>
      </c>
      <c r="B24" s="1" t="s">
        <v>37</v>
      </c>
      <c r="C24" s="1" t="s">
        <v>7</v>
      </c>
      <c r="D24" s="1" t="s">
        <v>1415</v>
      </c>
      <c r="E24" s="1" t="s">
        <v>1416</v>
      </c>
      <c r="F24" s="1" t="s">
        <v>1417</v>
      </c>
      <c r="G24" s="1" t="s">
        <v>38</v>
      </c>
      <c r="H24" s="1" t="s">
        <v>36</v>
      </c>
      <c r="I24" s="1" t="s">
        <v>29</v>
      </c>
      <c r="J24" s="1" t="s">
        <v>34</v>
      </c>
      <c r="K24" s="1" t="s">
        <v>1442</v>
      </c>
      <c r="L24" s="1" t="s">
        <v>1419</v>
      </c>
      <c r="M24" s="41">
        <v>46087</v>
      </c>
    </row>
    <row r="25" spans="1:13" x14ac:dyDescent="0.25">
      <c r="A25" s="1" t="s">
        <v>1432</v>
      </c>
      <c r="B25" s="1" t="s">
        <v>37</v>
      </c>
      <c r="C25" s="1" t="s">
        <v>7</v>
      </c>
      <c r="D25" s="1" t="s">
        <v>1415</v>
      </c>
      <c r="E25" s="1" t="s">
        <v>1416</v>
      </c>
      <c r="F25" s="1" t="s">
        <v>1417</v>
      </c>
      <c r="G25" s="1" t="s">
        <v>38</v>
      </c>
      <c r="H25" s="1" t="s">
        <v>36</v>
      </c>
      <c r="I25" s="1" t="s">
        <v>30</v>
      </c>
      <c r="J25" s="1" t="s">
        <v>34</v>
      </c>
      <c r="K25" s="1" t="s">
        <v>1443</v>
      </c>
      <c r="L25" s="1" t="s">
        <v>1419</v>
      </c>
      <c r="M25" s="41">
        <v>46109</v>
      </c>
    </row>
    <row r="26" spans="1:13" x14ac:dyDescent="0.25">
      <c r="A26" s="1" t="s">
        <v>1432</v>
      </c>
      <c r="B26" s="1" t="s">
        <v>37</v>
      </c>
      <c r="C26" s="1" t="s">
        <v>7</v>
      </c>
      <c r="D26" s="1" t="s">
        <v>1415</v>
      </c>
      <c r="E26" s="1" t="s">
        <v>1416</v>
      </c>
      <c r="F26" s="1" t="s">
        <v>1417</v>
      </c>
      <c r="G26" s="1" t="s">
        <v>38</v>
      </c>
      <c r="H26" s="1" t="s">
        <v>36</v>
      </c>
      <c r="I26" s="1" t="s">
        <v>31</v>
      </c>
      <c r="J26" s="1" t="s">
        <v>34</v>
      </c>
      <c r="K26" s="1" t="s">
        <v>1444</v>
      </c>
      <c r="L26" s="1" t="s">
        <v>1419</v>
      </c>
      <c r="M26" s="41">
        <v>46087</v>
      </c>
    </row>
    <row r="27" spans="1:13" x14ac:dyDescent="0.25">
      <c r="A27" s="1" t="s">
        <v>1432</v>
      </c>
      <c r="B27" s="1" t="s">
        <v>37</v>
      </c>
      <c r="C27" s="1" t="s">
        <v>7</v>
      </c>
      <c r="D27" s="1" t="s">
        <v>1415</v>
      </c>
      <c r="E27" s="1" t="s">
        <v>1416</v>
      </c>
      <c r="F27" s="1" t="s">
        <v>1417</v>
      </c>
      <c r="G27" s="1" t="s">
        <v>38</v>
      </c>
      <c r="H27" s="1" t="s">
        <v>36</v>
      </c>
      <c r="I27" s="1" t="s">
        <v>32</v>
      </c>
      <c r="J27" s="1" t="s">
        <v>34</v>
      </c>
      <c r="K27" s="1" t="s">
        <v>1445</v>
      </c>
      <c r="L27" s="1" t="s">
        <v>1419</v>
      </c>
      <c r="M27" s="41">
        <v>46087</v>
      </c>
    </row>
    <row r="28" spans="1:13" x14ac:dyDescent="0.25">
      <c r="A28" s="1" t="s">
        <v>1446</v>
      </c>
      <c r="B28" s="1" t="s">
        <v>40</v>
      </c>
      <c r="C28" s="1" t="s">
        <v>7</v>
      </c>
      <c r="D28" s="1" t="s">
        <v>1415</v>
      </c>
      <c r="E28" s="1" t="s">
        <v>1416</v>
      </c>
      <c r="F28" s="1" t="s">
        <v>1417</v>
      </c>
      <c r="G28" s="1" t="s">
        <v>39</v>
      </c>
      <c r="H28" s="1" t="s">
        <v>36</v>
      </c>
      <c r="I28" s="1" t="s">
        <v>20</v>
      </c>
      <c r="J28" s="1" t="s">
        <v>34</v>
      </c>
      <c r="K28" s="1" t="s">
        <v>1447</v>
      </c>
      <c r="L28" s="1" t="s">
        <v>1448</v>
      </c>
      <c r="M28" s="41">
        <v>46087</v>
      </c>
    </row>
    <row r="29" spans="1:13" x14ac:dyDescent="0.25">
      <c r="A29" s="1" t="s">
        <v>1446</v>
      </c>
      <c r="B29" s="1" t="s">
        <v>40</v>
      </c>
      <c r="C29" s="1" t="s">
        <v>7</v>
      </c>
      <c r="D29" s="1" t="s">
        <v>1415</v>
      </c>
      <c r="E29" s="1" t="s">
        <v>1416</v>
      </c>
      <c r="F29" s="1" t="s">
        <v>1417</v>
      </c>
      <c r="G29" s="1" t="s">
        <v>39</v>
      </c>
      <c r="H29" s="1" t="s">
        <v>36</v>
      </c>
      <c r="I29" s="1" t="s">
        <v>21</v>
      </c>
      <c r="J29" s="1" t="s">
        <v>34</v>
      </c>
      <c r="K29" s="1" t="s">
        <v>1449</v>
      </c>
      <c r="L29" s="1" t="s">
        <v>1448</v>
      </c>
      <c r="M29" s="41">
        <v>46087</v>
      </c>
    </row>
    <row r="30" spans="1:13" x14ac:dyDescent="0.25">
      <c r="A30" s="1" t="s">
        <v>1446</v>
      </c>
      <c r="B30" s="1" t="s">
        <v>40</v>
      </c>
      <c r="C30" s="1" t="s">
        <v>7</v>
      </c>
      <c r="D30" s="1" t="s">
        <v>1415</v>
      </c>
      <c r="E30" s="1" t="s">
        <v>1416</v>
      </c>
      <c r="F30" s="1" t="s">
        <v>1417</v>
      </c>
      <c r="G30" s="1" t="s">
        <v>39</v>
      </c>
      <c r="H30" s="1" t="s">
        <v>36</v>
      </c>
      <c r="I30" s="1" t="s">
        <v>22</v>
      </c>
      <c r="J30" s="1" t="s">
        <v>34</v>
      </c>
      <c r="K30" s="1" t="s">
        <v>1450</v>
      </c>
      <c r="L30" s="1" t="s">
        <v>1448</v>
      </c>
      <c r="M30" s="41">
        <v>46087</v>
      </c>
    </row>
    <row r="31" spans="1:13" x14ac:dyDescent="0.25">
      <c r="A31" s="1" t="s">
        <v>1446</v>
      </c>
      <c r="B31" s="1" t="s">
        <v>40</v>
      </c>
      <c r="C31" s="1" t="s">
        <v>7</v>
      </c>
      <c r="D31" s="1" t="s">
        <v>1415</v>
      </c>
      <c r="E31" s="1" t="s">
        <v>1416</v>
      </c>
      <c r="F31" s="1" t="s">
        <v>1417</v>
      </c>
      <c r="G31" s="1" t="s">
        <v>39</v>
      </c>
      <c r="H31" s="1" t="s">
        <v>36</v>
      </c>
      <c r="I31" s="1" t="s">
        <v>23</v>
      </c>
      <c r="J31" s="1" t="s">
        <v>34</v>
      </c>
      <c r="K31" s="1" t="s">
        <v>1451</v>
      </c>
      <c r="L31" s="1" t="s">
        <v>1448</v>
      </c>
      <c r="M31" s="41">
        <v>46087</v>
      </c>
    </row>
    <row r="32" spans="1:13" x14ac:dyDescent="0.25">
      <c r="A32" s="1" t="s">
        <v>1446</v>
      </c>
      <c r="B32" s="1" t="s">
        <v>40</v>
      </c>
      <c r="C32" s="1" t="s">
        <v>7</v>
      </c>
      <c r="D32" s="1" t="s">
        <v>1415</v>
      </c>
      <c r="E32" s="1" t="s">
        <v>1416</v>
      </c>
      <c r="F32" s="1" t="s">
        <v>1417</v>
      </c>
      <c r="G32" s="1" t="s">
        <v>39</v>
      </c>
      <c r="H32" s="1" t="s">
        <v>36</v>
      </c>
      <c r="I32" s="1" t="s">
        <v>24</v>
      </c>
      <c r="J32" s="1" t="s">
        <v>34</v>
      </c>
      <c r="K32" s="1" t="s">
        <v>1452</v>
      </c>
      <c r="L32" s="1" t="s">
        <v>1448</v>
      </c>
      <c r="M32" s="41">
        <v>46087</v>
      </c>
    </row>
    <row r="33" spans="1:13" x14ac:dyDescent="0.25">
      <c r="A33" s="1" t="s">
        <v>1446</v>
      </c>
      <c r="B33" s="1" t="s">
        <v>40</v>
      </c>
      <c r="C33" s="1" t="s">
        <v>7</v>
      </c>
      <c r="D33" s="1" t="s">
        <v>1415</v>
      </c>
      <c r="E33" s="1" t="s">
        <v>1416</v>
      </c>
      <c r="F33" s="1" t="s">
        <v>1417</v>
      </c>
      <c r="G33" s="1" t="s">
        <v>39</v>
      </c>
      <c r="H33" s="1" t="s">
        <v>36</v>
      </c>
      <c r="I33" s="1" t="s">
        <v>25</v>
      </c>
      <c r="J33" s="1" t="s">
        <v>34</v>
      </c>
      <c r="K33" s="1" t="s">
        <v>1453</v>
      </c>
      <c r="L33" s="1" t="s">
        <v>1448</v>
      </c>
      <c r="M33" s="41">
        <v>46087</v>
      </c>
    </row>
    <row r="34" spans="1:13" x14ac:dyDescent="0.25">
      <c r="A34" s="1" t="s">
        <v>1446</v>
      </c>
      <c r="B34" s="1" t="s">
        <v>40</v>
      </c>
      <c r="C34" s="1" t="s">
        <v>7</v>
      </c>
      <c r="D34" s="1" t="s">
        <v>1415</v>
      </c>
      <c r="E34" s="1" t="s">
        <v>1416</v>
      </c>
      <c r="F34" s="1" t="s">
        <v>1417</v>
      </c>
      <c r="G34" s="1" t="s">
        <v>39</v>
      </c>
      <c r="H34" s="1" t="s">
        <v>36</v>
      </c>
      <c r="I34" s="1" t="s">
        <v>26</v>
      </c>
      <c r="J34" s="1" t="s">
        <v>34</v>
      </c>
      <c r="K34" s="1" t="s">
        <v>1454</v>
      </c>
      <c r="L34" s="1" t="s">
        <v>1448</v>
      </c>
      <c r="M34" s="41">
        <v>46087</v>
      </c>
    </row>
    <row r="35" spans="1:13" x14ac:dyDescent="0.25">
      <c r="A35" s="1" t="s">
        <v>1446</v>
      </c>
      <c r="B35" s="1" t="s">
        <v>40</v>
      </c>
      <c r="C35" s="1" t="s">
        <v>7</v>
      </c>
      <c r="D35" s="1" t="s">
        <v>1415</v>
      </c>
      <c r="E35" s="1" t="s">
        <v>1416</v>
      </c>
      <c r="F35" s="1" t="s">
        <v>1417</v>
      </c>
      <c r="G35" s="1" t="s">
        <v>39</v>
      </c>
      <c r="H35" s="1" t="s">
        <v>36</v>
      </c>
      <c r="I35" s="1" t="s">
        <v>27</v>
      </c>
      <c r="J35" s="1" t="s">
        <v>34</v>
      </c>
      <c r="K35" s="1" t="s">
        <v>1455</v>
      </c>
      <c r="L35" s="1" t="s">
        <v>1448</v>
      </c>
      <c r="M35" s="41">
        <v>46087</v>
      </c>
    </row>
    <row r="36" spans="1:13" x14ac:dyDescent="0.25">
      <c r="A36" s="1" t="s">
        <v>1446</v>
      </c>
      <c r="B36" s="1" t="s">
        <v>40</v>
      </c>
      <c r="C36" s="1" t="s">
        <v>7</v>
      </c>
      <c r="D36" s="1" t="s">
        <v>1415</v>
      </c>
      <c r="E36" s="1" t="s">
        <v>1416</v>
      </c>
      <c r="F36" s="1" t="s">
        <v>1417</v>
      </c>
      <c r="G36" s="1" t="s">
        <v>39</v>
      </c>
      <c r="H36" s="1" t="s">
        <v>36</v>
      </c>
      <c r="I36" s="1" t="s">
        <v>28</v>
      </c>
      <c r="J36" s="1" t="s">
        <v>34</v>
      </c>
      <c r="K36" s="1" t="s">
        <v>1456</v>
      </c>
      <c r="L36" s="1" t="s">
        <v>1448</v>
      </c>
      <c r="M36" s="41">
        <v>46087</v>
      </c>
    </row>
    <row r="37" spans="1:13" x14ac:dyDescent="0.25">
      <c r="A37" s="1" t="s">
        <v>1446</v>
      </c>
      <c r="B37" s="1" t="s">
        <v>40</v>
      </c>
      <c r="C37" s="1" t="s">
        <v>7</v>
      </c>
      <c r="D37" s="1" t="s">
        <v>1415</v>
      </c>
      <c r="E37" s="1" t="s">
        <v>1416</v>
      </c>
      <c r="F37" s="1" t="s">
        <v>1417</v>
      </c>
      <c r="G37" s="1" t="s">
        <v>39</v>
      </c>
      <c r="H37" s="1" t="s">
        <v>36</v>
      </c>
      <c r="I37" s="1" t="s">
        <v>29</v>
      </c>
      <c r="J37" s="1" t="s">
        <v>34</v>
      </c>
      <c r="K37" s="1" t="s">
        <v>1457</v>
      </c>
      <c r="L37" s="1" t="s">
        <v>1448</v>
      </c>
      <c r="M37" s="41">
        <v>46087</v>
      </c>
    </row>
    <row r="38" spans="1:13" x14ac:dyDescent="0.25">
      <c r="A38" s="1" t="s">
        <v>1446</v>
      </c>
      <c r="B38" s="1" t="s">
        <v>40</v>
      </c>
      <c r="C38" s="1" t="s">
        <v>7</v>
      </c>
      <c r="D38" s="1" t="s">
        <v>1415</v>
      </c>
      <c r="E38" s="1" t="s">
        <v>1416</v>
      </c>
      <c r="F38" s="1" t="s">
        <v>1417</v>
      </c>
      <c r="G38" s="1" t="s">
        <v>39</v>
      </c>
      <c r="H38" s="1" t="s">
        <v>36</v>
      </c>
      <c r="I38" s="1" t="s">
        <v>30</v>
      </c>
      <c r="J38" s="1" t="s">
        <v>34</v>
      </c>
      <c r="K38" s="1" t="s">
        <v>1458</v>
      </c>
      <c r="L38" s="1" t="s">
        <v>1448</v>
      </c>
      <c r="M38" s="41">
        <v>46087</v>
      </c>
    </row>
    <row r="39" spans="1:13" x14ac:dyDescent="0.25">
      <c r="A39" s="1" t="s">
        <v>1446</v>
      </c>
      <c r="B39" s="1" t="s">
        <v>40</v>
      </c>
      <c r="C39" s="1" t="s">
        <v>7</v>
      </c>
      <c r="D39" s="1" t="s">
        <v>1415</v>
      </c>
      <c r="E39" s="1" t="s">
        <v>1416</v>
      </c>
      <c r="F39" s="1" t="s">
        <v>1417</v>
      </c>
      <c r="G39" s="1" t="s">
        <v>39</v>
      </c>
      <c r="H39" s="1" t="s">
        <v>36</v>
      </c>
      <c r="I39" s="1" t="s">
        <v>31</v>
      </c>
      <c r="J39" s="1" t="s">
        <v>34</v>
      </c>
      <c r="K39" s="1" t="s">
        <v>1459</v>
      </c>
      <c r="L39" s="1" t="s">
        <v>1448</v>
      </c>
      <c r="M39" s="41">
        <v>46087</v>
      </c>
    </row>
    <row r="40" spans="1:13" x14ac:dyDescent="0.25">
      <c r="A40" s="1" t="s">
        <v>1446</v>
      </c>
      <c r="B40" s="1" t="s">
        <v>40</v>
      </c>
      <c r="C40" s="1" t="s">
        <v>7</v>
      </c>
      <c r="D40" s="1" t="s">
        <v>1415</v>
      </c>
      <c r="E40" s="1" t="s">
        <v>1416</v>
      </c>
      <c r="F40" s="1" t="s">
        <v>1417</v>
      </c>
      <c r="G40" s="1" t="s">
        <v>39</v>
      </c>
      <c r="H40" s="1" t="s">
        <v>36</v>
      </c>
      <c r="I40" s="1" t="s">
        <v>32</v>
      </c>
      <c r="J40" s="1" t="s">
        <v>34</v>
      </c>
      <c r="K40" s="1" t="s">
        <v>1460</v>
      </c>
      <c r="L40" s="1" t="s">
        <v>1448</v>
      </c>
      <c r="M40" s="41">
        <v>46087</v>
      </c>
    </row>
    <row r="41" spans="1:13" x14ac:dyDescent="0.25">
      <c r="A41" s="1" t="s">
        <v>1461</v>
      </c>
      <c r="B41" s="1" t="s">
        <v>40</v>
      </c>
      <c r="C41" s="1" t="s">
        <v>7</v>
      </c>
      <c r="D41" s="1" t="s">
        <v>1415</v>
      </c>
      <c r="E41" s="1" t="s">
        <v>1416</v>
      </c>
      <c r="F41" s="1" t="s">
        <v>1417</v>
      </c>
      <c r="G41" s="1" t="s">
        <v>41</v>
      </c>
      <c r="H41" s="1" t="s">
        <v>36</v>
      </c>
      <c r="I41" s="1" t="s">
        <v>20</v>
      </c>
      <c r="J41" s="1" t="s">
        <v>34</v>
      </c>
      <c r="K41" s="1" t="s">
        <v>1462</v>
      </c>
      <c r="L41" s="1" t="s">
        <v>1448</v>
      </c>
      <c r="M41" s="41">
        <v>46188</v>
      </c>
    </row>
    <row r="42" spans="1:13" x14ac:dyDescent="0.25">
      <c r="A42" s="1" t="s">
        <v>1461</v>
      </c>
      <c r="B42" s="1" t="s">
        <v>40</v>
      </c>
      <c r="C42" s="1" t="s">
        <v>7</v>
      </c>
      <c r="D42" s="1" t="s">
        <v>1415</v>
      </c>
      <c r="E42" s="1" t="s">
        <v>1416</v>
      </c>
      <c r="F42" s="1" t="s">
        <v>1417</v>
      </c>
      <c r="G42" s="1" t="s">
        <v>41</v>
      </c>
      <c r="H42" s="1" t="s">
        <v>36</v>
      </c>
      <c r="I42" s="1" t="s">
        <v>21</v>
      </c>
      <c r="J42" s="1" t="s">
        <v>34</v>
      </c>
      <c r="K42" s="1" t="s">
        <v>1463</v>
      </c>
      <c r="L42" s="1" t="s">
        <v>1448</v>
      </c>
      <c r="M42" s="41">
        <v>46188</v>
      </c>
    </row>
    <row r="43" spans="1:13" x14ac:dyDescent="0.25">
      <c r="A43" s="1" t="s">
        <v>1461</v>
      </c>
      <c r="B43" s="1" t="s">
        <v>40</v>
      </c>
      <c r="C43" s="1" t="s">
        <v>7</v>
      </c>
      <c r="D43" s="1" t="s">
        <v>1415</v>
      </c>
      <c r="E43" s="1" t="s">
        <v>1416</v>
      </c>
      <c r="F43" s="1" t="s">
        <v>1417</v>
      </c>
      <c r="G43" s="1" t="s">
        <v>41</v>
      </c>
      <c r="H43" s="1" t="s">
        <v>36</v>
      </c>
      <c r="I43" s="1" t="s">
        <v>22</v>
      </c>
      <c r="J43" s="1" t="s">
        <v>34</v>
      </c>
      <c r="K43" s="1" t="s">
        <v>1464</v>
      </c>
      <c r="L43" s="1" t="s">
        <v>1448</v>
      </c>
      <c r="M43" s="41">
        <v>46087</v>
      </c>
    </row>
    <row r="44" spans="1:13" x14ac:dyDescent="0.25">
      <c r="A44" s="1" t="s">
        <v>1461</v>
      </c>
      <c r="B44" s="1" t="s">
        <v>40</v>
      </c>
      <c r="C44" s="1" t="s">
        <v>7</v>
      </c>
      <c r="D44" s="1" t="s">
        <v>1415</v>
      </c>
      <c r="E44" s="1" t="s">
        <v>1416</v>
      </c>
      <c r="F44" s="1" t="s">
        <v>1417</v>
      </c>
      <c r="G44" s="1" t="s">
        <v>41</v>
      </c>
      <c r="H44" s="1" t="s">
        <v>36</v>
      </c>
      <c r="I44" s="1" t="s">
        <v>23</v>
      </c>
      <c r="J44" s="1" t="s">
        <v>34</v>
      </c>
      <c r="K44" s="1" t="s">
        <v>1465</v>
      </c>
      <c r="L44" s="1" t="s">
        <v>1448</v>
      </c>
      <c r="M44" s="41">
        <v>46087</v>
      </c>
    </row>
    <row r="45" spans="1:13" x14ac:dyDescent="0.25">
      <c r="A45" s="1" t="s">
        <v>1461</v>
      </c>
      <c r="B45" s="1" t="s">
        <v>40</v>
      </c>
      <c r="C45" s="1" t="s">
        <v>7</v>
      </c>
      <c r="D45" s="1" t="s">
        <v>1415</v>
      </c>
      <c r="E45" s="1" t="s">
        <v>1416</v>
      </c>
      <c r="F45" s="1" t="s">
        <v>1417</v>
      </c>
      <c r="G45" s="1" t="s">
        <v>41</v>
      </c>
      <c r="H45" s="1" t="s">
        <v>36</v>
      </c>
      <c r="I45" s="1" t="s">
        <v>24</v>
      </c>
      <c r="J45" s="1" t="s">
        <v>34</v>
      </c>
      <c r="K45" s="1" t="s">
        <v>1466</v>
      </c>
      <c r="L45" s="1" t="s">
        <v>1448</v>
      </c>
      <c r="M45" s="41">
        <v>46087</v>
      </c>
    </row>
    <row r="46" spans="1:13" x14ac:dyDescent="0.25">
      <c r="A46" s="1" t="s">
        <v>1461</v>
      </c>
      <c r="B46" s="1" t="s">
        <v>40</v>
      </c>
      <c r="C46" s="1" t="s">
        <v>7</v>
      </c>
      <c r="D46" s="1" t="s">
        <v>1415</v>
      </c>
      <c r="E46" s="1" t="s">
        <v>1416</v>
      </c>
      <c r="F46" s="1" t="s">
        <v>1417</v>
      </c>
      <c r="G46" s="1" t="s">
        <v>41</v>
      </c>
      <c r="H46" s="1" t="s">
        <v>36</v>
      </c>
      <c r="I46" s="1" t="s">
        <v>25</v>
      </c>
      <c r="J46" s="1" t="s">
        <v>34</v>
      </c>
      <c r="K46" s="1" t="s">
        <v>1467</v>
      </c>
      <c r="L46" s="1" t="s">
        <v>1448</v>
      </c>
      <c r="M46" s="41">
        <v>46087</v>
      </c>
    </row>
    <row r="47" spans="1:13" x14ac:dyDescent="0.25">
      <c r="A47" s="1" t="s">
        <v>1461</v>
      </c>
      <c r="B47" s="1" t="s">
        <v>40</v>
      </c>
      <c r="C47" s="1" t="s">
        <v>7</v>
      </c>
      <c r="D47" s="1" t="s">
        <v>1415</v>
      </c>
      <c r="E47" s="1" t="s">
        <v>1416</v>
      </c>
      <c r="F47" s="1" t="s">
        <v>1417</v>
      </c>
      <c r="G47" s="1" t="s">
        <v>41</v>
      </c>
      <c r="H47" s="1" t="s">
        <v>36</v>
      </c>
      <c r="I47" s="1" t="s">
        <v>26</v>
      </c>
      <c r="J47" s="1" t="s">
        <v>34</v>
      </c>
      <c r="K47" s="1" t="s">
        <v>1468</v>
      </c>
      <c r="L47" s="1" t="s">
        <v>1448</v>
      </c>
      <c r="M47" s="41">
        <v>46087</v>
      </c>
    </row>
    <row r="48" spans="1:13" x14ac:dyDescent="0.25">
      <c r="A48" s="1" t="s">
        <v>1461</v>
      </c>
      <c r="B48" s="1" t="s">
        <v>40</v>
      </c>
      <c r="C48" s="1" t="s">
        <v>7</v>
      </c>
      <c r="D48" s="1" t="s">
        <v>1415</v>
      </c>
      <c r="E48" s="1" t="s">
        <v>1416</v>
      </c>
      <c r="F48" s="1" t="s">
        <v>1417</v>
      </c>
      <c r="G48" s="1" t="s">
        <v>41</v>
      </c>
      <c r="H48" s="1" t="s">
        <v>36</v>
      </c>
      <c r="I48" s="1" t="s">
        <v>27</v>
      </c>
      <c r="J48" s="1" t="s">
        <v>34</v>
      </c>
      <c r="K48" s="1" t="s">
        <v>1469</v>
      </c>
      <c r="L48" s="1" t="s">
        <v>1448</v>
      </c>
      <c r="M48" s="41">
        <v>46087</v>
      </c>
    </row>
    <row r="49" spans="1:13" x14ac:dyDescent="0.25">
      <c r="A49" s="1" t="s">
        <v>1461</v>
      </c>
      <c r="B49" s="1" t="s">
        <v>40</v>
      </c>
      <c r="C49" s="1" t="s">
        <v>7</v>
      </c>
      <c r="D49" s="1" t="s">
        <v>1415</v>
      </c>
      <c r="E49" s="1" t="s">
        <v>1416</v>
      </c>
      <c r="F49" s="1" t="s">
        <v>1417</v>
      </c>
      <c r="G49" s="1" t="s">
        <v>41</v>
      </c>
      <c r="H49" s="1" t="s">
        <v>36</v>
      </c>
      <c r="I49" s="1" t="s">
        <v>28</v>
      </c>
      <c r="J49" s="1" t="s">
        <v>34</v>
      </c>
      <c r="K49" s="1" t="s">
        <v>1470</v>
      </c>
      <c r="L49" s="1" t="s">
        <v>1448</v>
      </c>
      <c r="M49" s="41">
        <v>46087</v>
      </c>
    </row>
    <row r="50" spans="1:13" x14ac:dyDescent="0.25">
      <c r="A50" s="1" t="s">
        <v>1461</v>
      </c>
      <c r="B50" s="1" t="s">
        <v>40</v>
      </c>
      <c r="C50" s="1" t="s">
        <v>7</v>
      </c>
      <c r="D50" s="1" t="s">
        <v>1415</v>
      </c>
      <c r="E50" s="1" t="s">
        <v>1416</v>
      </c>
      <c r="F50" s="1" t="s">
        <v>1417</v>
      </c>
      <c r="G50" s="1" t="s">
        <v>41</v>
      </c>
      <c r="H50" s="1" t="s">
        <v>36</v>
      </c>
      <c r="I50" s="1" t="s">
        <v>29</v>
      </c>
      <c r="J50" s="1" t="s">
        <v>34</v>
      </c>
      <c r="K50" s="1" t="s">
        <v>1471</v>
      </c>
      <c r="L50" s="1" t="s">
        <v>1448</v>
      </c>
      <c r="M50" s="41">
        <v>46087</v>
      </c>
    </row>
    <row r="51" spans="1:13" x14ac:dyDescent="0.25">
      <c r="A51" s="1" t="s">
        <v>1461</v>
      </c>
      <c r="B51" s="1" t="s">
        <v>40</v>
      </c>
      <c r="C51" s="1" t="s">
        <v>7</v>
      </c>
      <c r="D51" s="1" t="s">
        <v>1415</v>
      </c>
      <c r="E51" s="1" t="s">
        <v>1416</v>
      </c>
      <c r="F51" s="1" t="s">
        <v>1417</v>
      </c>
      <c r="G51" s="1" t="s">
        <v>41</v>
      </c>
      <c r="H51" s="1" t="s">
        <v>36</v>
      </c>
      <c r="I51" s="1" t="s">
        <v>30</v>
      </c>
      <c r="J51" s="1" t="s">
        <v>34</v>
      </c>
      <c r="K51" s="1" t="s">
        <v>1472</v>
      </c>
      <c r="L51" s="1" t="s">
        <v>1448</v>
      </c>
      <c r="M51" s="41">
        <v>46087</v>
      </c>
    </row>
    <row r="52" spans="1:13" x14ac:dyDescent="0.25">
      <c r="A52" s="1" t="s">
        <v>1461</v>
      </c>
      <c r="B52" s="1" t="s">
        <v>40</v>
      </c>
      <c r="C52" s="1" t="s">
        <v>7</v>
      </c>
      <c r="D52" s="1" t="s">
        <v>1415</v>
      </c>
      <c r="E52" s="1" t="s">
        <v>1416</v>
      </c>
      <c r="F52" s="1" t="s">
        <v>1417</v>
      </c>
      <c r="G52" s="1" t="s">
        <v>41</v>
      </c>
      <c r="H52" s="1" t="s">
        <v>36</v>
      </c>
      <c r="I52" s="1" t="s">
        <v>31</v>
      </c>
      <c r="J52" s="1" t="s">
        <v>34</v>
      </c>
      <c r="K52" s="1" t="s">
        <v>1473</v>
      </c>
      <c r="L52" s="1" t="s">
        <v>1448</v>
      </c>
      <c r="M52" s="41">
        <v>46188</v>
      </c>
    </row>
    <row r="53" spans="1:13" x14ac:dyDescent="0.25">
      <c r="A53" s="1" t="s">
        <v>1461</v>
      </c>
      <c r="B53" s="1" t="s">
        <v>40</v>
      </c>
      <c r="C53" s="1" t="s">
        <v>7</v>
      </c>
      <c r="D53" s="1" t="s">
        <v>1415</v>
      </c>
      <c r="E53" s="1" t="s">
        <v>1416</v>
      </c>
      <c r="F53" s="1" t="s">
        <v>1417</v>
      </c>
      <c r="G53" s="1" t="s">
        <v>41</v>
      </c>
      <c r="H53" s="1" t="s">
        <v>36</v>
      </c>
      <c r="I53" s="1" t="s">
        <v>32</v>
      </c>
      <c r="J53" s="1" t="s">
        <v>34</v>
      </c>
      <c r="K53" s="1" t="s">
        <v>1474</v>
      </c>
      <c r="L53" s="1" t="s">
        <v>1448</v>
      </c>
      <c r="M53" s="41">
        <v>46251</v>
      </c>
    </row>
    <row r="54" spans="1:13" x14ac:dyDescent="0.25">
      <c r="A54" s="1" t="s">
        <v>1475</v>
      </c>
      <c r="B54" s="1" t="s">
        <v>43</v>
      </c>
      <c r="C54" s="1" t="s">
        <v>7</v>
      </c>
      <c r="D54" s="1" t="s">
        <v>1415</v>
      </c>
      <c r="E54" s="1" t="s">
        <v>1416</v>
      </c>
      <c r="F54" s="1" t="s">
        <v>1417</v>
      </c>
      <c r="G54" s="1" t="s">
        <v>42</v>
      </c>
      <c r="H54" s="1" t="s">
        <v>36</v>
      </c>
      <c r="I54" s="1" t="s">
        <v>20</v>
      </c>
      <c r="J54" s="1" t="s">
        <v>34</v>
      </c>
      <c r="K54" s="1" t="s">
        <v>1476</v>
      </c>
      <c r="L54" s="1" t="s">
        <v>1477</v>
      </c>
      <c r="M54" s="41">
        <v>46109</v>
      </c>
    </row>
    <row r="55" spans="1:13" x14ac:dyDescent="0.25">
      <c r="A55" s="1" t="s">
        <v>1475</v>
      </c>
      <c r="B55" s="1" t="s">
        <v>43</v>
      </c>
      <c r="C55" s="1" t="s">
        <v>7</v>
      </c>
      <c r="D55" s="1" t="s">
        <v>1415</v>
      </c>
      <c r="E55" s="1" t="s">
        <v>1416</v>
      </c>
      <c r="F55" s="1" t="s">
        <v>1417</v>
      </c>
      <c r="G55" s="1" t="s">
        <v>42</v>
      </c>
      <c r="H55" s="1" t="s">
        <v>36</v>
      </c>
      <c r="I55" s="1" t="s">
        <v>21</v>
      </c>
      <c r="J55" s="1" t="s">
        <v>34</v>
      </c>
      <c r="K55" s="1" t="s">
        <v>1478</v>
      </c>
      <c r="L55" s="1" t="s">
        <v>1477</v>
      </c>
      <c r="M55" s="41">
        <v>46109</v>
      </c>
    </row>
    <row r="56" spans="1:13" x14ac:dyDescent="0.25">
      <c r="A56" s="1" t="s">
        <v>1475</v>
      </c>
      <c r="B56" s="1" t="s">
        <v>43</v>
      </c>
      <c r="C56" s="1" t="s">
        <v>7</v>
      </c>
      <c r="D56" s="1" t="s">
        <v>1415</v>
      </c>
      <c r="E56" s="1" t="s">
        <v>1416</v>
      </c>
      <c r="F56" s="1" t="s">
        <v>1417</v>
      </c>
      <c r="G56" s="1" t="s">
        <v>42</v>
      </c>
      <c r="H56" s="1" t="s">
        <v>36</v>
      </c>
      <c r="I56" s="1" t="s">
        <v>22</v>
      </c>
      <c r="J56" s="1" t="s">
        <v>34</v>
      </c>
      <c r="K56" s="1" t="s">
        <v>1479</v>
      </c>
      <c r="L56" s="1" t="s">
        <v>1477</v>
      </c>
      <c r="M56" s="41">
        <v>46087</v>
      </c>
    </row>
    <row r="57" spans="1:13" x14ac:dyDescent="0.25">
      <c r="A57" s="1" t="s">
        <v>1475</v>
      </c>
      <c r="B57" s="1" t="s">
        <v>43</v>
      </c>
      <c r="C57" s="1" t="s">
        <v>7</v>
      </c>
      <c r="D57" s="1" t="s">
        <v>1415</v>
      </c>
      <c r="E57" s="1" t="s">
        <v>1416</v>
      </c>
      <c r="F57" s="1" t="s">
        <v>1417</v>
      </c>
      <c r="G57" s="1" t="s">
        <v>42</v>
      </c>
      <c r="H57" s="1" t="s">
        <v>36</v>
      </c>
      <c r="I57" s="1" t="s">
        <v>23</v>
      </c>
      <c r="J57" s="1" t="s">
        <v>34</v>
      </c>
      <c r="K57" s="1" t="s">
        <v>1480</v>
      </c>
      <c r="L57" s="1" t="s">
        <v>1477</v>
      </c>
      <c r="M57" s="41">
        <v>46087</v>
      </c>
    </row>
    <row r="58" spans="1:13" x14ac:dyDescent="0.25">
      <c r="A58" s="1" t="s">
        <v>1475</v>
      </c>
      <c r="B58" s="1" t="s">
        <v>43</v>
      </c>
      <c r="C58" s="1" t="s">
        <v>7</v>
      </c>
      <c r="D58" s="1" t="s">
        <v>1415</v>
      </c>
      <c r="E58" s="1" t="s">
        <v>1416</v>
      </c>
      <c r="F58" s="1" t="s">
        <v>1417</v>
      </c>
      <c r="G58" s="1" t="s">
        <v>42</v>
      </c>
      <c r="H58" s="1" t="s">
        <v>36</v>
      </c>
      <c r="I58" s="1" t="s">
        <v>24</v>
      </c>
      <c r="J58" s="1" t="s">
        <v>34</v>
      </c>
      <c r="K58" s="1" t="s">
        <v>1481</v>
      </c>
      <c r="L58" s="1" t="s">
        <v>1477</v>
      </c>
      <c r="M58" s="41">
        <v>46087</v>
      </c>
    </row>
    <row r="59" spans="1:13" x14ac:dyDescent="0.25">
      <c r="A59" s="1" t="s">
        <v>1475</v>
      </c>
      <c r="B59" s="1" t="s">
        <v>43</v>
      </c>
      <c r="C59" s="1" t="s">
        <v>7</v>
      </c>
      <c r="D59" s="1" t="s">
        <v>1415</v>
      </c>
      <c r="E59" s="1" t="s">
        <v>1416</v>
      </c>
      <c r="F59" s="1" t="s">
        <v>1417</v>
      </c>
      <c r="G59" s="1" t="s">
        <v>42</v>
      </c>
      <c r="H59" s="1" t="s">
        <v>36</v>
      </c>
      <c r="I59" s="1" t="s">
        <v>25</v>
      </c>
      <c r="J59" s="1" t="s">
        <v>34</v>
      </c>
      <c r="K59" s="1" t="s">
        <v>1482</v>
      </c>
      <c r="L59" s="1" t="s">
        <v>1477</v>
      </c>
      <c r="M59" s="41">
        <v>46087</v>
      </c>
    </row>
    <row r="60" spans="1:13" x14ac:dyDescent="0.25">
      <c r="A60" s="1" t="s">
        <v>1475</v>
      </c>
      <c r="B60" s="1" t="s">
        <v>43</v>
      </c>
      <c r="C60" s="1" t="s">
        <v>7</v>
      </c>
      <c r="D60" s="1" t="s">
        <v>1415</v>
      </c>
      <c r="E60" s="1" t="s">
        <v>1416</v>
      </c>
      <c r="F60" s="1" t="s">
        <v>1417</v>
      </c>
      <c r="G60" s="1" t="s">
        <v>42</v>
      </c>
      <c r="H60" s="1" t="s">
        <v>36</v>
      </c>
      <c r="I60" s="1" t="s">
        <v>26</v>
      </c>
      <c r="J60" s="1" t="s">
        <v>34</v>
      </c>
      <c r="K60" s="1" t="s">
        <v>1483</v>
      </c>
      <c r="L60" s="1" t="s">
        <v>1477</v>
      </c>
      <c r="M60" s="41">
        <v>46087</v>
      </c>
    </row>
    <row r="61" spans="1:13" x14ac:dyDescent="0.25">
      <c r="A61" s="1" t="s">
        <v>1475</v>
      </c>
      <c r="B61" s="1" t="s">
        <v>43</v>
      </c>
      <c r="C61" s="1" t="s">
        <v>7</v>
      </c>
      <c r="D61" s="1" t="s">
        <v>1415</v>
      </c>
      <c r="E61" s="1" t="s">
        <v>1416</v>
      </c>
      <c r="F61" s="1" t="s">
        <v>1417</v>
      </c>
      <c r="G61" s="1" t="s">
        <v>42</v>
      </c>
      <c r="H61" s="1" t="s">
        <v>36</v>
      </c>
      <c r="I61" s="1" t="s">
        <v>27</v>
      </c>
      <c r="J61" s="1" t="s">
        <v>34</v>
      </c>
      <c r="K61" s="1" t="s">
        <v>1484</v>
      </c>
      <c r="L61" s="1" t="s">
        <v>1477</v>
      </c>
      <c r="M61" s="41">
        <v>46087</v>
      </c>
    </row>
    <row r="62" spans="1:13" x14ac:dyDescent="0.25">
      <c r="A62" s="1" t="s">
        <v>1475</v>
      </c>
      <c r="B62" s="1" t="s">
        <v>43</v>
      </c>
      <c r="C62" s="1" t="s">
        <v>7</v>
      </c>
      <c r="D62" s="1" t="s">
        <v>1415</v>
      </c>
      <c r="E62" s="1" t="s">
        <v>1416</v>
      </c>
      <c r="F62" s="1" t="s">
        <v>1417</v>
      </c>
      <c r="G62" s="1" t="s">
        <v>42</v>
      </c>
      <c r="H62" s="1" t="s">
        <v>36</v>
      </c>
      <c r="I62" s="1" t="s">
        <v>28</v>
      </c>
      <c r="J62" s="1" t="s">
        <v>34</v>
      </c>
      <c r="K62" s="1" t="s">
        <v>1485</v>
      </c>
      <c r="L62" s="1" t="s">
        <v>1477</v>
      </c>
      <c r="M62" s="41">
        <v>46087</v>
      </c>
    </row>
    <row r="63" spans="1:13" x14ac:dyDescent="0.25">
      <c r="A63" s="1" t="s">
        <v>1475</v>
      </c>
      <c r="B63" s="1" t="s">
        <v>43</v>
      </c>
      <c r="C63" s="1" t="s">
        <v>7</v>
      </c>
      <c r="D63" s="1" t="s">
        <v>1415</v>
      </c>
      <c r="E63" s="1" t="s">
        <v>1416</v>
      </c>
      <c r="F63" s="1" t="s">
        <v>1417</v>
      </c>
      <c r="G63" s="1" t="s">
        <v>42</v>
      </c>
      <c r="H63" s="1" t="s">
        <v>36</v>
      </c>
      <c r="I63" s="1" t="s">
        <v>29</v>
      </c>
      <c r="J63" s="1" t="s">
        <v>34</v>
      </c>
      <c r="K63" s="1" t="s">
        <v>1486</v>
      </c>
      <c r="L63" s="1" t="s">
        <v>1477</v>
      </c>
      <c r="M63" s="41">
        <v>46087</v>
      </c>
    </row>
    <row r="64" spans="1:13" x14ac:dyDescent="0.25">
      <c r="A64" s="1" t="s">
        <v>1475</v>
      </c>
      <c r="B64" s="1" t="s">
        <v>43</v>
      </c>
      <c r="C64" s="1" t="s">
        <v>7</v>
      </c>
      <c r="D64" s="1" t="s">
        <v>1415</v>
      </c>
      <c r="E64" s="1" t="s">
        <v>1416</v>
      </c>
      <c r="F64" s="1" t="s">
        <v>1417</v>
      </c>
      <c r="G64" s="1" t="s">
        <v>42</v>
      </c>
      <c r="H64" s="1" t="s">
        <v>36</v>
      </c>
      <c r="I64" s="1" t="s">
        <v>30</v>
      </c>
      <c r="J64" s="1" t="s">
        <v>34</v>
      </c>
      <c r="K64" s="1" t="s">
        <v>1487</v>
      </c>
      <c r="L64" s="1" t="s">
        <v>1477</v>
      </c>
      <c r="M64" s="41">
        <v>46087</v>
      </c>
    </row>
    <row r="65" spans="1:13" x14ac:dyDescent="0.25">
      <c r="A65" s="1" t="s">
        <v>1475</v>
      </c>
      <c r="B65" s="1" t="s">
        <v>43</v>
      </c>
      <c r="C65" s="1" t="s">
        <v>7</v>
      </c>
      <c r="D65" s="1" t="s">
        <v>1415</v>
      </c>
      <c r="E65" s="1" t="s">
        <v>1416</v>
      </c>
      <c r="F65" s="1" t="s">
        <v>1417</v>
      </c>
      <c r="G65" s="1" t="s">
        <v>42</v>
      </c>
      <c r="H65" s="1" t="s">
        <v>36</v>
      </c>
      <c r="I65" s="1" t="s">
        <v>31</v>
      </c>
      <c r="J65" s="1" t="s">
        <v>34</v>
      </c>
      <c r="K65" s="1" t="s">
        <v>1488</v>
      </c>
      <c r="L65" s="1" t="s">
        <v>1477</v>
      </c>
      <c r="M65" s="41">
        <v>46087</v>
      </c>
    </row>
    <row r="66" spans="1:13" x14ac:dyDescent="0.25">
      <c r="A66" s="1" t="s">
        <v>1475</v>
      </c>
      <c r="B66" s="1" t="s">
        <v>43</v>
      </c>
      <c r="C66" s="1" t="s">
        <v>7</v>
      </c>
      <c r="D66" s="1" t="s">
        <v>1415</v>
      </c>
      <c r="E66" s="1" t="s">
        <v>1416</v>
      </c>
      <c r="F66" s="1" t="s">
        <v>1417</v>
      </c>
      <c r="G66" s="1" t="s">
        <v>42</v>
      </c>
      <c r="H66" s="1" t="s">
        <v>36</v>
      </c>
      <c r="I66" s="1" t="s">
        <v>32</v>
      </c>
      <c r="J66" s="1" t="s">
        <v>34</v>
      </c>
      <c r="K66" s="1" t="s">
        <v>1489</v>
      </c>
      <c r="L66" s="1" t="s">
        <v>1477</v>
      </c>
      <c r="M66" s="41">
        <v>46109</v>
      </c>
    </row>
    <row r="67" spans="1:13" x14ac:dyDescent="0.25">
      <c r="A67" s="1" t="s">
        <v>1490</v>
      </c>
      <c r="B67" s="1" t="s">
        <v>45</v>
      </c>
      <c r="C67" s="1" t="s">
        <v>7</v>
      </c>
      <c r="D67" s="1" t="s">
        <v>1415</v>
      </c>
      <c r="E67" s="1" t="s">
        <v>1416</v>
      </c>
      <c r="F67" s="1" t="s">
        <v>1417</v>
      </c>
      <c r="G67" s="1" t="s">
        <v>44</v>
      </c>
      <c r="H67" s="1" t="s">
        <v>36</v>
      </c>
      <c r="I67" s="1" t="s">
        <v>20</v>
      </c>
      <c r="J67" s="1" t="s">
        <v>34</v>
      </c>
      <c r="K67" s="1" t="s">
        <v>1491</v>
      </c>
      <c r="L67" s="1" t="s">
        <v>1492</v>
      </c>
      <c r="M67" s="41" t="s">
        <v>9</v>
      </c>
    </row>
    <row r="68" spans="1:13" x14ac:dyDescent="0.25">
      <c r="A68" s="1" t="s">
        <v>1490</v>
      </c>
      <c r="B68" s="1" t="s">
        <v>45</v>
      </c>
      <c r="C68" s="1" t="s">
        <v>7</v>
      </c>
      <c r="D68" s="1" t="s">
        <v>1415</v>
      </c>
      <c r="E68" s="1" t="s">
        <v>1416</v>
      </c>
      <c r="F68" s="1" t="s">
        <v>1417</v>
      </c>
      <c r="G68" s="1" t="s">
        <v>44</v>
      </c>
      <c r="H68" s="1" t="s">
        <v>36</v>
      </c>
      <c r="I68" s="1" t="s">
        <v>21</v>
      </c>
      <c r="J68" s="1" t="s">
        <v>34</v>
      </c>
      <c r="K68" s="1" t="s">
        <v>1493</v>
      </c>
      <c r="L68" s="1" t="s">
        <v>1492</v>
      </c>
      <c r="M68" s="41" t="s">
        <v>9</v>
      </c>
    </row>
    <row r="69" spans="1:13" x14ac:dyDescent="0.25">
      <c r="A69" s="1" t="s">
        <v>1490</v>
      </c>
      <c r="B69" s="1" t="s">
        <v>45</v>
      </c>
      <c r="C69" s="1" t="s">
        <v>7</v>
      </c>
      <c r="D69" s="1" t="s">
        <v>1415</v>
      </c>
      <c r="E69" s="1" t="s">
        <v>1416</v>
      </c>
      <c r="F69" s="1" t="s">
        <v>1417</v>
      </c>
      <c r="G69" s="1" t="s">
        <v>44</v>
      </c>
      <c r="H69" s="1" t="s">
        <v>36</v>
      </c>
      <c r="I69" s="1" t="s">
        <v>22</v>
      </c>
      <c r="J69" s="1" t="s">
        <v>34</v>
      </c>
      <c r="K69" s="1" t="s">
        <v>1494</v>
      </c>
      <c r="L69" s="1" t="s">
        <v>1492</v>
      </c>
      <c r="M69" s="41" t="s">
        <v>9</v>
      </c>
    </row>
    <row r="70" spans="1:13" x14ac:dyDescent="0.25">
      <c r="A70" s="1" t="s">
        <v>1490</v>
      </c>
      <c r="B70" s="1" t="s">
        <v>45</v>
      </c>
      <c r="C70" s="1" t="s">
        <v>7</v>
      </c>
      <c r="D70" s="1" t="s">
        <v>1415</v>
      </c>
      <c r="E70" s="1" t="s">
        <v>1416</v>
      </c>
      <c r="F70" s="1" t="s">
        <v>1417</v>
      </c>
      <c r="G70" s="1" t="s">
        <v>44</v>
      </c>
      <c r="H70" s="1" t="s">
        <v>36</v>
      </c>
      <c r="I70" s="1" t="s">
        <v>23</v>
      </c>
      <c r="J70" s="1" t="s">
        <v>34</v>
      </c>
      <c r="K70" s="1" t="s">
        <v>1495</v>
      </c>
      <c r="L70" s="1" t="s">
        <v>1492</v>
      </c>
      <c r="M70" s="41" t="s">
        <v>9</v>
      </c>
    </row>
    <row r="71" spans="1:13" x14ac:dyDescent="0.25">
      <c r="A71" s="1" t="s">
        <v>1490</v>
      </c>
      <c r="B71" s="1" t="s">
        <v>45</v>
      </c>
      <c r="C71" s="1" t="s">
        <v>7</v>
      </c>
      <c r="D71" s="1" t="s">
        <v>1415</v>
      </c>
      <c r="E71" s="1" t="s">
        <v>1416</v>
      </c>
      <c r="F71" s="1" t="s">
        <v>1417</v>
      </c>
      <c r="G71" s="1" t="s">
        <v>44</v>
      </c>
      <c r="H71" s="1" t="s">
        <v>36</v>
      </c>
      <c r="I71" s="1" t="s">
        <v>24</v>
      </c>
      <c r="J71" s="1" t="s">
        <v>34</v>
      </c>
      <c r="K71" s="1" t="s">
        <v>1496</v>
      </c>
      <c r="L71" s="1" t="s">
        <v>1492</v>
      </c>
      <c r="M71" s="41" t="s">
        <v>9</v>
      </c>
    </row>
    <row r="72" spans="1:13" x14ac:dyDescent="0.25">
      <c r="A72" s="1" t="s">
        <v>1490</v>
      </c>
      <c r="B72" s="1" t="s">
        <v>45</v>
      </c>
      <c r="C72" s="1" t="s">
        <v>7</v>
      </c>
      <c r="D72" s="1" t="s">
        <v>1415</v>
      </c>
      <c r="E72" s="1" t="s">
        <v>1416</v>
      </c>
      <c r="F72" s="1" t="s">
        <v>1417</v>
      </c>
      <c r="G72" s="1" t="s">
        <v>44</v>
      </c>
      <c r="H72" s="1" t="s">
        <v>36</v>
      </c>
      <c r="I72" s="1" t="s">
        <v>25</v>
      </c>
      <c r="J72" s="1" t="s">
        <v>34</v>
      </c>
      <c r="K72" s="1" t="s">
        <v>1497</v>
      </c>
      <c r="L72" s="1" t="s">
        <v>1492</v>
      </c>
      <c r="M72" s="41" t="s">
        <v>9</v>
      </c>
    </row>
    <row r="73" spans="1:13" x14ac:dyDescent="0.25">
      <c r="A73" s="1" t="s">
        <v>1490</v>
      </c>
      <c r="B73" s="1" t="s">
        <v>45</v>
      </c>
      <c r="C73" s="1" t="s">
        <v>7</v>
      </c>
      <c r="D73" s="1" t="s">
        <v>1415</v>
      </c>
      <c r="E73" s="1" t="s">
        <v>1416</v>
      </c>
      <c r="F73" s="1" t="s">
        <v>1417</v>
      </c>
      <c r="G73" s="1" t="s">
        <v>44</v>
      </c>
      <c r="H73" s="1" t="s">
        <v>36</v>
      </c>
      <c r="I73" s="1" t="s">
        <v>26</v>
      </c>
      <c r="J73" s="1" t="s">
        <v>34</v>
      </c>
      <c r="K73" s="1" t="s">
        <v>1498</v>
      </c>
      <c r="L73" s="1" t="s">
        <v>1492</v>
      </c>
      <c r="M73" s="41" t="s">
        <v>9</v>
      </c>
    </row>
    <row r="74" spans="1:13" x14ac:dyDescent="0.25">
      <c r="A74" s="1" t="s">
        <v>1490</v>
      </c>
      <c r="B74" s="1" t="s">
        <v>45</v>
      </c>
      <c r="C74" s="1" t="s">
        <v>7</v>
      </c>
      <c r="D74" s="1" t="s">
        <v>1415</v>
      </c>
      <c r="E74" s="1" t="s">
        <v>1416</v>
      </c>
      <c r="F74" s="1" t="s">
        <v>1417</v>
      </c>
      <c r="G74" s="1" t="s">
        <v>44</v>
      </c>
      <c r="H74" s="1" t="s">
        <v>36</v>
      </c>
      <c r="I74" s="1" t="s">
        <v>27</v>
      </c>
      <c r="J74" s="1" t="s">
        <v>34</v>
      </c>
      <c r="K74" s="1" t="s">
        <v>1499</v>
      </c>
      <c r="L74" s="1" t="s">
        <v>1492</v>
      </c>
      <c r="M74" s="41" t="s">
        <v>9</v>
      </c>
    </row>
    <row r="75" spans="1:13" x14ac:dyDescent="0.25">
      <c r="A75" s="1" t="s">
        <v>1490</v>
      </c>
      <c r="B75" s="1" t="s">
        <v>45</v>
      </c>
      <c r="C75" s="1" t="s">
        <v>7</v>
      </c>
      <c r="D75" s="1" t="s">
        <v>1415</v>
      </c>
      <c r="E75" s="1" t="s">
        <v>1416</v>
      </c>
      <c r="F75" s="1" t="s">
        <v>1417</v>
      </c>
      <c r="G75" s="1" t="s">
        <v>44</v>
      </c>
      <c r="H75" s="1" t="s">
        <v>36</v>
      </c>
      <c r="I75" s="1" t="s">
        <v>28</v>
      </c>
      <c r="J75" s="1" t="s">
        <v>34</v>
      </c>
      <c r="K75" s="1" t="s">
        <v>1500</v>
      </c>
      <c r="L75" s="1" t="s">
        <v>1492</v>
      </c>
      <c r="M75" s="41" t="s">
        <v>9</v>
      </c>
    </row>
    <row r="76" spans="1:13" x14ac:dyDescent="0.25">
      <c r="A76" s="1" t="s">
        <v>1490</v>
      </c>
      <c r="B76" s="1" t="s">
        <v>45</v>
      </c>
      <c r="C76" s="1" t="s">
        <v>7</v>
      </c>
      <c r="D76" s="1" t="s">
        <v>1415</v>
      </c>
      <c r="E76" s="1" t="s">
        <v>1416</v>
      </c>
      <c r="F76" s="1" t="s">
        <v>1417</v>
      </c>
      <c r="G76" s="1" t="s">
        <v>44</v>
      </c>
      <c r="H76" s="1" t="s">
        <v>36</v>
      </c>
      <c r="I76" s="1" t="s">
        <v>29</v>
      </c>
      <c r="J76" s="1" t="s">
        <v>34</v>
      </c>
      <c r="K76" s="1" t="s">
        <v>1501</v>
      </c>
      <c r="L76" s="1" t="s">
        <v>1492</v>
      </c>
      <c r="M76" s="41" t="s">
        <v>9</v>
      </c>
    </row>
    <row r="77" spans="1:13" x14ac:dyDescent="0.25">
      <c r="A77" s="1" t="s">
        <v>1490</v>
      </c>
      <c r="B77" s="1" t="s">
        <v>45</v>
      </c>
      <c r="C77" s="1" t="s">
        <v>7</v>
      </c>
      <c r="D77" s="1" t="s">
        <v>1415</v>
      </c>
      <c r="E77" s="1" t="s">
        <v>1416</v>
      </c>
      <c r="F77" s="1" t="s">
        <v>1417</v>
      </c>
      <c r="G77" s="1" t="s">
        <v>44</v>
      </c>
      <c r="H77" s="1" t="s">
        <v>36</v>
      </c>
      <c r="I77" s="1" t="s">
        <v>30</v>
      </c>
      <c r="J77" s="1" t="s">
        <v>34</v>
      </c>
      <c r="K77" s="1" t="s">
        <v>1502</v>
      </c>
      <c r="L77" s="1" t="s">
        <v>1492</v>
      </c>
      <c r="M77" s="41" t="s">
        <v>9</v>
      </c>
    </row>
    <row r="78" spans="1:13" x14ac:dyDescent="0.25">
      <c r="A78" s="1" t="s">
        <v>1490</v>
      </c>
      <c r="B78" s="1" t="s">
        <v>45</v>
      </c>
      <c r="C78" s="1" t="s">
        <v>7</v>
      </c>
      <c r="D78" s="1" t="s">
        <v>1415</v>
      </c>
      <c r="E78" s="1" t="s">
        <v>1416</v>
      </c>
      <c r="F78" s="1" t="s">
        <v>1417</v>
      </c>
      <c r="G78" s="1" t="s">
        <v>44</v>
      </c>
      <c r="H78" s="1" t="s">
        <v>36</v>
      </c>
      <c r="I78" s="1" t="s">
        <v>31</v>
      </c>
      <c r="J78" s="1" t="s">
        <v>34</v>
      </c>
      <c r="K78" s="1" t="s">
        <v>1503</v>
      </c>
      <c r="L78" s="1" t="s">
        <v>1492</v>
      </c>
      <c r="M78" s="41" t="s">
        <v>9</v>
      </c>
    </row>
    <row r="79" spans="1:13" x14ac:dyDescent="0.25">
      <c r="A79" s="1" t="s">
        <v>1490</v>
      </c>
      <c r="B79" s="1" t="s">
        <v>45</v>
      </c>
      <c r="C79" s="1" t="s">
        <v>7</v>
      </c>
      <c r="D79" s="1" t="s">
        <v>1415</v>
      </c>
      <c r="E79" s="1" t="s">
        <v>1416</v>
      </c>
      <c r="F79" s="1" t="s">
        <v>1417</v>
      </c>
      <c r="G79" s="1" t="s">
        <v>44</v>
      </c>
      <c r="H79" s="1" t="s">
        <v>36</v>
      </c>
      <c r="I79" s="1" t="s">
        <v>32</v>
      </c>
      <c r="J79" s="1" t="s">
        <v>34</v>
      </c>
      <c r="K79" s="1" t="s">
        <v>1504</v>
      </c>
      <c r="L79" s="1" t="s">
        <v>1492</v>
      </c>
      <c r="M79" s="41">
        <v>46087</v>
      </c>
    </row>
    <row r="80" spans="1:13" x14ac:dyDescent="0.25">
      <c r="A80" s="1" t="s">
        <v>1505</v>
      </c>
      <c r="B80" s="1" t="s">
        <v>47</v>
      </c>
      <c r="C80" s="1" t="s">
        <v>7</v>
      </c>
      <c r="D80" s="1" t="s">
        <v>1415</v>
      </c>
      <c r="E80" s="1" t="s">
        <v>1416</v>
      </c>
      <c r="F80" s="1" t="s">
        <v>1417</v>
      </c>
      <c r="G80" s="1" t="s">
        <v>46</v>
      </c>
      <c r="H80" s="1" t="s">
        <v>36</v>
      </c>
      <c r="I80" s="1" t="s">
        <v>20</v>
      </c>
      <c r="J80" s="1" t="s">
        <v>34</v>
      </c>
      <c r="K80" s="1" t="s">
        <v>1506</v>
      </c>
      <c r="L80" s="1" t="s">
        <v>1492</v>
      </c>
      <c r="M80" s="41">
        <v>46087</v>
      </c>
    </row>
    <row r="81" spans="1:13" x14ac:dyDescent="0.25">
      <c r="A81" s="1" t="s">
        <v>1505</v>
      </c>
      <c r="B81" s="1" t="s">
        <v>47</v>
      </c>
      <c r="C81" s="1" t="s">
        <v>7</v>
      </c>
      <c r="D81" s="1" t="s">
        <v>1415</v>
      </c>
      <c r="E81" s="1" t="s">
        <v>1416</v>
      </c>
      <c r="F81" s="1" t="s">
        <v>1417</v>
      </c>
      <c r="G81" s="1" t="s">
        <v>46</v>
      </c>
      <c r="H81" s="1" t="s">
        <v>36</v>
      </c>
      <c r="I81" s="1" t="s">
        <v>21</v>
      </c>
      <c r="J81" s="1" t="s">
        <v>34</v>
      </c>
      <c r="K81" s="1" t="s">
        <v>1507</v>
      </c>
      <c r="L81" s="1" t="s">
        <v>1492</v>
      </c>
      <c r="M81" s="41">
        <v>46087</v>
      </c>
    </row>
    <row r="82" spans="1:13" x14ac:dyDescent="0.25">
      <c r="A82" s="1" t="s">
        <v>1505</v>
      </c>
      <c r="B82" s="1" t="s">
        <v>47</v>
      </c>
      <c r="C82" s="1" t="s">
        <v>7</v>
      </c>
      <c r="D82" s="1" t="s">
        <v>1415</v>
      </c>
      <c r="E82" s="1" t="s">
        <v>1416</v>
      </c>
      <c r="F82" s="1" t="s">
        <v>1417</v>
      </c>
      <c r="G82" s="1" t="s">
        <v>46</v>
      </c>
      <c r="H82" s="1" t="s">
        <v>36</v>
      </c>
      <c r="I82" s="1" t="s">
        <v>22</v>
      </c>
      <c r="J82" s="1" t="s">
        <v>34</v>
      </c>
      <c r="K82" s="1" t="s">
        <v>1508</v>
      </c>
      <c r="L82" s="1" t="s">
        <v>1492</v>
      </c>
      <c r="M82" s="41">
        <v>46294</v>
      </c>
    </row>
    <row r="83" spans="1:13" x14ac:dyDescent="0.25">
      <c r="A83" s="1" t="s">
        <v>1505</v>
      </c>
      <c r="B83" s="1" t="s">
        <v>47</v>
      </c>
      <c r="C83" s="1" t="s">
        <v>7</v>
      </c>
      <c r="D83" s="1" t="s">
        <v>1415</v>
      </c>
      <c r="E83" s="1" t="s">
        <v>1416</v>
      </c>
      <c r="F83" s="1" t="s">
        <v>1417</v>
      </c>
      <c r="G83" s="1" t="s">
        <v>46</v>
      </c>
      <c r="H83" s="1" t="s">
        <v>36</v>
      </c>
      <c r="I83" s="1" t="s">
        <v>23</v>
      </c>
      <c r="J83" s="1" t="s">
        <v>34</v>
      </c>
      <c r="K83" s="1" t="s">
        <v>1509</v>
      </c>
      <c r="L83" s="1" t="s">
        <v>1492</v>
      </c>
      <c r="M83" s="41">
        <v>46087</v>
      </c>
    </row>
    <row r="84" spans="1:13" x14ac:dyDescent="0.25">
      <c r="A84" s="1" t="s">
        <v>1505</v>
      </c>
      <c r="B84" s="1" t="s">
        <v>47</v>
      </c>
      <c r="C84" s="1" t="s">
        <v>7</v>
      </c>
      <c r="D84" s="1" t="s">
        <v>1415</v>
      </c>
      <c r="E84" s="1" t="s">
        <v>1416</v>
      </c>
      <c r="F84" s="1" t="s">
        <v>1417</v>
      </c>
      <c r="G84" s="1" t="s">
        <v>46</v>
      </c>
      <c r="H84" s="1" t="s">
        <v>36</v>
      </c>
      <c r="I84" s="1" t="s">
        <v>24</v>
      </c>
      <c r="J84" s="1" t="s">
        <v>34</v>
      </c>
      <c r="K84" s="1" t="s">
        <v>1510</v>
      </c>
      <c r="L84" s="1" t="s">
        <v>1492</v>
      </c>
      <c r="M84" s="41">
        <v>46087</v>
      </c>
    </row>
    <row r="85" spans="1:13" x14ac:dyDescent="0.25">
      <c r="A85" s="1" t="s">
        <v>1505</v>
      </c>
      <c r="B85" s="1" t="s">
        <v>47</v>
      </c>
      <c r="C85" s="1" t="s">
        <v>7</v>
      </c>
      <c r="D85" s="1" t="s">
        <v>1415</v>
      </c>
      <c r="E85" s="1" t="s">
        <v>1416</v>
      </c>
      <c r="F85" s="1" t="s">
        <v>1417</v>
      </c>
      <c r="G85" s="1" t="s">
        <v>46</v>
      </c>
      <c r="H85" s="1" t="s">
        <v>36</v>
      </c>
      <c r="I85" s="1" t="s">
        <v>25</v>
      </c>
      <c r="J85" s="1" t="s">
        <v>34</v>
      </c>
      <c r="K85" s="1" t="s">
        <v>1511</v>
      </c>
      <c r="L85" s="1" t="s">
        <v>1492</v>
      </c>
      <c r="M85" s="41">
        <v>46087</v>
      </c>
    </row>
    <row r="86" spans="1:13" x14ac:dyDescent="0.25">
      <c r="A86" s="1" t="s">
        <v>1505</v>
      </c>
      <c r="B86" s="1" t="s">
        <v>47</v>
      </c>
      <c r="C86" s="1" t="s">
        <v>7</v>
      </c>
      <c r="D86" s="1" t="s">
        <v>1415</v>
      </c>
      <c r="E86" s="1" t="s">
        <v>1416</v>
      </c>
      <c r="F86" s="1" t="s">
        <v>1417</v>
      </c>
      <c r="G86" s="1" t="s">
        <v>46</v>
      </c>
      <c r="H86" s="1" t="s">
        <v>36</v>
      </c>
      <c r="I86" s="1" t="s">
        <v>26</v>
      </c>
      <c r="J86" s="1" t="s">
        <v>34</v>
      </c>
      <c r="K86" s="1" t="s">
        <v>1512</v>
      </c>
      <c r="L86" s="1" t="s">
        <v>1492</v>
      </c>
      <c r="M86" s="41">
        <v>46087</v>
      </c>
    </row>
    <row r="87" spans="1:13" x14ac:dyDescent="0.25">
      <c r="A87" s="1" t="s">
        <v>1505</v>
      </c>
      <c r="B87" s="1" t="s">
        <v>47</v>
      </c>
      <c r="C87" s="1" t="s">
        <v>7</v>
      </c>
      <c r="D87" s="1" t="s">
        <v>1415</v>
      </c>
      <c r="E87" s="1" t="s">
        <v>1416</v>
      </c>
      <c r="F87" s="1" t="s">
        <v>1417</v>
      </c>
      <c r="G87" s="1" t="s">
        <v>46</v>
      </c>
      <c r="H87" s="1" t="s">
        <v>36</v>
      </c>
      <c r="I87" s="1" t="s">
        <v>27</v>
      </c>
      <c r="J87" s="1" t="s">
        <v>34</v>
      </c>
      <c r="K87" s="1" t="s">
        <v>1513</v>
      </c>
      <c r="L87" s="1" t="s">
        <v>1492</v>
      </c>
      <c r="M87" s="41">
        <v>46087</v>
      </c>
    </row>
    <row r="88" spans="1:13" x14ac:dyDescent="0.25">
      <c r="A88" s="1" t="s">
        <v>1505</v>
      </c>
      <c r="B88" s="1" t="s">
        <v>47</v>
      </c>
      <c r="C88" s="1" t="s">
        <v>7</v>
      </c>
      <c r="D88" s="1" t="s">
        <v>1415</v>
      </c>
      <c r="E88" s="1" t="s">
        <v>1416</v>
      </c>
      <c r="F88" s="1" t="s">
        <v>1417</v>
      </c>
      <c r="G88" s="1" t="s">
        <v>46</v>
      </c>
      <c r="H88" s="1" t="s">
        <v>36</v>
      </c>
      <c r="I88" s="1" t="s">
        <v>28</v>
      </c>
      <c r="J88" s="1" t="s">
        <v>34</v>
      </c>
      <c r="K88" s="1" t="s">
        <v>1514</v>
      </c>
      <c r="L88" s="1" t="s">
        <v>1492</v>
      </c>
      <c r="M88" s="41">
        <v>46087</v>
      </c>
    </row>
    <row r="89" spans="1:13" x14ac:dyDescent="0.25">
      <c r="A89" s="1" t="s">
        <v>1505</v>
      </c>
      <c r="B89" s="1" t="s">
        <v>47</v>
      </c>
      <c r="C89" s="1" t="s">
        <v>7</v>
      </c>
      <c r="D89" s="1" t="s">
        <v>1415</v>
      </c>
      <c r="E89" s="1" t="s">
        <v>1416</v>
      </c>
      <c r="F89" s="1" t="s">
        <v>1417</v>
      </c>
      <c r="G89" s="1" t="s">
        <v>46</v>
      </c>
      <c r="H89" s="1" t="s">
        <v>36</v>
      </c>
      <c r="I89" s="1" t="s">
        <v>29</v>
      </c>
      <c r="J89" s="1" t="s">
        <v>34</v>
      </c>
      <c r="K89" s="1" t="s">
        <v>1515</v>
      </c>
      <c r="L89" s="1" t="s">
        <v>1492</v>
      </c>
      <c r="M89" s="41">
        <v>46087</v>
      </c>
    </row>
    <row r="90" spans="1:13" x14ac:dyDescent="0.25">
      <c r="A90" s="1" t="s">
        <v>1505</v>
      </c>
      <c r="B90" s="1" t="s">
        <v>47</v>
      </c>
      <c r="C90" s="1" t="s">
        <v>7</v>
      </c>
      <c r="D90" s="1" t="s">
        <v>1415</v>
      </c>
      <c r="E90" s="1" t="s">
        <v>1416</v>
      </c>
      <c r="F90" s="1" t="s">
        <v>1417</v>
      </c>
      <c r="G90" s="1" t="s">
        <v>46</v>
      </c>
      <c r="H90" s="1" t="s">
        <v>36</v>
      </c>
      <c r="I90" s="1" t="s">
        <v>30</v>
      </c>
      <c r="J90" s="1" t="s">
        <v>34</v>
      </c>
      <c r="K90" s="1" t="s">
        <v>1516</v>
      </c>
      <c r="L90" s="1" t="s">
        <v>1492</v>
      </c>
      <c r="M90" s="41">
        <v>46087</v>
      </c>
    </row>
    <row r="91" spans="1:13" x14ac:dyDescent="0.25">
      <c r="A91" s="1" t="s">
        <v>1505</v>
      </c>
      <c r="B91" s="1" t="s">
        <v>47</v>
      </c>
      <c r="C91" s="1" t="s">
        <v>7</v>
      </c>
      <c r="D91" s="1" t="s">
        <v>1415</v>
      </c>
      <c r="E91" s="1" t="s">
        <v>1416</v>
      </c>
      <c r="F91" s="1" t="s">
        <v>1417</v>
      </c>
      <c r="G91" s="1" t="s">
        <v>46</v>
      </c>
      <c r="H91" s="1" t="s">
        <v>36</v>
      </c>
      <c r="I91" s="1" t="s">
        <v>31</v>
      </c>
      <c r="J91" s="1" t="s">
        <v>34</v>
      </c>
      <c r="K91" s="1" t="s">
        <v>1517</v>
      </c>
      <c r="L91" s="1" t="s">
        <v>1492</v>
      </c>
      <c r="M91" s="41">
        <v>46087</v>
      </c>
    </row>
    <row r="92" spans="1:13" x14ac:dyDescent="0.25">
      <c r="A92" s="1" t="s">
        <v>1505</v>
      </c>
      <c r="B92" s="1" t="s">
        <v>47</v>
      </c>
      <c r="C92" s="1" t="s">
        <v>7</v>
      </c>
      <c r="D92" s="1" t="s">
        <v>1415</v>
      </c>
      <c r="E92" s="1" t="s">
        <v>1416</v>
      </c>
      <c r="F92" s="1" t="s">
        <v>1417</v>
      </c>
      <c r="G92" s="1" t="s">
        <v>46</v>
      </c>
      <c r="H92" s="1" t="s">
        <v>36</v>
      </c>
      <c r="I92" s="1" t="s">
        <v>32</v>
      </c>
      <c r="J92" s="1" t="s">
        <v>34</v>
      </c>
      <c r="K92" s="1" t="s">
        <v>1518</v>
      </c>
      <c r="L92" s="1" t="s">
        <v>1492</v>
      </c>
      <c r="M92" s="41">
        <v>46087</v>
      </c>
    </row>
    <row r="93" spans="1:13" x14ac:dyDescent="0.25">
      <c r="A93" s="1" t="s">
        <v>1519</v>
      </c>
      <c r="B93" s="1" t="s">
        <v>59</v>
      </c>
      <c r="C93" s="1" t="s">
        <v>7</v>
      </c>
      <c r="D93" s="1" t="s">
        <v>1415</v>
      </c>
      <c r="E93" s="1" t="s">
        <v>1416</v>
      </c>
      <c r="F93" s="1" t="s">
        <v>1520</v>
      </c>
      <c r="G93" s="1" t="s">
        <v>58</v>
      </c>
      <c r="H93" s="1" t="s">
        <v>36</v>
      </c>
      <c r="I93" s="1" t="s">
        <v>56</v>
      </c>
      <c r="J93" s="1" t="s">
        <v>57</v>
      </c>
      <c r="K93" s="1" t="s">
        <v>1521</v>
      </c>
      <c r="L93" s="1" t="s">
        <v>1522</v>
      </c>
      <c r="M93" s="41">
        <v>46302</v>
      </c>
    </row>
    <row r="94" spans="1:13" x14ac:dyDescent="0.25">
      <c r="A94" s="1" t="s">
        <v>1519</v>
      </c>
      <c r="B94" s="1" t="s">
        <v>59</v>
      </c>
      <c r="C94" s="1" t="s">
        <v>7</v>
      </c>
      <c r="D94" s="1" t="s">
        <v>1415</v>
      </c>
      <c r="E94" s="1" t="s">
        <v>1416</v>
      </c>
      <c r="F94" s="1" t="s">
        <v>1520</v>
      </c>
      <c r="G94" s="1" t="s">
        <v>58</v>
      </c>
      <c r="H94" s="1" t="s">
        <v>36</v>
      </c>
      <c r="I94" s="1" t="s">
        <v>20</v>
      </c>
      <c r="J94" s="1" t="s">
        <v>34</v>
      </c>
      <c r="K94" s="1" t="s">
        <v>1523</v>
      </c>
      <c r="L94" s="1" t="s">
        <v>1522</v>
      </c>
      <c r="M94" s="41">
        <v>46302</v>
      </c>
    </row>
    <row r="95" spans="1:13" x14ac:dyDescent="0.25">
      <c r="A95" s="1" t="s">
        <v>1519</v>
      </c>
      <c r="B95" s="1" t="s">
        <v>59</v>
      </c>
      <c r="C95" s="1" t="s">
        <v>7</v>
      </c>
      <c r="D95" s="1" t="s">
        <v>1415</v>
      </c>
      <c r="E95" s="1" t="s">
        <v>1416</v>
      </c>
      <c r="F95" s="1" t="s">
        <v>1520</v>
      </c>
      <c r="G95" s="1" t="s">
        <v>58</v>
      </c>
      <c r="H95" s="1" t="s">
        <v>36</v>
      </c>
      <c r="I95" s="1" t="s">
        <v>21</v>
      </c>
      <c r="J95" s="1" t="s">
        <v>34</v>
      </c>
      <c r="K95" s="1" t="s">
        <v>1524</v>
      </c>
      <c r="L95" s="1" t="s">
        <v>1522</v>
      </c>
      <c r="M95" s="41">
        <v>46302</v>
      </c>
    </row>
    <row r="96" spans="1:13" x14ac:dyDescent="0.25">
      <c r="A96" s="1" t="s">
        <v>1519</v>
      </c>
      <c r="B96" s="1" t="s">
        <v>59</v>
      </c>
      <c r="C96" s="1" t="s">
        <v>7</v>
      </c>
      <c r="D96" s="1" t="s">
        <v>1415</v>
      </c>
      <c r="E96" s="1" t="s">
        <v>1416</v>
      </c>
      <c r="F96" s="1" t="s">
        <v>1520</v>
      </c>
      <c r="G96" s="1" t="s">
        <v>58</v>
      </c>
      <c r="H96" s="1" t="s">
        <v>36</v>
      </c>
      <c r="I96" s="1" t="s">
        <v>22</v>
      </c>
      <c r="J96" s="1" t="s">
        <v>34</v>
      </c>
      <c r="K96" s="1" t="s">
        <v>1525</v>
      </c>
      <c r="L96" s="1" t="s">
        <v>1522</v>
      </c>
      <c r="M96" s="41">
        <v>46087</v>
      </c>
    </row>
    <row r="97" spans="1:13" x14ac:dyDescent="0.25">
      <c r="A97" s="1" t="s">
        <v>1519</v>
      </c>
      <c r="B97" s="1" t="s">
        <v>59</v>
      </c>
      <c r="C97" s="1" t="s">
        <v>7</v>
      </c>
      <c r="D97" s="1" t="s">
        <v>1415</v>
      </c>
      <c r="E97" s="1" t="s">
        <v>1416</v>
      </c>
      <c r="F97" s="1" t="s">
        <v>1520</v>
      </c>
      <c r="G97" s="1" t="s">
        <v>58</v>
      </c>
      <c r="H97" s="1" t="s">
        <v>36</v>
      </c>
      <c r="I97" s="1" t="s">
        <v>23</v>
      </c>
      <c r="J97" s="1" t="s">
        <v>34</v>
      </c>
      <c r="K97" s="1" t="s">
        <v>1526</v>
      </c>
      <c r="L97" s="1" t="s">
        <v>1522</v>
      </c>
      <c r="M97" s="41">
        <v>46087</v>
      </c>
    </row>
    <row r="98" spans="1:13" x14ac:dyDescent="0.25">
      <c r="A98" s="1" t="s">
        <v>1519</v>
      </c>
      <c r="B98" s="1" t="s">
        <v>59</v>
      </c>
      <c r="C98" s="1" t="s">
        <v>7</v>
      </c>
      <c r="D98" s="1" t="s">
        <v>1415</v>
      </c>
      <c r="E98" s="1" t="s">
        <v>1416</v>
      </c>
      <c r="F98" s="1" t="s">
        <v>1520</v>
      </c>
      <c r="G98" s="1" t="s">
        <v>58</v>
      </c>
      <c r="H98" s="1" t="s">
        <v>36</v>
      </c>
      <c r="I98" s="1" t="s">
        <v>24</v>
      </c>
      <c r="J98" s="1" t="s">
        <v>34</v>
      </c>
      <c r="K98" s="1" t="s">
        <v>1527</v>
      </c>
      <c r="L98" s="1" t="s">
        <v>1522</v>
      </c>
      <c r="M98" s="41">
        <v>46087</v>
      </c>
    </row>
    <row r="99" spans="1:13" x14ac:dyDescent="0.25">
      <c r="A99" s="1" t="s">
        <v>1519</v>
      </c>
      <c r="B99" s="1" t="s">
        <v>59</v>
      </c>
      <c r="C99" s="1" t="s">
        <v>7</v>
      </c>
      <c r="D99" s="1" t="s">
        <v>1415</v>
      </c>
      <c r="E99" s="1" t="s">
        <v>1416</v>
      </c>
      <c r="F99" s="1" t="s">
        <v>1520</v>
      </c>
      <c r="G99" s="1" t="s">
        <v>58</v>
      </c>
      <c r="H99" s="1" t="s">
        <v>36</v>
      </c>
      <c r="I99" s="1" t="s">
        <v>25</v>
      </c>
      <c r="J99" s="1" t="s">
        <v>34</v>
      </c>
      <c r="K99" s="1" t="s">
        <v>1528</v>
      </c>
      <c r="L99" s="1" t="s">
        <v>1522</v>
      </c>
      <c r="M99" s="41">
        <v>46087</v>
      </c>
    </row>
    <row r="100" spans="1:13" x14ac:dyDescent="0.25">
      <c r="A100" s="1" t="s">
        <v>1519</v>
      </c>
      <c r="B100" s="1" t="s">
        <v>59</v>
      </c>
      <c r="C100" s="1" t="s">
        <v>7</v>
      </c>
      <c r="D100" s="1" t="s">
        <v>1415</v>
      </c>
      <c r="E100" s="1" t="s">
        <v>1416</v>
      </c>
      <c r="F100" s="1" t="s">
        <v>1520</v>
      </c>
      <c r="G100" s="1" t="s">
        <v>58</v>
      </c>
      <c r="H100" s="1" t="s">
        <v>36</v>
      </c>
      <c r="I100" s="1" t="s">
        <v>26</v>
      </c>
      <c r="J100" s="1" t="s">
        <v>34</v>
      </c>
      <c r="K100" s="1" t="s">
        <v>1529</v>
      </c>
      <c r="L100" s="1" t="s">
        <v>1522</v>
      </c>
      <c r="M100" s="41">
        <v>46087</v>
      </c>
    </row>
    <row r="101" spans="1:13" x14ac:dyDescent="0.25">
      <c r="A101" s="1" t="s">
        <v>1519</v>
      </c>
      <c r="B101" s="1" t="s">
        <v>59</v>
      </c>
      <c r="C101" s="1" t="s">
        <v>7</v>
      </c>
      <c r="D101" s="1" t="s">
        <v>1415</v>
      </c>
      <c r="E101" s="1" t="s">
        <v>1416</v>
      </c>
      <c r="F101" s="1" t="s">
        <v>1520</v>
      </c>
      <c r="G101" s="1" t="s">
        <v>58</v>
      </c>
      <c r="H101" s="1" t="s">
        <v>36</v>
      </c>
      <c r="I101" s="1" t="s">
        <v>27</v>
      </c>
      <c r="J101" s="1" t="s">
        <v>34</v>
      </c>
      <c r="K101" s="1" t="s">
        <v>1530</v>
      </c>
      <c r="L101" s="1" t="s">
        <v>1522</v>
      </c>
      <c r="M101" s="41">
        <v>46087</v>
      </c>
    </row>
    <row r="102" spans="1:13" x14ac:dyDescent="0.25">
      <c r="A102" s="1" t="s">
        <v>1519</v>
      </c>
      <c r="B102" s="1" t="s">
        <v>59</v>
      </c>
      <c r="C102" s="1" t="s">
        <v>7</v>
      </c>
      <c r="D102" s="1" t="s">
        <v>1415</v>
      </c>
      <c r="E102" s="1" t="s">
        <v>1416</v>
      </c>
      <c r="F102" s="1" t="s">
        <v>1520</v>
      </c>
      <c r="G102" s="1" t="s">
        <v>58</v>
      </c>
      <c r="H102" s="1" t="s">
        <v>36</v>
      </c>
      <c r="I102" s="1" t="s">
        <v>28</v>
      </c>
      <c r="J102" s="1" t="s">
        <v>34</v>
      </c>
      <c r="K102" s="1" t="s">
        <v>1531</v>
      </c>
      <c r="L102" s="1" t="s">
        <v>1522</v>
      </c>
      <c r="M102" s="41">
        <v>46087</v>
      </c>
    </row>
    <row r="103" spans="1:13" x14ac:dyDescent="0.25">
      <c r="A103" s="1" t="s">
        <v>1519</v>
      </c>
      <c r="B103" s="1" t="s">
        <v>59</v>
      </c>
      <c r="C103" s="1" t="s">
        <v>7</v>
      </c>
      <c r="D103" s="1" t="s">
        <v>1415</v>
      </c>
      <c r="E103" s="1" t="s">
        <v>1416</v>
      </c>
      <c r="F103" s="1" t="s">
        <v>1520</v>
      </c>
      <c r="G103" s="1" t="s">
        <v>58</v>
      </c>
      <c r="H103" s="1" t="s">
        <v>36</v>
      </c>
      <c r="I103" s="1" t="s">
        <v>56</v>
      </c>
      <c r="J103" s="1" t="s">
        <v>34</v>
      </c>
      <c r="K103" s="1" t="s">
        <v>1532</v>
      </c>
      <c r="L103" s="1" t="s">
        <v>1522</v>
      </c>
      <c r="M103" s="41">
        <v>46302</v>
      </c>
    </row>
    <row r="104" spans="1:13" x14ac:dyDescent="0.25">
      <c r="A104" s="1" t="s">
        <v>1519</v>
      </c>
      <c r="B104" s="1" t="s">
        <v>59</v>
      </c>
      <c r="C104" s="1" t="s">
        <v>7</v>
      </c>
      <c r="D104" s="1" t="s">
        <v>1415</v>
      </c>
      <c r="E104" s="1" t="s">
        <v>1416</v>
      </c>
      <c r="F104" s="1" t="s">
        <v>1520</v>
      </c>
      <c r="G104" s="1" t="s">
        <v>58</v>
      </c>
      <c r="H104" s="1" t="s">
        <v>36</v>
      </c>
      <c r="I104" s="1" t="s">
        <v>29</v>
      </c>
      <c r="J104" s="1" t="s">
        <v>34</v>
      </c>
      <c r="K104" s="1" t="s">
        <v>1533</v>
      </c>
      <c r="L104" s="1" t="s">
        <v>1522</v>
      </c>
      <c r="M104" s="41">
        <v>46087</v>
      </c>
    </row>
    <row r="105" spans="1:13" x14ac:dyDescent="0.25">
      <c r="A105" s="1" t="s">
        <v>1519</v>
      </c>
      <c r="B105" s="1" t="s">
        <v>59</v>
      </c>
      <c r="C105" s="1" t="s">
        <v>7</v>
      </c>
      <c r="D105" s="1" t="s">
        <v>1415</v>
      </c>
      <c r="E105" s="1" t="s">
        <v>1416</v>
      </c>
      <c r="F105" s="1" t="s">
        <v>1520</v>
      </c>
      <c r="G105" s="1" t="s">
        <v>58</v>
      </c>
      <c r="H105" s="1" t="s">
        <v>36</v>
      </c>
      <c r="I105" s="1" t="s">
        <v>30</v>
      </c>
      <c r="J105" s="1" t="s">
        <v>34</v>
      </c>
      <c r="K105" s="1" t="s">
        <v>1534</v>
      </c>
      <c r="L105" s="1" t="s">
        <v>1522</v>
      </c>
      <c r="M105" s="41">
        <v>46087</v>
      </c>
    </row>
    <row r="106" spans="1:13" x14ac:dyDescent="0.25">
      <c r="A106" s="1" t="s">
        <v>1519</v>
      </c>
      <c r="B106" s="1" t="s">
        <v>59</v>
      </c>
      <c r="C106" s="1" t="s">
        <v>7</v>
      </c>
      <c r="D106" s="1" t="s">
        <v>1415</v>
      </c>
      <c r="E106" s="1" t="s">
        <v>1416</v>
      </c>
      <c r="F106" s="1" t="s">
        <v>1520</v>
      </c>
      <c r="G106" s="1" t="s">
        <v>58</v>
      </c>
      <c r="H106" s="1" t="s">
        <v>36</v>
      </c>
      <c r="I106" s="1" t="s">
        <v>31</v>
      </c>
      <c r="J106" s="1" t="s">
        <v>34</v>
      </c>
      <c r="K106" s="1" t="s">
        <v>1535</v>
      </c>
      <c r="L106" s="1" t="s">
        <v>1522</v>
      </c>
      <c r="M106" s="41">
        <v>46087</v>
      </c>
    </row>
    <row r="107" spans="1:13" x14ac:dyDescent="0.25">
      <c r="A107" s="1" t="s">
        <v>1519</v>
      </c>
      <c r="B107" s="1" t="s">
        <v>59</v>
      </c>
      <c r="C107" s="1" t="s">
        <v>7</v>
      </c>
      <c r="D107" s="1" t="s">
        <v>1415</v>
      </c>
      <c r="E107" s="1" t="s">
        <v>1416</v>
      </c>
      <c r="F107" s="1" t="s">
        <v>1520</v>
      </c>
      <c r="G107" s="1" t="s">
        <v>58</v>
      </c>
      <c r="H107" s="1" t="s">
        <v>36</v>
      </c>
      <c r="I107" s="1" t="s">
        <v>32</v>
      </c>
      <c r="J107" s="1" t="s">
        <v>34</v>
      </c>
      <c r="K107" s="1" t="s">
        <v>1536</v>
      </c>
      <c r="L107" s="1" t="s">
        <v>1522</v>
      </c>
      <c r="M107" s="41">
        <v>46087</v>
      </c>
    </row>
    <row r="108" spans="1:13" x14ac:dyDescent="0.25">
      <c r="A108" s="1" t="s">
        <v>1537</v>
      </c>
      <c r="B108" s="1" t="s">
        <v>60</v>
      </c>
      <c r="C108" s="1" t="s">
        <v>7</v>
      </c>
      <c r="D108" s="1" t="s">
        <v>1415</v>
      </c>
      <c r="E108" s="1" t="s">
        <v>1416</v>
      </c>
      <c r="F108" s="1" t="s">
        <v>1520</v>
      </c>
      <c r="G108" s="1" t="s">
        <v>58</v>
      </c>
      <c r="H108" s="1" t="s">
        <v>36</v>
      </c>
      <c r="I108" s="1" t="s">
        <v>20</v>
      </c>
      <c r="J108" s="1" t="s">
        <v>34</v>
      </c>
      <c r="K108" s="1" t="s">
        <v>1538</v>
      </c>
      <c r="L108" s="1" t="s">
        <v>1539</v>
      </c>
      <c r="M108" s="41">
        <v>46087</v>
      </c>
    </row>
    <row r="109" spans="1:13" x14ac:dyDescent="0.25">
      <c r="A109" s="1" t="s">
        <v>1537</v>
      </c>
      <c r="B109" s="1" t="s">
        <v>60</v>
      </c>
      <c r="C109" s="1" t="s">
        <v>7</v>
      </c>
      <c r="D109" s="1" t="s">
        <v>1415</v>
      </c>
      <c r="E109" s="1" t="s">
        <v>1416</v>
      </c>
      <c r="F109" s="1" t="s">
        <v>1520</v>
      </c>
      <c r="G109" s="1" t="s">
        <v>58</v>
      </c>
      <c r="H109" s="1" t="s">
        <v>36</v>
      </c>
      <c r="I109" s="1" t="s">
        <v>21</v>
      </c>
      <c r="J109" s="1" t="s">
        <v>34</v>
      </c>
      <c r="K109" s="1" t="s">
        <v>1540</v>
      </c>
      <c r="L109" s="1" t="s">
        <v>1539</v>
      </c>
      <c r="M109" s="41">
        <v>46251</v>
      </c>
    </row>
    <row r="110" spans="1:13" x14ac:dyDescent="0.25">
      <c r="A110" s="1" t="s">
        <v>1537</v>
      </c>
      <c r="B110" s="1" t="s">
        <v>60</v>
      </c>
      <c r="C110" s="1" t="s">
        <v>7</v>
      </c>
      <c r="D110" s="1" t="s">
        <v>1415</v>
      </c>
      <c r="E110" s="1" t="s">
        <v>1416</v>
      </c>
      <c r="F110" s="1" t="s">
        <v>1520</v>
      </c>
      <c r="G110" s="1" t="s">
        <v>58</v>
      </c>
      <c r="H110" s="1" t="s">
        <v>36</v>
      </c>
      <c r="I110" s="1" t="s">
        <v>22</v>
      </c>
      <c r="J110" s="1" t="s">
        <v>34</v>
      </c>
      <c r="K110" s="1" t="s">
        <v>1541</v>
      </c>
      <c r="L110" s="1" t="s">
        <v>1539</v>
      </c>
      <c r="M110" s="41">
        <v>46087</v>
      </c>
    </row>
    <row r="111" spans="1:13" x14ac:dyDescent="0.25">
      <c r="A111" s="1" t="s">
        <v>1537</v>
      </c>
      <c r="B111" s="1" t="s">
        <v>60</v>
      </c>
      <c r="C111" s="1" t="s">
        <v>7</v>
      </c>
      <c r="D111" s="1" t="s">
        <v>1415</v>
      </c>
      <c r="E111" s="1" t="s">
        <v>1416</v>
      </c>
      <c r="F111" s="1" t="s">
        <v>1520</v>
      </c>
      <c r="G111" s="1" t="s">
        <v>58</v>
      </c>
      <c r="H111" s="1" t="s">
        <v>36</v>
      </c>
      <c r="I111" s="1" t="s">
        <v>23</v>
      </c>
      <c r="J111" s="1" t="s">
        <v>34</v>
      </c>
      <c r="K111" s="1" t="s">
        <v>1542</v>
      </c>
      <c r="L111" s="1" t="s">
        <v>1539</v>
      </c>
      <c r="M111" s="41">
        <v>46188</v>
      </c>
    </row>
    <row r="112" spans="1:13" x14ac:dyDescent="0.25">
      <c r="A112" s="1" t="s">
        <v>1537</v>
      </c>
      <c r="B112" s="1" t="s">
        <v>60</v>
      </c>
      <c r="C112" s="1" t="s">
        <v>7</v>
      </c>
      <c r="D112" s="1" t="s">
        <v>1415</v>
      </c>
      <c r="E112" s="1" t="s">
        <v>1416</v>
      </c>
      <c r="F112" s="1" t="s">
        <v>1520</v>
      </c>
      <c r="G112" s="1" t="s">
        <v>58</v>
      </c>
      <c r="H112" s="1" t="s">
        <v>36</v>
      </c>
      <c r="I112" s="1" t="s">
        <v>24</v>
      </c>
      <c r="J112" s="1" t="s">
        <v>34</v>
      </c>
      <c r="K112" s="1" t="s">
        <v>1543</v>
      </c>
      <c r="L112" s="1" t="s">
        <v>1539</v>
      </c>
      <c r="M112" s="41">
        <v>46251</v>
      </c>
    </row>
    <row r="113" spans="1:13" x14ac:dyDescent="0.25">
      <c r="A113" s="1" t="s">
        <v>1537</v>
      </c>
      <c r="B113" s="1" t="s">
        <v>60</v>
      </c>
      <c r="C113" s="1" t="s">
        <v>7</v>
      </c>
      <c r="D113" s="1" t="s">
        <v>1415</v>
      </c>
      <c r="E113" s="1" t="s">
        <v>1416</v>
      </c>
      <c r="F113" s="1" t="s">
        <v>1520</v>
      </c>
      <c r="G113" s="1" t="s">
        <v>58</v>
      </c>
      <c r="H113" s="1" t="s">
        <v>36</v>
      </c>
      <c r="I113" s="1" t="s">
        <v>25</v>
      </c>
      <c r="J113" s="1" t="s">
        <v>34</v>
      </c>
      <c r="K113" s="1" t="s">
        <v>1544</v>
      </c>
      <c r="L113" s="1" t="s">
        <v>1539</v>
      </c>
      <c r="M113" s="41">
        <v>46251</v>
      </c>
    </row>
    <row r="114" spans="1:13" x14ac:dyDescent="0.25">
      <c r="A114" s="1" t="s">
        <v>1537</v>
      </c>
      <c r="B114" s="1" t="s">
        <v>60</v>
      </c>
      <c r="C114" s="1" t="s">
        <v>7</v>
      </c>
      <c r="D114" s="1" t="s">
        <v>1415</v>
      </c>
      <c r="E114" s="1" t="s">
        <v>1416</v>
      </c>
      <c r="F114" s="1" t="s">
        <v>1520</v>
      </c>
      <c r="G114" s="1" t="s">
        <v>58</v>
      </c>
      <c r="H114" s="1" t="s">
        <v>36</v>
      </c>
      <c r="I114" s="1" t="s">
        <v>26</v>
      </c>
      <c r="J114" s="1" t="s">
        <v>34</v>
      </c>
      <c r="K114" s="1" t="s">
        <v>1545</v>
      </c>
      <c r="L114" s="1" t="s">
        <v>1539</v>
      </c>
      <c r="M114" s="41">
        <v>46251</v>
      </c>
    </row>
    <row r="115" spans="1:13" x14ac:dyDescent="0.25">
      <c r="A115" s="1" t="s">
        <v>1537</v>
      </c>
      <c r="B115" s="1" t="s">
        <v>60</v>
      </c>
      <c r="C115" s="1" t="s">
        <v>7</v>
      </c>
      <c r="D115" s="1" t="s">
        <v>1415</v>
      </c>
      <c r="E115" s="1" t="s">
        <v>1416</v>
      </c>
      <c r="F115" s="1" t="s">
        <v>1520</v>
      </c>
      <c r="G115" s="1" t="s">
        <v>58</v>
      </c>
      <c r="H115" s="1" t="s">
        <v>36</v>
      </c>
      <c r="I115" s="1" t="s">
        <v>27</v>
      </c>
      <c r="J115" s="1" t="s">
        <v>34</v>
      </c>
      <c r="K115" s="1" t="s">
        <v>1546</v>
      </c>
      <c r="L115" s="1" t="s">
        <v>1539</v>
      </c>
      <c r="M115" s="41">
        <v>46251</v>
      </c>
    </row>
    <row r="116" spans="1:13" x14ac:dyDescent="0.25">
      <c r="A116" s="1" t="s">
        <v>1537</v>
      </c>
      <c r="B116" s="1" t="s">
        <v>60</v>
      </c>
      <c r="C116" s="1" t="s">
        <v>7</v>
      </c>
      <c r="D116" s="1" t="s">
        <v>1415</v>
      </c>
      <c r="E116" s="1" t="s">
        <v>1416</v>
      </c>
      <c r="F116" s="1" t="s">
        <v>1520</v>
      </c>
      <c r="G116" s="1" t="s">
        <v>58</v>
      </c>
      <c r="H116" s="1" t="s">
        <v>36</v>
      </c>
      <c r="I116" s="1" t="s">
        <v>28</v>
      </c>
      <c r="J116" s="1" t="s">
        <v>34</v>
      </c>
      <c r="K116" s="1" t="s">
        <v>1547</v>
      </c>
      <c r="L116" s="1" t="s">
        <v>1539</v>
      </c>
      <c r="M116" s="41">
        <v>46251</v>
      </c>
    </row>
    <row r="117" spans="1:13" x14ac:dyDescent="0.25">
      <c r="A117" s="1" t="s">
        <v>1537</v>
      </c>
      <c r="B117" s="1" t="s">
        <v>60</v>
      </c>
      <c r="C117" s="1" t="s">
        <v>7</v>
      </c>
      <c r="D117" s="1" t="s">
        <v>1415</v>
      </c>
      <c r="E117" s="1" t="s">
        <v>1416</v>
      </c>
      <c r="F117" s="1" t="s">
        <v>1520</v>
      </c>
      <c r="G117" s="1" t="s">
        <v>58</v>
      </c>
      <c r="H117" s="1" t="s">
        <v>36</v>
      </c>
      <c r="I117" s="1" t="s">
        <v>29</v>
      </c>
      <c r="J117" s="1" t="s">
        <v>34</v>
      </c>
      <c r="K117" s="1" t="s">
        <v>1548</v>
      </c>
      <c r="L117" s="1" t="s">
        <v>1539</v>
      </c>
      <c r="M117" s="41">
        <v>46110</v>
      </c>
    </row>
    <row r="118" spans="1:13" x14ac:dyDescent="0.25">
      <c r="A118" s="1" t="s">
        <v>1537</v>
      </c>
      <c r="B118" s="1" t="s">
        <v>60</v>
      </c>
      <c r="C118" s="1" t="s">
        <v>7</v>
      </c>
      <c r="D118" s="1" t="s">
        <v>1415</v>
      </c>
      <c r="E118" s="1" t="s">
        <v>1416</v>
      </c>
      <c r="F118" s="1" t="s">
        <v>1520</v>
      </c>
      <c r="G118" s="1" t="s">
        <v>58</v>
      </c>
      <c r="H118" s="1" t="s">
        <v>36</v>
      </c>
      <c r="I118" s="1" t="s">
        <v>30</v>
      </c>
      <c r="J118" s="1" t="s">
        <v>34</v>
      </c>
      <c r="K118" s="1" t="s">
        <v>1549</v>
      </c>
      <c r="L118" s="1" t="s">
        <v>1539</v>
      </c>
      <c r="M118" s="41">
        <v>46251</v>
      </c>
    </row>
    <row r="119" spans="1:13" x14ac:dyDescent="0.25">
      <c r="A119" s="1" t="s">
        <v>1537</v>
      </c>
      <c r="B119" s="1" t="s">
        <v>60</v>
      </c>
      <c r="C119" s="1" t="s">
        <v>7</v>
      </c>
      <c r="D119" s="1" t="s">
        <v>1415</v>
      </c>
      <c r="E119" s="1" t="s">
        <v>1416</v>
      </c>
      <c r="F119" s="1" t="s">
        <v>1520</v>
      </c>
      <c r="G119" s="1" t="s">
        <v>58</v>
      </c>
      <c r="H119" s="1" t="s">
        <v>36</v>
      </c>
      <c r="I119" s="1" t="s">
        <v>31</v>
      </c>
      <c r="J119" s="1" t="s">
        <v>34</v>
      </c>
      <c r="K119" s="1" t="s">
        <v>1550</v>
      </c>
      <c r="L119" s="1" t="s">
        <v>1539</v>
      </c>
      <c r="M119" s="41">
        <v>46087</v>
      </c>
    </row>
    <row r="120" spans="1:13" x14ac:dyDescent="0.25">
      <c r="A120" s="1" t="s">
        <v>1537</v>
      </c>
      <c r="B120" s="1" t="s">
        <v>60</v>
      </c>
      <c r="C120" s="1" t="s">
        <v>7</v>
      </c>
      <c r="D120" s="1" t="s">
        <v>1415</v>
      </c>
      <c r="E120" s="1" t="s">
        <v>1416</v>
      </c>
      <c r="F120" s="1" t="s">
        <v>1520</v>
      </c>
      <c r="G120" s="1" t="s">
        <v>58</v>
      </c>
      <c r="H120" s="1" t="s">
        <v>36</v>
      </c>
      <c r="I120" s="1" t="s">
        <v>32</v>
      </c>
      <c r="J120" s="1" t="s">
        <v>34</v>
      </c>
      <c r="K120" s="1" t="s">
        <v>1551</v>
      </c>
      <c r="L120" s="1" t="s">
        <v>1539</v>
      </c>
      <c r="M120" s="41">
        <v>46087</v>
      </c>
    </row>
    <row r="121" spans="1:13" x14ac:dyDescent="0.25">
      <c r="A121" s="1" t="s">
        <v>1552</v>
      </c>
      <c r="B121" s="1" t="s">
        <v>62</v>
      </c>
      <c r="C121" s="1" t="s">
        <v>7</v>
      </c>
      <c r="D121" s="1" t="s">
        <v>1415</v>
      </c>
      <c r="E121" s="1" t="s">
        <v>1416</v>
      </c>
      <c r="F121" s="1" t="s">
        <v>1520</v>
      </c>
      <c r="G121" s="1" t="s">
        <v>61</v>
      </c>
      <c r="H121" s="1" t="s">
        <v>36</v>
      </c>
      <c r="I121" s="1" t="s">
        <v>49</v>
      </c>
      <c r="J121" s="1" t="s">
        <v>57</v>
      </c>
      <c r="K121" s="1" t="s">
        <v>1553</v>
      </c>
      <c r="L121" s="1" t="s">
        <v>1554</v>
      </c>
      <c r="M121" s="41" t="s">
        <v>9</v>
      </c>
    </row>
    <row r="122" spans="1:13" x14ac:dyDescent="0.25">
      <c r="A122" s="1" t="s">
        <v>1552</v>
      </c>
      <c r="B122" s="1" t="s">
        <v>62</v>
      </c>
      <c r="C122" s="1" t="s">
        <v>7</v>
      </c>
      <c r="D122" s="1" t="s">
        <v>1415</v>
      </c>
      <c r="E122" s="1" t="s">
        <v>1416</v>
      </c>
      <c r="F122" s="1" t="s">
        <v>1520</v>
      </c>
      <c r="G122" s="1" t="s">
        <v>61</v>
      </c>
      <c r="H122" s="1" t="s">
        <v>36</v>
      </c>
      <c r="I122" s="1" t="s">
        <v>50</v>
      </c>
      <c r="J122" s="1" t="s">
        <v>57</v>
      </c>
      <c r="K122" s="1" t="s">
        <v>1555</v>
      </c>
      <c r="L122" s="1" t="s">
        <v>1554</v>
      </c>
      <c r="M122" s="41" t="s">
        <v>9</v>
      </c>
    </row>
    <row r="123" spans="1:13" x14ac:dyDescent="0.25">
      <c r="A123" s="1" t="s">
        <v>1552</v>
      </c>
      <c r="B123" s="1" t="s">
        <v>62</v>
      </c>
      <c r="C123" s="1" t="s">
        <v>7</v>
      </c>
      <c r="D123" s="1" t="s">
        <v>1415</v>
      </c>
      <c r="E123" s="1" t="s">
        <v>1416</v>
      </c>
      <c r="F123" s="1" t="s">
        <v>1520</v>
      </c>
      <c r="G123" s="1" t="s">
        <v>61</v>
      </c>
      <c r="H123" s="1" t="s">
        <v>36</v>
      </c>
      <c r="I123" s="1" t="s">
        <v>51</v>
      </c>
      <c r="J123" s="1" t="s">
        <v>57</v>
      </c>
      <c r="K123" s="1" t="s">
        <v>1556</v>
      </c>
      <c r="L123" s="1" t="s">
        <v>1554</v>
      </c>
      <c r="M123" s="41" t="s">
        <v>9</v>
      </c>
    </row>
    <row r="124" spans="1:13" x14ac:dyDescent="0.25">
      <c r="A124" s="1" t="s">
        <v>1552</v>
      </c>
      <c r="B124" s="1" t="s">
        <v>62</v>
      </c>
      <c r="C124" s="1" t="s">
        <v>7</v>
      </c>
      <c r="D124" s="1" t="s">
        <v>1415</v>
      </c>
      <c r="E124" s="1" t="s">
        <v>1416</v>
      </c>
      <c r="F124" s="1" t="s">
        <v>1520</v>
      </c>
      <c r="G124" s="1" t="s">
        <v>61</v>
      </c>
      <c r="H124" s="1" t="s">
        <v>36</v>
      </c>
      <c r="I124" s="1" t="s">
        <v>52</v>
      </c>
      <c r="J124" s="1" t="s">
        <v>57</v>
      </c>
      <c r="K124" s="1" t="s">
        <v>1557</v>
      </c>
      <c r="L124" s="1" t="s">
        <v>1554</v>
      </c>
      <c r="M124" s="41" t="s">
        <v>9</v>
      </c>
    </row>
    <row r="125" spans="1:13" x14ac:dyDescent="0.25">
      <c r="A125" s="1" t="s">
        <v>1552</v>
      </c>
      <c r="B125" s="1" t="s">
        <v>62</v>
      </c>
      <c r="C125" s="1" t="s">
        <v>7</v>
      </c>
      <c r="D125" s="1" t="s">
        <v>1415</v>
      </c>
      <c r="E125" s="1" t="s">
        <v>1416</v>
      </c>
      <c r="F125" s="1" t="s">
        <v>1520</v>
      </c>
      <c r="G125" s="1" t="s">
        <v>61</v>
      </c>
      <c r="H125" s="1" t="s">
        <v>36</v>
      </c>
      <c r="I125" s="1" t="s">
        <v>53</v>
      </c>
      <c r="J125" s="1" t="s">
        <v>57</v>
      </c>
      <c r="K125" s="1" t="s">
        <v>1558</v>
      </c>
      <c r="L125" s="1" t="s">
        <v>1554</v>
      </c>
      <c r="M125" s="41" t="s">
        <v>9</v>
      </c>
    </row>
    <row r="126" spans="1:13" x14ac:dyDescent="0.25">
      <c r="A126" s="1" t="s">
        <v>1552</v>
      </c>
      <c r="B126" s="1" t="s">
        <v>62</v>
      </c>
      <c r="C126" s="1" t="s">
        <v>7</v>
      </c>
      <c r="D126" s="1" t="s">
        <v>1415</v>
      </c>
      <c r="E126" s="1" t="s">
        <v>1416</v>
      </c>
      <c r="F126" s="1" t="s">
        <v>1520</v>
      </c>
      <c r="G126" s="1" t="s">
        <v>61</v>
      </c>
      <c r="H126" s="1" t="s">
        <v>36</v>
      </c>
      <c r="I126" s="1" t="s">
        <v>54</v>
      </c>
      <c r="J126" s="1" t="s">
        <v>57</v>
      </c>
      <c r="K126" s="1" t="s">
        <v>1559</v>
      </c>
      <c r="L126" s="1" t="s">
        <v>1554</v>
      </c>
      <c r="M126" s="41" t="s">
        <v>9</v>
      </c>
    </row>
    <row r="127" spans="1:13" x14ac:dyDescent="0.25">
      <c r="A127" s="1" t="s">
        <v>1552</v>
      </c>
      <c r="B127" s="1" t="s">
        <v>62</v>
      </c>
      <c r="C127" s="1" t="s">
        <v>7</v>
      </c>
      <c r="D127" s="1" t="s">
        <v>1415</v>
      </c>
      <c r="E127" s="1" t="s">
        <v>1416</v>
      </c>
      <c r="F127" s="1" t="s">
        <v>1520</v>
      </c>
      <c r="G127" s="1" t="s">
        <v>61</v>
      </c>
      <c r="H127" s="1" t="s">
        <v>36</v>
      </c>
      <c r="I127" s="1" t="s">
        <v>55</v>
      </c>
      <c r="J127" s="1" t="s">
        <v>57</v>
      </c>
      <c r="K127" s="1" t="s">
        <v>1560</v>
      </c>
      <c r="L127" s="1" t="s">
        <v>1554</v>
      </c>
      <c r="M127" s="41" t="s">
        <v>9</v>
      </c>
    </row>
    <row r="128" spans="1:13" x14ac:dyDescent="0.25">
      <c r="A128" s="1" t="s">
        <v>1552</v>
      </c>
      <c r="B128" s="1" t="s">
        <v>62</v>
      </c>
      <c r="C128" s="1" t="s">
        <v>7</v>
      </c>
      <c r="D128" s="1" t="s">
        <v>1415</v>
      </c>
      <c r="E128" s="1" t="s">
        <v>1416</v>
      </c>
      <c r="F128" s="1" t="s">
        <v>1520</v>
      </c>
      <c r="G128" s="1" t="s">
        <v>61</v>
      </c>
      <c r="H128" s="1" t="s">
        <v>36</v>
      </c>
      <c r="I128" s="1" t="s">
        <v>20</v>
      </c>
      <c r="J128" s="1" t="s">
        <v>57</v>
      </c>
      <c r="K128" s="1" t="s">
        <v>1561</v>
      </c>
      <c r="L128" s="1" t="s">
        <v>1554</v>
      </c>
      <c r="M128" s="41" t="s">
        <v>9</v>
      </c>
    </row>
    <row r="129" spans="1:13" x14ac:dyDescent="0.25">
      <c r="A129" s="1" t="s">
        <v>1552</v>
      </c>
      <c r="B129" s="1" t="s">
        <v>62</v>
      </c>
      <c r="C129" s="1" t="s">
        <v>7</v>
      </c>
      <c r="D129" s="1" t="s">
        <v>1415</v>
      </c>
      <c r="E129" s="1" t="s">
        <v>1416</v>
      </c>
      <c r="F129" s="1" t="s">
        <v>1520</v>
      </c>
      <c r="G129" s="1" t="s">
        <v>61</v>
      </c>
      <c r="H129" s="1" t="s">
        <v>36</v>
      </c>
      <c r="I129" s="1" t="s">
        <v>21</v>
      </c>
      <c r="J129" s="1" t="s">
        <v>57</v>
      </c>
      <c r="K129" s="1" t="s">
        <v>1562</v>
      </c>
      <c r="L129" s="1" t="s">
        <v>1554</v>
      </c>
      <c r="M129" s="41" t="s">
        <v>9</v>
      </c>
    </row>
    <row r="130" spans="1:13" x14ac:dyDescent="0.25">
      <c r="A130" s="1" t="s">
        <v>1552</v>
      </c>
      <c r="B130" s="1" t="s">
        <v>62</v>
      </c>
      <c r="C130" s="1" t="s">
        <v>7</v>
      </c>
      <c r="D130" s="1" t="s">
        <v>1415</v>
      </c>
      <c r="E130" s="1" t="s">
        <v>1416</v>
      </c>
      <c r="F130" s="1" t="s">
        <v>1520</v>
      </c>
      <c r="G130" s="1" t="s">
        <v>61</v>
      </c>
      <c r="H130" s="1" t="s">
        <v>36</v>
      </c>
      <c r="I130" s="1" t="s">
        <v>22</v>
      </c>
      <c r="J130" s="1" t="s">
        <v>57</v>
      </c>
      <c r="K130" s="1" t="s">
        <v>1563</v>
      </c>
      <c r="L130" s="1" t="s">
        <v>1554</v>
      </c>
      <c r="M130" s="41" t="s">
        <v>9</v>
      </c>
    </row>
    <row r="131" spans="1:13" x14ac:dyDescent="0.25">
      <c r="A131" s="1" t="s">
        <v>1552</v>
      </c>
      <c r="B131" s="1" t="s">
        <v>62</v>
      </c>
      <c r="C131" s="1" t="s">
        <v>7</v>
      </c>
      <c r="D131" s="1" t="s">
        <v>1415</v>
      </c>
      <c r="E131" s="1" t="s">
        <v>1416</v>
      </c>
      <c r="F131" s="1" t="s">
        <v>1520</v>
      </c>
      <c r="G131" s="1" t="s">
        <v>61</v>
      </c>
      <c r="H131" s="1" t="s">
        <v>36</v>
      </c>
      <c r="I131" s="1" t="s">
        <v>23</v>
      </c>
      <c r="J131" s="1" t="s">
        <v>57</v>
      </c>
      <c r="K131" s="1" t="s">
        <v>1564</v>
      </c>
      <c r="L131" s="1" t="s">
        <v>1554</v>
      </c>
      <c r="M131" s="41" t="s">
        <v>9</v>
      </c>
    </row>
    <row r="132" spans="1:13" x14ac:dyDescent="0.25">
      <c r="A132" s="1" t="s">
        <v>1552</v>
      </c>
      <c r="B132" s="1" t="s">
        <v>62</v>
      </c>
      <c r="C132" s="1" t="s">
        <v>7</v>
      </c>
      <c r="D132" s="1" t="s">
        <v>1415</v>
      </c>
      <c r="E132" s="1" t="s">
        <v>1416</v>
      </c>
      <c r="F132" s="1" t="s">
        <v>1520</v>
      </c>
      <c r="G132" s="1" t="s">
        <v>61</v>
      </c>
      <c r="H132" s="1" t="s">
        <v>36</v>
      </c>
      <c r="I132" s="1" t="s">
        <v>24</v>
      </c>
      <c r="J132" s="1" t="s">
        <v>57</v>
      </c>
      <c r="K132" s="1" t="s">
        <v>1565</v>
      </c>
      <c r="L132" s="1" t="s">
        <v>1554</v>
      </c>
      <c r="M132" s="41" t="s">
        <v>9</v>
      </c>
    </row>
    <row r="133" spans="1:13" x14ac:dyDescent="0.25">
      <c r="A133" s="1" t="s">
        <v>1552</v>
      </c>
      <c r="B133" s="1" t="s">
        <v>62</v>
      </c>
      <c r="C133" s="1" t="s">
        <v>7</v>
      </c>
      <c r="D133" s="1" t="s">
        <v>1415</v>
      </c>
      <c r="E133" s="1" t="s">
        <v>1416</v>
      </c>
      <c r="F133" s="1" t="s">
        <v>1520</v>
      </c>
      <c r="G133" s="1" t="s">
        <v>61</v>
      </c>
      <c r="H133" s="1" t="s">
        <v>36</v>
      </c>
      <c r="I133" s="1" t="s">
        <v>25</v>
      </c>
      <c r="J133" s="1" t="s">
        <v>57</v>
      </c>
      <c r="K133" s="1" t="s">
        <v>1566</v>
      </c>
      <c r="L133" s="1" t="s">
        <v>1554</v>
      </c>
      <c r="M133" s="41" t="s">
        <v>9</v>
      </c>
    </row>
    <row r="134" spans="1:13" x14ac:dyDescent="0.25">
      <c r="A134" s="1" t="s">
        <v>1552</v>
      </c>
      <c r="B134" s="1" t="s">
        <v>62</v>
      </c>
      <c r="C134" s="1" t="s">
        <v>7</v>
      </c>
      <c r="D134" s="1" t="s">
        <v>1415</v>
      </c>
      <c r="E134" s="1" t="s">
        <v>1416</v>
      </c>
      <c r="F134" s="1" t="s">
        <v>1520</v>
      </c>
      <c r="G134" s="1" t="s">
        <v>61</v>
      </c>
      <c r="H134" s="1" t="s">
        <v>36</v>
      </c>
      <c r="I134" s="1" t="s">
        <v>26</v>
      </c>
      <c r="J134" s="1" t="s">
        <v>57</v>
      </c>
      <c r="K134" s="1" t="s">
        <v>1567</v>
      </c>
      <c r="L134" s="1" t="s">
        <v>1554</v>
      </c>
      <c r="M134" s="41" t="s">
        <v>9</v>
      </c>
    </row>
    <row r="135" spans="1:13" x14ac:dyDescent="0.25">
      <c r="A135" s="1" t="s">
        <v>1552</v>
      </c>
      <c r="B135" s="1" t="s">
        <v>62</v>
      </c>
      <c r="C135" s="1" t="s">
        <v>7</v>
      </c>
      <c r="D135" s="1" t="s">
        <v>1415</v>
      </c>
      <c r="E135" s="1" t="s">
        <v>1416</v>
      </c>
      <c r="F135" s="1" t="s">
        <v>1520</v>
      </c>
      <c r="G135" s="1" t="s">
        <v>61</v>
      </c>
      <c r="H135" s="1" t="s">
        <v>36</v>
      </c>
      <c r="I135" s="1" t="s">
        <v>27</v>
      </c>
      <c r="J135" s="1" t="s">
        <v>57</v>
      </c>
      <c r="K135" s="1" t="s">
        <v>1568</v>
      </c>
      <c r="L135" s="1" t="s">
        <v>1554</v>
      </c>
      <c r="M135" s="41" t="s">
        <v>9</v>
      </c>
    </row>
    <row r="136" spans="1:13" x14ac:dyDescent="0.25">
      <c r="A136" s="1" t="s">
        <v>1552</v>
      </c>
      <c r="B136" s="1" t="s">
        <v>62</v>
      </c>
      <c r="C136" s="1" t="s">
        <v>7</v>
      </c>
      <c r="D136" s="1" t="s">
        <v>1415</v>
      </c>
      <c r="E136" s="1" t="s">
        <v>1416</v>
      </c>
      <c r="F136" s="1" t="s">
        <v>1520</v>
      </c>
      <c r="G136" s="1" t="s">
        <v>61</v>
      </c>
      <c r="H136" s="1" t="s">
        <v>36</v>
      </c>
      <c r="I136" s="1" t="s">
        <v>28</v>
      </c>
      <c r="J136" s="1" t="s">
        <v>57</v>
      </c>
      <c r="K136" s="1" t="s">
        <v>1569</v>
      </c>
      <c r="L136" s="1" t="s">
        <v>1554</v>
      </c>
      <c r="M136" s="41" t="s">
        <v>9</v>
      </c>
    </row>
    <row r="137" spans="1:13" x14ac:dyDescent="0.25">
      <c r="A137" s="1" t="s">
        <v>1552</v>
      </c>
      <c r="B137" s="1" t="s">
        <v>62</v>
      </c>
      <c r="C137" s="1" t="s">
        <v>7</v>
      </c>
      <c r="D137" s="1" t="s">
        <v>1415</v>
      </c>
      <c r="E137" s="1" t="s">
        <v>1416</v>
      </c>
      <c r="F137" s="1" t="s">
        <v>1520</v>
      </c>
      <c r="G137" s="1" t="s">
        <v>61</v>
      </c>
      <c r="H137" s="1" t="s">
        <v>36</v>
      </c>
      <c r="I137" s="1" t="s">
        <v>56</v>
      </c>
      <c r="J137" s="1" t="s">
        <v>57</v>
      </c>
      <c r="K137" s="1" t="s">
        <v>1570</v>
      </c>
      <c r="L137" s="1" t="s">
        <v>1554</v>
      </c>
      <c r="M137" s="41" t="s">
        <v>9</v>
      </c>
    </row>
    <row r="138" spans="1:13" x14ac:dyDescent="0.25">
      <c r="A138" s="1" t="s">
        <v>1552</v>
      </c>
      <c r="B138" s="1" t="s">
        <v>62</v>
      </c>
      <c r="C138" s="1" t="s">
        <v>7</v>
      </c>
      <c r="D138" s="1" t="s">
        <v>1415</v>
      </c>
      <c r="E138" s="1" t="s">
        <v>1416</v>
      </c>
      <c r="F138" s="1" t="s">
        <v>1520</v>
      </c>
      <c r="G138" s="1" t="s">
        <v>61</v>
      </c>
      <c r="H138" s="1" t="s">
        <v>36</v>
      </c>
      <c r="I138" s="1" t="s">
        <v>29</v>
      </c>
      <c r="J138" s="1" t="s">
        <v>57</v>
      </c>
      <c r="K138" s="1" t="s">
        <v>1571</v>
      </c>
      <c r="L138" s="1" t="s">
        <v>1554</v>
      </c>
      <c r="M138" s="41" t="s">
        <v>9</v>
      </c>
    </row>
    <row r="139" spans="1:13" x14ac:dyDescent="0.25">
      <c r="A139" s="1" t="s">
        <v>1552</v>
      </c>
      <c r="B139" s="1" t="s">
        <v>62</v>
      </c>
      <c r="C139" s="1" t="s">
        <v>7</v>
      </c>
      <c r="D139" s="1" t="s">
        <v>1415</v>
      </c>
      <c r="E139" s="1" t="s">
        <v>1416</v>
      </c>
      <c r="F139" s="1" t="s">
        <v>1520</v>
      </c>
      <c r="G139" s="1" t="s">
        <v>61</v>
      </c>
      <c r="H139" s="1" t="s">
        <v>36</v>
      </c>
      <c r="I139" s="1" t="s">
        <v>30</v>
      </c>
      <c r="J139" s="1" t="s">
        <v>57</v>
      </c>
      <c r="K139" s="1" t="s">
        <v>1572</v>
      </c>
      <c r="L139" s="1" t="s">
        <v>1554</v>
      </c>
      <c r="M139" s="41" t="s">
        <v>9</v>
      </c>
    </row>
    <row r="140" spans="1:13" x14ac:dyDescent="0.25">
      <c r="A140" s="1" t="s">
        <v>1552</v>
      </c>
      <c r="B140" s="1" t="s">
        <v>62</v>
      </c>
      <c r="C140" s="1" t="s">
        <v>7</v>
      </c>
      <c r="D140" s="1" t="s">
        <v>1415</v>
      </c>
      <c r="E140" s="1" t="s">
        <v>1416</v>
      </c>
      <c r="F140" s="1" t="s">
        <v>1520</v>
      </c>
      <c r="G140" s="1" t="s">
        <v>61</v>
      </c>
      <c r="H140" s="1" t="s">
        <v>36</v>
      </c>
      <c r="I140" s="1" t="s">
        <v>31</v>
      </c>
      <c r="J140" s="1" t="s">
        <v>57</v>
      </c>
      <c r="K140" s="1" t="s">
        <v>1573</v>
      </c>
      <c r="L140" s="1" t="s">
        <v>1554</v>
      </c>
      <c r="M140" s="41" t="s">
        <v>9</v>
      </c>
    </row>
    <row r="141" spans="1:13" x14ac:dyDescent="0.25">
      <c r="A141" s="1" t="s">
        <v>1552</v>
      </c>
      <c r="B141" s="1" t="s">
        <v>62</v>
      </c>
      <c r="C141" s="1" t="s">
        <v>7</v>
      </c>
      <c r="D141" s="1" t="s">
        <v>1415</v>
      </c>
      <c r="E141" s="1" t="s">
        <v>1416</v>
      </c>
      <c r="F141" s="1" t="s">
        <v>1520</v>
      </c>
      <c r="G141" s="1" t="s">
        <v>61</v>
      </c>
      <c r="H141" s="1" t="s">
        <v>36</v>
      </c>
      <c r="I141" s="1" t="s">
        <v>32</v>
      </c>
      <c r="J141" s="1" t="s">
        <v>57</v>
      </c>
      <c r="K141" s="1" t="s">
        <v>1574</v>
      </c>
      <c r="L141" s="1" t="s">
        <v>1554</v>
      </c>
      <c r="M141" s="41" t="s">
        <v>9</v>
      </c>
    </row>
    <row r="142" spans="1:13" x14ac:dyDescent="0.25">
      <c r="A142" s="1" t="s">
        <v>1552</v>
      </c>
      <c r="B142" s="1" t="s">
        <v>62</v>
      </c>
      <c r="C142" s="1" t="s">
        <v>7</v>
      </c>
      <c r="D142" s="1" t="s">
        <v>1415</v>
      </c>
      <c r="E142" s="1" t="s">
        <v>1416</v>
      </c>
      <c r="F142" s="1" t="s">
        <v>1520</v>
      </c>
      <c r="G142" s="1" t="s">
        <v>61</v>
      </c>
      <c r="H142" s="1" t="s">
        <v>36</v>
      </c>
      <c r="I142" s="1" t="s">
        <v>49</v>
      </c>
      <c r="J142" s="1" t="s">
        <v>34</v>
      </c>
      <c r="K142" s="1" t="s">
        <v>1575</v>
      </c>
      <c r="L142" s="1" t="s">
        <v>1554</v>
      </c>
      <c r="M142" s="41">
        <v>46087</v>
      </c>
    </row>
    <row r="143" spans="1:13" x14ac:dyDescent="0.25">
      <c r="A143" s="1" t="s">
        <v>1552</v>
      </c>
      <c r="B143" s="1" t="s">
        <v>62</v>
      </c>
      <c r="C143" s="1" t="s">
        <v>7</v>
      </c>
      <c r="D143" s="1" t="s">
        <v>1415</v>
      </c>
      <c r="E143" s="1" t="s">
        <v>1416</v>
      </c>
      <c r="F143" s="1" t="s">
        <v>1520</v>
      </c>
      <c r="G143" s="1" t="s">
        <v>61</v>
      </c>
      <c r="H143" s="1" t="s">
        <v>36</v>
      </c>
      <c r="I143" s="1" t="s">
        <v>50</v>
      </c>
      <c r="J143" s="1" t="s">
        <v>34</v>
      </c>
      <c r="K143" s="1" t="s">
        <v>1576</v>
      </c>
      <c r="L143" s="1" t="s">
        <v>1554</v>
      </c>
      <c r="M143" s="41">
        <v>46136</v>
      </c>
    </row>
    <row r="144" spans="1:13" x14ac:dyDescent="0.25">
      <c r="A144" s="1" t="s">
        <v>1552</v>
      </c>
      <c r="B144" s="1" t="s">
        <v>62</v>
      </c>
      <c r="C144" s="1" t="s">
        <v>7</v>
      </c>
      <c r="D144" s="1" t="s">
        <v>1415</v>
      </c>
      <c r="E144" s="1" t="s">
        <v>1416</v>
      </c>
      <c r="F144" s="1" t="s">
        <v>1520</v>
      </c>
      <c r="G144" s="1" t="s">
        <v>61</v>
      </c>
      <c r="H144" s="1" t="s">
        <v>36</v>
      </c>
      <c r="I144" s="1" t="s">
        <v>51</v>
      </c>
      <c r="J144" s="1" t="s">
        <v>34</v>
      </c>
      <c r="K144" s="1" t="s">
        <v>1577</v>
      </c>
      <c r="L144" s="1" t="s">
        <v>1554</v>
      </c>
      <c r="M144" s="41">
        <v>46273</v>
      </c>
    </row>
    <row r="145" spans="1:13" x14ac:dyDescent="0.25">
      <c r="A145" s="1" t="s">
        <v>1552</v>
      </c>
      <c r="B145" s="1" t="s">
        <v>62</v>
      </c>
      <c r="C145" s="1" t="s">
        <v>7</v>
      </c>
      <c r="D145" s="1" t="s">
        <v>1415</v>
      </c>
      <c r="E145" s="1" t="s">
        <v>1416</v>
      </c>
      <c r="F145" s="1" t="s">
        <v>1520</v>
      </c>
      <c r="G145" s="1" t="s">
        <v>61</v>
      </c>
      <c r="H145" s="1" t="s">
        <v>36</v>
      </c>
      <c r="I145" s="1" t="s">
        <v>52</v>
      </c>
      <c r="J145" s="1" t="s">
        <v>34</v>
      </c>
      <c r="K145" s="1" t="s">
        <v>1578</v>
      </c>
      <c r="L145" s="1" t="s">
        <v>1554</v>
      </c>
      <c r="M145" s="41">
        <v>46136</v>
      </c>
    </row>
    <row r="146" spans="1:13" x14ac:dyDescent="0.25">
      <c r="A146" s="1" t="s">
        <v>1552</v>
      </c>
      <c r="B146" s="1" t="s">
        <v>62</v>
      </c>
      <c r="C146" s="1" t="s">
        <v>7</v>
      </c>
      <c r="D146" s="1" t="s">
        <v>1415</v>
      </c>
      <c r="E146" s="1" t="s">
        <v>1416</v>
      </c>
      <c r="F146" s="1" t="s">
        <v>1520</v>
      </c>
      <c r="G146" s="1" t="s">
        <v>61</v>
      </c>
      <c r="H146" s="1" t="s">
        <v>36</v>
      </c>
      <c r="I146" s="1" t="s">
        <v>53</v>
      </c>
      <c r="J146" s="1" t="s">
        <v>34</v>
      </c>
      <c r="K146" s="1" t="s">
        <v>1579</v>
      </c>
      <c r="L146" s="1" t="s">
        <v>1554</v>
      </c>
      <c r="M146" s="41">
        <v>46273</v>
      </c>
    </row>
    <row r="147" spans="1:13" x14ac:dyDescent="0.25">
      <c r="A147" s="1" t="s">
        <v>1552</v>
      </c>
      <c r="B147" s="1" t="s">
        <v>62</v>
      </c>
      <c r="C147" s="1" t="s">
        <v>7</v>
      </c>
      <c r="D147" s="1" t="s">
        <v>1415</v>
      </c>
      <c r="E147" s="1" t="s">
        <v>1416</v>
      </c>
      <c r="F147" s="1" t="s">
        <v>1520</v>
      </c>
      <c r="G147" s="1" t="s">
        <v>61</v>
      </c>
      <c r="H147" s="1" t="s">
        <v>36</v>
      </c>
      <c r="I147" s="1" t="s">
        <v>54</v>
      </c>
      <c r="J147" s="1" t="s">
        <v>34</v>
      </c>
      <c r="K147" s="1" t="s">
        <v>1580</v>
      </c>
      <c r="L147" s="1" t="s">
        <v>1554</v>
      </c>
      <c r="M147" s="41">
        <v>46136</v>
      </c>
    </row>
    <row r="148" spans="1:13" x14ac:dyDescent="0.25">
      <c r="A148" s="1" t="s">
        <v>1552</v>
      </c>
      <c r="B148" s="1" t="s">
        <v>62</v>
      </c>
      <c r="C148" s="1" t="s">
        <v>7</v>
      </c>
      <c r="D148" s="1" t="s">
        <v>1415</v>
      </c>
      <c r="E148" s="1" t="s">
        <v>1416</v>
      </c>
      <c r="F148" s="1" t="s">
        <v>1520</v>
      </c>
      <c r="G148" s="1" t="s">
        <v>61</v>
      </c>
      <c r="H148" s="1" t="s">
        <v>36</v>
      </c>
      <c r="I148" s="1" t="s">
        <v>55</v>
      </c>
      <c r="J148" s="1" t="s">
        <v>34</v>
      </c>
      <c r="K148" s="1" t="s">
        <v>1581</v>
      </c>
      <c r="L148" s="1" t="s">
        <v>1554</v>
      </c>
      <c r="M148" s="41">
        <v>46273</v>
      </c>
    </row>
    <row r="149" spans="1:13" x14ac:dyDescent="0.25">
      <c r="A149" s="1" t="s">
        <v>1552</v>
      </c>
      <c r="B149" s="1" t="s">
        <v>62</v>
      </c>
      <c r="C149" s="1" t="s">
        <v>7</v>
      </c>
      <c r="D149" s="1" t="s">
        <v>1415</v>
      </c>
      <c r="E149" s="1" t="s">
        <v>1416</v>
      </c>
      <c r="F149" s="1" t="s">
        <v>1520</v>
      </c>
      <c r="G149" s="1" t="s">
        <v>61</v>
      </c>
      <c r="H149" s="1" t="s">
        <v>36</v>
      </c>
      <c r="I149" s="1" t="s">
        <v>20</v>
      </c>
      <c r="J149" s="1" t="s">
        <v>34</v>
      </c>
      <c r="K149" s="1" t="s">
        <v>1582</v>
      </c>
      <c r="L149" s="1" t="s">
        <v>1554</v>
      </c>
      <c r="M149" s="41">
        <v>46136</v>
      </c>
    </row>
    <row r="150" spans="1:13" x14ac:dyDescent="0.25">
      <c r="A150" s="1" t="s">
        <v>1552</v>
      </c>
      <c r="B150" s="1" t="s">
        <v>62</v>
      </c>
      <c r="C150" s="1" t="s">
        <v>7</v>
      </c>
      <c r="D150" s="1" t="s">
        <v>1415</v>
      </c>
      <c r="E150" s="1" t="s">
        <v>1416</v>
      </c>
      <c r="F150" s="1" t="s">
        <v>1520</v>
      </c>
      <c r="G150" s="1" t="s">
        <v>61</v>
      </c>
      <c r="H150" s="1" t="s">
        <v>36</v>
      </c>
      <c r="I150" s="1" t="s">
        <v>21</v>
      </c>
      <c r="J150" s="1" t="s">
        <v>34</v>
      </c>
      <c r="K150" s="1" t="s">
        <v>1583</v>
      </c>
      <c r="L150" s="1" t="s">
        <v>1554</v>
      </c>
      <c r="M150" s="41">
        <v>46136</v>
      </c>
    </row>
    <row r="151" spans="1:13" x14ac:dyDescent="0.25">
      <c r="A151" s="1" t="s">
        <v>1552</v>
      </c>
      <c r="B151" s="1" t="s">
        <v>62</v>
      </c>
      <c r="C151" s="1" t="s">
        <v>7</v>
      </c>
      <c r="D151" s="1" t="s">
        <v>1415</v>
      </c>
      <c r="E151" s="1" t="s">
        <v>1416</v>
      </c>
      <c r="F151" s="1" t="s">
        <v>1520</v>
      </c>
      <c r="G151" s="1" t="s">
        <v>61</v>
      </c>
      <c r="H151" s="1" t="s">
        <v>36</v>
      </c>
      <c r="I151" s="1" t="s">
        <v>22</v>
      </c>
      <c r="J151" s="1" t="s">
        <v>34</v>
      </c>
      <c r="K151" s="1" t="s">
        <v>1584</v>
      </c>
      <c r="L151" s="1" t="s">
        <v>1554</v>
      </c>
      <c r="M151" s="41">
        <v>46136</v>
      </c>
    </row>
    <row r="152" spans="1:13" x14ac:dyDescent="0.25">
      <c r="A152" s="1" t="s">
        <v>1552</v>
      </c>
      <c r="B152" s="1" t="s">
        <v>62</v>
      </c>
      <c r="C152" s="1" t="s">
        <v>7</v>
      </c>
      <c r="D152" s="1" t="s">
        <v>1415</v>
      </c>
      <c r="E152" s="1" t="s">
        <v>1416</v>
      </c>
      <c r="F152" s="1" t="s">
        <v>1520</v>
      </c>
      <c r="G152" s="1" t="s">
        <v>61</v>
      </c>
      <c r="H152" s="1" t="s">
        <v>36</v>
      </c>
      <c r="I152" s="1" t="s">
        <v>23</v>
      </c>
      <c r="J152" s="1" t="s">
        <v>34</v>
      </c>
      <c r="K152" s="1" t="s">
        <v>1585</v>
      </c>
      <c r="L152" s="1" t="s">
        <v>1554</v>
      </c>
      <c r="M152" s="41">
        <v>46302</v>
      </c>
    </row>
    <row r="153" spans="1:13" x14ac:dyDescent="0.25">
      <c r="A153" s="1" t="s">
        <v>1552</v>
      </c>
      <c r="B153" s="1" t="s">
        <v>62</v>
      </c>
      <c r="C153" s="1" t="s">
        <v>7</v>
      </c>
      <c r="D153" s="1" t="s">
        <v>1415</v>
      </c>
      <c r="E153" s="1" t="s">
        <v>1416</v>
      </c>
      <c r="F153" s="1" t="s">
        <v>1520</v>
      </c>
      <c r="G153" s="1" t="s">
        <v>61</v>
      </c>
      <c r="H153" s="1" t="s">
        <v>36</v>
      </c>
      <c r="I153" s="1" t="s">
        <v>24</v>
      </c>
      <c r="J153" s="1" t="s">
        <v>34</v>
      </c>
      <c r="K153" s="1" t="s">
        <v>1586</v>
      </c>
      <c r="L153" s="1" t="s">
        <v>1554</v>
      </c>
      <c r="M153" s="41">
        <v>46302</v>
      </c>
    </row>
    <row r="154" spans="1:13" x14ac:dyDescent="0.25">
      <c r="A154" s="1" t="s">
        <v>1552</v>
      </c>
      <c r="B154" s="1" t="s">
        <v>62</v>
      </c>
      <c r="C154" s="1" t="s">
        <v>7</v>
      </c>
      <c r="D154" s="1" t="s">
        <v>1415</v>
      </c>
      <c r="E154" s="1" t="s">
        <v>1416</v>
      </c>
      <c r="F154" s="1" t="s">
        <v>1520</v>
      </c>
      <c r="G154" s="1" t="s">
        <v>61</v>
      </c>
      <c r="H154" s="1" t="s">
        <v>36</v>
      </c>
      <c r="I154" s="1" t="s">
        <v>25</v>
      </c>
      <c r="J154" s="1" t="s">
        <v>34</v>
      </c>
      <c r="K154" s="1" t="s">
        <v>1587</v>
      </c>
      <c r="L154" s="1" t="s">
        <v>1554</v>
      </c>
      <c r="M154" s="41">
        <v>46302</v>
      </c>
    </row>
    <row r="155" spans="1:13" x14ac:dyDescent="0.25">
      <c r="A155" s="1" t="s">
        <v>1552</v>
      </c>
      <c r="B155" s="1" t="s">
        <v>62</v>
      </c>
      <c r="C155" s="1" t="s">
        <v>7</v>
      </c>
      <c r="D155" s="1" t="s">
        <v>1415</v>
      </c>
      <c r="E155" s="1" t="s">
        <v>1416</v>
      </c>
      <c r="F155" s="1" t="s">
        <v>1520</v>
      </c>
      <c r="G155" s="1" t="s">
        <v>61</v>
      </c>
      <c r="H155" s="1" t="s">
        <v>36</v>
      </c>
      <c r="I155" s="1" t="s">
        <v>26</v>
      </c>
      <c r="J155" s="1" t="s">
        <v>34</v>
      </c>
      <c r="K155" s="1" t="s">
        <v>1588</v>
      </c>
      <c r="L155" s="1" t="s">
        <v>1554</v>
      </c>
      <c r="M155" s="41">
        <v>46302</v>
      </c>
    </row>
    <row r="156" spans="1:13" x14ac:dyDescent="0.25">
      <c r="A156" s="1" t="s">
        <v>1552</v>
      </c>
      <c r="B156" s="1" t="s">
        <v>62</v>
      </c>
      <c r="C156" s="1" t="s">
        <v>7</v>
      </c>
      <c r="D156" s="1" t="s">
        <v>1415</v>
      </c>
      <c r="E156" s="1" t="s">
        <v>1416</v>
      </c>
      <c r="F156" s="1" t="s">
        <v>1520</v>
      </c>
      <c r="G156" s="1" t="s">
        <v>61</v>
      </c>
      <c r="H156" s="1" t="s">
        <v>36</v>
      </c>
      <c r="I156" s="1" t="s">
        <v>27</v>
      </c>
      <c r="J156" s="1" t="s">
        <v>34</v>
      </c>
      <c r="K156" s="1" t="s">
        <v>1589</v>
      </c>
      <c r="L156" s="1" t="s">
        <v>1554</v>
      </c>
      <c r="M156" s="41">
        <v>46302</v>
      </c>
    </row>
    <row r="157" spans="1:13" x14ac:dyDescent="0.25">
      <c r="A157" s="1" t="s">
        <v>1552</v>
      </c>
      <c r="B157" s="1" t="s">
        <v>62</v>
      </c>
      <c r="C157" s="1" t="s">
        <v>7</v>
      </c>
      <c r="D157" s="1" t="s">
        <v>1415</v>
      </c>
      <c r="E157" s="1" t="s">
        <v>1416</v>
      </c>
      <c r="F157" s="1" t="s">
        <v>1520</v>
      </c>
      <c r="G157" s="1" t="s">
        <v>61</v>
      </c>
      <c r="H157" s="1" t="s">
        <v>36</v>
      </c>
      <c r="I157" s="1" t="s">
        <v>28</v>
      </c>
      <c r="J157" s="1" t="s">
        <v>34</v>
      </c>
      <c r="K157" s="1" t="s">
        <v>1590</v>
      </c>
      <c r="L157" s="1" t="s">
        <v>1554</v>
      </c>
      <c r="M157" s="41">
        <v>46302</v>
      </c>
    </row>
    <row r="158" spans="1:13" x14ac:dyDescent="0.25">
      <c r="A158" s="1" t="s">
        <v>1552</v>
      </c>
      <c r="B158" s="1" t="s">
        <v>62</v>
      </c>
      <c r="C158" s="1" t="s">
        <v>7</v>
      </c>
      <c r="D158" s="1" t="s">
        <v>1415</v>
      </c>
      <c r="E158" s="1" t="s">
        <v>1416</v>
      </c>
      <c r="F158" s="1" t="s">
        <v>1520</v>
      </c>
      <c r="G158" s="1" t="s">
        <v>61</v>
      </c>
      <c r="H158" s="1" t="s">
        <v>36</v>
      </c>
      <c r="I158" s="1" t="s">
        <v>56</v>
      </c>
      <c r="J158" s="1" t="s">
        <v>34</v>
      </c>
      <c r="K158" s="1" t="s">
        <v>1591</v>
      </c>
      <c r="L158" s="1" t="s">
        <v>1554</v>
      </c>
      <c r="M158" s="41" t="s">
        <v>9</v>
      </c>
    </row>
    <row r="159" spans="1:13" x14ac:dyDescent="0.25">
      <c r="A159" s="1" t="s">
        <v>1552</v>
      </c>
      <c r="B159" s="1" t="s">
        <v>62</v>
      </c>
      <c r="C159" s="1" t="s">
        <v>7</v>
      </c>
      <c r="D159" s="1" t="s">
        <v>1415</v>
      </c>
      <c r="E159" s="1" t="s">
        <v>1416</v>
      </c>
      <c r="F159" s="1" t="s">
        <v>1520</v>
      </c>
      <c r="G159" s="1" t="s">
        <v>61</v>
      </c>
      <c r="H159" s="1" t="s">
        <v>36</v>
      </c>
      <c r="I159" s="1" t="s">
        <v>29</v>
      </c>
      <c r="J159" s="1" t="s">
        <v>34</v>
      </c>
      <c r="K159" s="1" t="s">
        <v>1592</v>
      </c>
      <c r="L159" s="1" t="s">
        <v>1554</v>
      </c>
      <c r="M159" s="41">
        <v>46302</v>
      </c>
    </row>
    <row r="160" spans="1:13" x14ac:dyDescent="0.25">
      <c r="A160" s="1" t="s">
        <v>1552</v>
      </c>
      <c r="B160" s="1" t="s">
        <v>62</v>
      </c>
      <c r="C160" s="1" t="s">
        <v>7</v>
      </c>
      <c r="D160" s="1" t="s">
        <v>1415</v>
      </c>
      <c r="E160" s="1" t="s">
        <v>1416</v>
      </c>
      <c r="F160" s="1" t="s">
        <v>1520</v>
      </c>
      <c r="G160" s="1" t="s">
        <v>61</v>
      </c>
      <c r="H160" s="1" t="s">
        <v>36</v>
      </c>
      <c r="I160" s="1" t="s">
        <v>30</v>
      </c>
      <c r="J160" s="1" t="s">
        <v>34</v>
      </c>
      <c r="K160" s="1" t="s">
        <v>1593</v>
      </c>
      <c r="L160" s="1" t="s">
        <v>1554</v>
      </c>
      <c r="M160" s="41">
        <v>46302</v>
      </c>
    </row>
    <row r="161" spans="1:13" x14ac:dyDescent="0.25">
      <c r="A161" s="1" t="s">
        <v>1552</v>
      </c>
      <c r="B161" s="1" t="s">
        <v>62</v>
      </c>
      <c r="C161" s="1" t="s">
        <v>7</v>
      </c>
      <c r="D161" s="1" t="s">
        <v>1415</v>
      </c>
      <c r="E161" s="1" t="s">
        <v>1416</v>
      </c>
      <c r="F161" s="1" t="s">
        <v>1520</v>
      </c>
      <c r="G161" s="1" t="s">
        <v>61</v>
      </c>
      <c r="H161" s="1" t="s">
        <v>36</v>
      </c>
      <c r="I161" s="1" t="s">
        <v>31</v>
      </c>
      <c r="J161" s="1" t="s">
        <v>34</v>
      </c>
      <c r="K161" s="1" t="s">
        <v>1594</v>
      </c>
      <c r="L161" s="1" t="s">
        <v>1554</v>
      </c>
      <c r="M161" s="41">
        <v>46136</v>
      </c>
    </row>
    <row r="162" spans="1:13" x14ac:dyDescent="0.25">
      <c r="A162" s="1" t="s">
        <v>1552</v>
      </c>
      <c r="B162" s="1" t="s">
        <v>62</v>
      </c>
      <c r="C162" s="1" t="s">
        <v>7</v>
      </c>
      <c r="D162" s="1" t="s">
        <v>1415</v>
      </c>
      <c r="E162" s="1" t="s">
        <v>1416</v>
      </c>
      <c r="F162" s="1" t="s">
        <v>1520</v>
      </c>
      <c r="G162" s="1" t="s">
        <v>61</v>
      </c>
      <c r="H162" s="1" t="s">
        <v>36</v>
      </c>
      <c r="I162" s="1" t="s">
        <v>32</v>
      </c>
      <c r="J162" s="1" t="s">
        <v>34</v>
      </c>
      <c r="K162" s="1" t="s">
        <v>1595</v>
      </c>
      <c r="L162" s="1" t="s">
        <v>1554</v>
      </c>
      <c r="M162" s="41">
        <v>46273</v>
      </c>
    </row>
    <row r="163" spans="1:13" x14ac:dyDescent="0.25">
      <c r="A163" s="1" t="s">
        <v>1596</v>
      </c>
      <c r="B163" s="1" t="s">
        <v>62</v>
      </c>
      <c r="C163" s="1" t="s">
        <v>7</v>
      </c>
      <c r="D163" s="1" t="s">
        <v>1415</v>
      </c>
      <c r="E163" s="1" t="s">
        <v>1416</v>
      </c>
      <c r="F163" s="1" t="s">
        <v>1520</v>
      </c>
      <c r="G163" s="1" t="s">
        <v>58</v>
      </c>
      <c r="H163" s="1" t="s">
        <v>36</v>
      </c>
      <c r="I163" s="1" t="s">
        <v>20</v>
      </c>
      <c r="J163" s="1" t="s">
        <v>34</v>
      </c>
      <c r="K163" s="1" t="s">
        <v>1597</v>
      </c>
      <c r="L163" s="1" t="s">
        <v>1554</v>
      </c>
      <c r="M163" s="41">
        <v>46273</v>
      </c>
    </row>
    <row r="164" spans="1:13" x14ac:dyDescent="0.25">
      <c r="A164" s="1" t="s">
        <v>1596</v>
      </c>
      <c r="B164" s="1" t="s">
        <v>62</v>
      </c>
      <c r="C164" s="1" t="s">
        <v>7</v>
      </c>
      <c r="D164" s="1" t="s">
        <v>1415</v>
      </c>
      <c r="E164" s="1" t="s">
        <v>1416</v>
      </c>
      <c r="F164" s="1" t="s">
        <v>1520</v>
      </c>
      <c r="G164" s="1" t="s">
        <v>58</v>
      </c>
      <c r="H164" s="1" t="s">
        <v>36</v>
      </c>
      <c r="I164" s="1" t="s">
        <v>21</v>
      </c>
      <c r="J164" s="1" t="s">
        <v>34</v>
      </c>
      <c r="K164" s="1" t="s">
        <v>1598</v>
      </c>
      <c r="L164" s="1" t="s">
        <v>1554</v>
      </c>
      <c r="M164" s="41">
        <v>46273</v>
      </c>
    </row>
    <row r="165" spans="1:13" x14ac:dyDescent="0.25">
      <c r="A165" s="1" t="s">
        <v>1596</v>
      </c>
      <c r="B165" s="1" t="s">
        <v>62</v>
      </c>
      <c r="C165" s="1" t="s">
        <v>7</v>
      </c>
      <c r="D165" s="1" t="s">
        <v>1415</v>
      </c>
      <c r="E165" s="1" t="s">
        <v>1416</v>
      </c>
      <c r="F165" s="1" t="s">
        <v>1520</v>
      </c>
      <c r="G165" s="1" t="s">
        <v>58</v>
      </c>
      <c r="H165" s="1" t="s">
        <v>36</v>
      </c>
      <c r="I165" s="1" t="s">
        <v>22</v>
      </c>
      <c r="J165" s="1" t="s">
        <v>34</v>
      </c>
      <c r="K165" s="1" t="s">
        <v>1599</v>
      </c>
      <c r="L165" s="1" t="s">
        <v>1554</v>
      </c>
      <c r="M165" s="41">
        <v>46273</v>
      </c>
    </row>
    <row r="166" spans="1:13" x14ac:dyDescent="0.25">
      <c r="A166" s="1" t="s">
        <v>1596</v>
      </c>
      <c r="B166" s="1" t="s">
        <v>62</v>
      </c>
      <c r="C166" s="1" t="s">
        <v>7</v>
      </c>
      <c r="D166" s="1" t="s">
        <v>1415</v>
      </c>
      <c r="E166" s="1" t="s">
        <v>1416</v>
      </c>
      <c r="F166" s="1" t="s">
        <v>1520</v>
      </c>
      <c r="G166" s="1" t="s">
        <v>58</v>
      </c>
      <c r="H166" s="1" t="s">
        <v>36</v>
      </c>
      <c r="I166" s="1" t="s">
        <v>23</v>
      </c>
      <c r="J166" s="1" t="s">
        <v>34</v>
      </c>
      <c r="K166" s="1" t="s">
        <v>1600</v>
      </c>
      <c r="L166" s="1" t="s">
        <v>1554</v>
      </c>
      <c r="M166" s="41">
        <v>46273</v>
      </c>
    </row>
    <row r="167" spans="1:13" x14ac:dyDescent="0.25">
      <c r="A167" s="1" t="s">
        <v>1596</v>
      </c>
      <c r="B167" s="1" t="s">
        <v>62</v>
      </c>
      <c r="C167" s="1" t="s">
        <v>7</v>
      </c>
      <c r="D167" s="1" t="s">
        <v>1415</v>
      </c>
      <c r="E167" s="1" t="s">
        <v>1416</v>
      </c>
      <c r="F167" s="1" t="s">
        <v>1520</v>
      </c>
      <c r="G167" s="1" t="s">
        <v>58</v>
      </c>
      <c r="H167" s="1" t="s">
        <v>36</v>
      </c>
      <c r="I167" s="1" t="s">
        <v>24</v>
      </c>
      <c r="J167" s="1" t="s">
        <v>34</v>
      </c>
      <c r="K167" s="1" t="s">
        <v>1601</v>
      </c>
      <c r="L167" s="1" t="s">
        <v>1554</v>
      </c>
      <c r="M167" s="41">
        <v>46273</v>
      </c>
    </row>
    <row r="168" spans="1:13" x14ac:dyDescent="0.25">
      <c r="A168" s="1" t="s">
        <v>1596</v>
      </c>
      <c r="B168" s="1" t="s">
        <v>62</v>
      </c>
      <c r="C168" s="1" t="s">
        <v>7</v>
      </c>
      <c r="D168" s="1" t="s">
        <v>1415</v>
      </c>
      <c r="E168" s="1" t="s">
        <v>1416</v>
      </c>
      <c r="F168" s="1" t="s">
        <v>1520</v>
      </c>
      <c r="G168" s="1" t="s">
        <v>58</v>
      </c>
      <c r="H168" s="1" t="s">
        <v>36</v>
      </c>
      <c r="I168" s="1" t="s">
        <v>25</v>
      </c>
      <c r="J168" s="1" t="s">
        <v>34</v>
      </c>
      <c r="K168" s="1" t="s">
        <v>1602</v>
      </c>
      <c r="L168" s="1" t="s">
        <v>1554</v>
      </c>
      <c r="M168" s="41">
        <v>46273</v>
      </c>
    </row>
    <row r="169" spans="1:13" x14ac:dyDescent="0.25">
      <c r="A169" s="1" t="s">
        <v>1596</v>
      </c>
      <c r="B169" s="1" t="s">
        <v>62</v>
      </c>
      <c r="C169" s="1" t="s">
        <v>7</v>
      </c>
      <c r="D169" s="1" t="s">
        <v>1415</v>
      </c>
      <c r="E169" s="1" t="s">
        <v>1416</v>
      </c>
      <c r="F169" s="1" t="s">
        <v>1520</v>
      </c>
      <c r="G169" s="1" t="s">
        <v>58</v>
      </c>
      <c r="H169" s="1" t="s">
        <v>36</v>
      </c>
      <c r="I169" s="1" t="s">
        <v>26</v>
      </c>
      <c r="J169" s="1" t="s">
        <v>34</v>
      </c>
      <c r="K169" s="1" t="s">
        <v>1603</v>
      </c>
      <c r="L169" s="1" t="s">
        <v>1554</v>
      </c>
      <c r="M169" s="41">
        <v>46273</v>
      </c>
    </row>
    <row r="170" spans="1:13" x14ac:dyDescent="0.25">
      <c r="A170" s="1" t="s">
        <v>1596</v>
      </c>
      <c r="B170" s="1" t="s">
        <v>62</v>
      </c>
      <c r="C170" s="1" t="s">
        <v>7</v>
      </c>
      <c r="D170" s="1" t="s">
        <v>1415</v>
      </c>
      <c r="E170" s="1" t="s">
        <v>1416</v>
      </c>
      <c r="F170" s="1" t="s">
        <v>1520</v>
      </c>
      <c r="G170" s="1" t="s">
        <v>58</v>
      </c>
      <c r="H170" s="1" t="s">
        <v>36</v>
      </c>
      <c r="I170" s="1" t="s">
        <v>27</v>
      </c>
      <c r="J170" s="1" t="s">
        <v>34</v>
      </c>
      <c r="K170" s="1" t="s">
        <v>1604</v>
      </c>
      <c r="L170" s="1" t="s">
        <v>1554</v>
      </c>
      <c r="M170" s="41">
        <v>46273</v>
      </c>
    </row>
    <row r="171" spans="1:13" x14ac:dyDescent="0.25">
      <c r="A171" s="1" t="s">
        <v>1596</v>
      </c>
      <c r="B171" s="1" t="s">
        <v>62</v>
      </c>
      <c r="C171" s="1" t="s">
        <v>7</v>
      </c>
      <c r="D171" s="1" t="s">
        <v>1415</v>
      </c>
      <c r="E171" s="1" t="s">
        <v>1416</v>
      </c>
      <c r="F171" s="1" t="s">
        <v>1520</v>
      </c>
      <c r="G171" s="1" t="s">
        <v>58</v>
      </c>
      <c r="H171" s="1" t="s">
        <v>36</v>
      </c>
      <c r="I171" s="1" t="s">
        <v>28</v>
      </c>
      <c r="J171" s="1" t="s">
        <v>34</v>
      </c>
      <c r="K171" s="1" t="s">
        <v>1605</v>
      </c>
      <c r="L171" s="1" t="s">
        <v>1554</v>
      </c>
      <c r="M171" s="41">
        <v>46273</v>
      </c>
    </row>
    <row r="172" spans="1:13" x14ac:dyDescent="0.25">
      <c r="A172" s="1" t="s">
        <v>1596</v>
      </c>
      <c r="B172" s="1" t="s">
        <v>62</v>
      </c>
      <c r="C172" s="1" t="s">
        <v>7</v>
      </c>
      <c r="D172" s="1" t="s">
        <v>1415</v>
      </c>
      <c r="E172" s="1" t="s">
        <v>1416</v>
      </c>
      <c r="F172" s="1" t="s">
        <v>1520</v>
      </c>
      <c r="G172" s="1" t="s">
        <v>58</v>
      </c>
      <c r="H172" s="1" t="s">
        <v>36</v>
      </c>
      <c r="I172" s="1" t="s">
        <v>56</v>
      </c>
      <c r="J172" s="1" t="s">
        <v>34</v>
      </c>
      <c r="K172" s="1" t="s">
        <v>1606</v>
      </c>
      <c r="L172" s="1" t="s">
        <v>1554</v>
      </c>
      <c r="M172" s="41" t="s">
        <v>9</v>
      </c>
    </row>
    <row r="173" spans="1:13" x14ac:dyDescent="0.25">
      <c r="A173" s="1" t="s">
        <v>1596</v>
      </c>
      <c r="B173" s="1" t="s">
        <v>62</v>
      </c>
      <c r="C173" s="1" t="s">
        <v>7</v>
      </c>
      <c r="D173" s="1" t="s">
        <v>1415</v>
      </c>
      <c r="E173" s="1" t="s">
        <v>1416</v>
      </c>
      <c r="F173" s="1" t="s">
        <v>1520</v>
      </c>
      <c r="G173" s="1" t="s">
        <v>58</v>
      </c>
      <c r="H173" s="1" t="s">
        <v>36</v>
      </c>
      <c r="I173" s="1" t="s">
        <v>29</v>
      </c>
      <c r="J173" s="1" t="s">
        <v>34</v>
      </c>
      <c r="K173" s="1" t="s">
        <v>1607</v>
      </c>
      <c r="L173" s="1" t="s">
        <v>1554</v>
      </c>
      <c r="M173" s="41">
        <v>46273</v>
      </c>
    </row>
    <row r="174" spans="1:13" x14ac:dyDescent="0.25">
      <c r="A174" s="1" t="s">
        <v>1596</v>
      </c>
      <c r="B174" s="1" t="s">
        <v>62</v>
      </c>
      <c r="C174" s="1" t="s">
        <v>7</v>
      </c>
      <c r="D174" s="1" t="s">
        <v>1415</v>
      </c>
      <c r="E174" s="1" t="s">
        <v>1416</v>
      </c>
      <c r="F174" s="1" t="s">
        <v>1520</v>
      </c>
      <c r="G174" s="1" t="s">
        <v>58</v>
      </c>
      <c r="H174" s="1" t="s">
        <v>36</v>
      </c>
      <c r="I174" s="1" t="s">
        <v>30</v>
      </c>
      <c r="J174" s="1" t="s">
        <v>34</v>
      </c>
      <c r="K174" s="1" t="s">
        <v>1608</v>
      </c>
      <c r="L174" s="1" t="s">
        <v>1554</v>
      </c>
      <c r="M174" s="41">
        <v>46273</v>
      </c>
    </row>
    <row r="175" spans="1:13" x14ac:dyDescent="0.25">
      <c r="A175" s="1" t="s">
        <v>1596</v>
      </c>
      <c r="B175" s="1" t="s">
        <v>62</v>
      </c>
      <c r="C175" s="1" t="s">
        <v>7</v>
      </c>
      <c r="D175" s="1" t="s">
        <v>1415</v>
      </c>
      <c r="E175" s="1" t="s">
        <v>1416</v>
      </c>
      <c r="F175" s="1" t="s">
        <v>1520</v>
      </c>
      <c r="G175" s="1" t="s">
        <v>58</v>
      </c>
      <c r="H175" s="1" t="s">
        <v>36</v>
      </c>
      <c r="I175" s="1" t="s">
        <v>31</v>
      </c>
      <c r="J175" s="1" t="s">
        <v>34</v>
      </c>
      <c r="K175" s="1" t="s">
        <v>1609</v>
      </c>
      <c r="L175" s="1" t="s">
        <v>1554</v>
      </c>
      <c r="M175" s="41">
        <v>46302</v>
      </c>
    </row>
    <row r="176" spans="1:13" x14ac:dyDescent="0.25">
      <c r="A176" s="1" t="s">
        <v>1596</v>
      </c>
      <c r="B176" s="1" t="s">
        <v>62</v>
      </c>
      <c r="C176" s="1" t="s">
        <v>7</v>
      </c>
      <c r="D176" s="1" t="s">
        <v>1415</v>
      </c>
      <c r="E176" s="1" t="s">
        <v>1416</v>
      </c>
      <c r="F176" s="1" t="s">
        <v>1520</v>
      </c>
      <c r="G176" s="1" t="s">
        <v>58</v>
      </c>
      <c r="H176" s="1" t="s">
        <v>36</v>
      </c>
      <c r="I176" s="1" t="s">
        <v>32</v>
      </c>
      <c r="J176" s="1" t="s">
        <v>34</v>
      </c>
      <c r="K176" s="1" t="s">
        <v>1610</v>
      </c>
      <c r="L176" s="1" t="s">
        <v>1554</v>
      </c>
      <c r="M176" s="41">
        <v>46302</v>
      </c>
    </row>
    <row r="177" spans="1:13" x14ac:dyDescent="0.25">
      <c r="A177" s="1" t="s">
        <v>1611</v>
      </c>
      <c r="B177" s="1" t="s">
        <v>63</v>
      </c>
      <c r="C177" s="1" t="s">
        <v>7</v>
      </c>
      <c r="D177" s="1" t="s">
        <v>1415</v>
      </c>
      <c r="E177" s="1" t="s">
        <v>1416</v>
      </c>
      <c r="F177" s="1" t="s">
        <v>1520</v>
      </c>
      <c r="G177" s="1" t="s">
        <v>61</v>
      </c>
      <c r="H177" s="1" t="s">
        <v>36</v>
      </c>
      <c r="I177" s="1" t="s">
        <v>20</v>
      </c>
      <c r="J177" s="1" t="s">
        <v>57</v>
      </c>
      <c r="K177" s="1" t="s">
        <v>1612</v>
      </c>
      <c r="L177" s="1" t="s">
        <v>1539</v>
      </c>
      <c r="M177" s="41" t="s">
        <v>9</v>
      </c>
    </row>
    <row r="178" spans="1:13" x14ac:dyDescent="0.25">
      <c r="A178" s="1" t="s">
        <v>1611</v>
      </c>
      <c r="B178" s="1" t="s">
        <v>63</v>
      </c>
      <c r="C178" s="1" t="s">
        <v>7</v>
      </c>
      <c r="D178" s="1" t="s">
        <v>1415</v>
      </c>
      <c r="E178" s="1" t="s">
        <v>1416</v>
      </c>
      <c r="F178" s="1" t="s">
        <v>1520</v>
      </c>
      <c r="G178" s="1" t="s">
        <v>61</v>
      </c>
      <c r="H178" s="1" t="s">
        <v>36</v>
      </c>
      <c r="I178" s="1" t="s">
        <v>21</v>
      </c>
      <c r="J178" s="1" t="s">
        <v>57</v>
      </c>
      <c r="K178" s="1" t="s">
        <v>1613</v>
      </c>
      <c r="L178" s="1" t="s">
        <v>1539</v>
      </c>
      <c r="M178" s="41" t="s">
        <v>9</v>
      </c>
    </row>
    <row r="179" spans="1:13" x14ac:dyDescent="0.25">
      <c r="A179" s="1" t="s">
        <v>1611</v>
      </c>
      <c r="B179" s="1" t="s">
        <v>63</v>
      </c>
      <c r="C179" s="1" t="s">
        <v>7</v>
      </c>
      <c r="D179" s="1" t="s">
        <v>1415</v>
      </c>
      <c r="E179" s="1" t="s">
        <v>1416</v>
      </c>
      <c r="F179" s="1" t="s">
        <v>1520</v>
      </c>
      <c r="G179" s="1" t="s">
        <v>61</v>
      </c>
      <c r="H179" s="1" t="s">
        <v>36</v>
      </c>
      <c r="I179" s="1" t="s">
        <v>22</v>
      </c>
      <c r="J179" s="1" t="s">
        <v>57</v>
      </c>
      <c r="K179" s="1" t="s">
        <v>1614</v>
      </c>
      <c r="L179" s="1" t="s">
        <v>1539</v>
      </c>
      <c r="M179" s="41" t="s">
        <v>9</v>
      </c>
    </row>
    <row r="180" spans="1:13" x14ac:dyDescent="0.25">
      <c r="A180" s="1" t="s">
        <v>1611</v>
      </c>
      <c r="B180" s="1" t="s">
        <v>63</v>
      </c>
      <c r="C180" s="1" t="s">
        <v>7</v>
      </c>
      <c r="D180" s="1" t="s">
        <v>1415</v>
      </c>
      <c r="E180" s="1" t="s">
        <v>1416</v>
      </c>
      <c r="F180" s="1" t="s">
        <v>1520</v>
      </c>
      <c r="G180" s="1" t="s">
        <v>61</v>
      </c>
      <c r="H180" s="1" t="s">
        <v>36</v>
      </c>
      <c r="I180" s="1" t="s">
        <v>23</v>
      </c>
      <c r="J180" s="1" t="s">
        <v>57</v>
      </c>
      <c r="K180" s="1" t="s">
        <v>1615</v>
      </c>
      <c r="L180" s="1" t="s">
        <v>1539</v>
      </c>
      <c r="M180" s="41" t="s">
        <v>9</v>
      </c>
    </row>
    <row r="181" spans="1:13" x14ac:dyDescent="0.25">
      <c r="A181" s="1" t="s">
        <v>1611</v>
      </c>
      <c r="B181" s="1" t="s">
        <v>63</v>
      </c>
      <c r="C181" s="1" t="s">
        <v>7</v>
      </c>
      <c r="D181" s="1" t="s">
        <v>1415</v>
      </c>
      <c r="E181" s="1" t="s">
        <v>1416</v>
      </c>
      <c r="F181" s="1" t="s">
        <v>1520</v>
      </c>
      <c r="G181" s="1" t="s">
        <v>61</v>
      </c>
      <c r="H181" s="1" t="s">
        <v>36</v>
      </c>
      <c r="I181" s="1" t="s">
        <v>24</v>
      </c>
      <c r="J181" s="1" t="s">
        <v>57</v>
      </c>
      <c r="K181" s="1" t="s">
        <v>1616</v>
      </c>
      <c r="L181" s="1" t="s">
        <v>1539</v>
      </c>
      <c r="M181" s="41" t="s">
        <v>9</v>
      </c>
    </row>
    <row r="182" spans="1:13" x14ac:dyDescent="0.25">
      <c r="A182" s="1" t="s">
        <v>1611</v>
      </c>
      <c r="B182" s="1" t="s">
        <v>63</v>
      </c>
      <c r="C182" s="1" t="s">
        <v>7</v>
      </c>
      <c r="D182" s="1" t="s">
        <v>1415</v>
      </c>
      <c r="E182" s="1" t="s">
        <v>1416</v>
      </c>
      <c r="F182" s="1" t="s">
        <v>1520</v>
      </c>
      <c r="G182" s="1" t="s">
        <v>61</v>
      </c>
      <c r="H182" s="1" t="s">
        <v>36</v>
      </c>
      <c r="I182" s="1" t="s">
        <v>25</v>
      </c>
      <c r="J182" s="1" t="s">
        <v>57</v>
      </c>
      <c r="K182" s="1" t="s">
        <v>1617</v>
      </c>
      <c r="L182" s="1" t="s">
        <v>1539</v>
      </c>
      <c r="M182" s="41" t="s">
        <v>9</v>
      </c>
    </row>
    <row r="183" spans="1:13" x14ac:dyDescent="0.25">
      <c r="A183" s="1" t="s">
        <v>1611</v>
      </c>
      <c r="B183" s="1" t="s">
        <v>63</v>
      </c>
      <c r="C183" s="1" t="s">
        <v>7</v>
      </c>
      <c r="D183" s="1" t="s">
        <v>1415</v>
      </c>
      <c r="E183" s="1" t="s">
        <v>1416</v>
      </c>
      <c r="F183" s="1" t="s">
        <v>1520</v>
      </c>
      <c r="G183" s="1" t="s">
        <v>61</v>
      </c>
      <c r="H183" s="1" t="s">
        <v>36</v>
      </c>
      <c r="I183" s="1" t="s">
        <v>26</v>
      </c>
      <c r="J183" s="1" t="s">
        <v>57</v>
      </c>
      <c r="K183" s="1" t="s">
        <v>1618</v>
      </c>
      <c r="L183" s="1" t="s">
        <v>1539</v>
      </c>
      <c r="M183" s="41" t="s">
        <v>9</v>
      </c>
    </row>
    <row r="184" spans="1:13" x14ac:dyDescent="0.25">
      <c r="A184" s="1" t="s">
        <v>1611</v>
      </c>
      <c r="B184" s="1" t="s">
        <v>63</v>
      </c>
      <c r="C184" s="1" t="s">
        <v>7</v>
      </c>
      <c r="D184" s="1" t="s">
        <v>1415</v>
      </c>
      <c r="E184" s="1" t="s">
        <v>1416</v>
      </c>
      <c r="F184" s="1" t="s">
        <v>1520</v>
      </c>
      <c r="G184" s="1" t="s">
        <v>61</v>
      </c>
      <c r="H184" s="1" t="s">
        <v>36</v>
      </c>
      <c r="I184" s="1" t="s">
        <v>27</v>
      </c>
      <c r="J184" s="1" t="s">
        <v>57</v>
      </c>
      <c r="K184" s="1" t="s">
        <v>1619</v>
      </c>
      <c r="L184" s="1" t="s">
        <v>1539</v>
      </c>
      <c r="M184" s="41" t="s">
        <v>9</v>
      </c>
    </row>
    <row r="185" spans="1:13" x14ac:dyDescent="0.25">
      <c r="A185" s="1" t="s">
        <v>1611</v>
      </c>
      <c r="B185" s="1" t="s">
        <v>63</v>
      </c>
      <c r="C185" s="1" t="s">
        <v>7</v>
      </c>
      <c r="D185" s="1" t="s">
        <v>1415</v>
      </c>
      <c r="E185" s="1" t="s">
        <v>1416</v>
      </c>
      <c r="F185" s="1" t="s">
        <v>1520</v>
      </c>
      <c r="G185" s="1" t="s">
        <v>61</v>
      </c>
      <c r="H185" s="1" t="s">
        <v>36</v>
      </c>
      <c r="I185" s="1" t="s">
        <v>28</v>
      </c>
      <c r="J185" s="1" t="s">
        <v>57</v>
      </c>
      <c r="K185" s="1" t="s">
        <v>1620</v>
      </c>
      <c r="L185" s="1" t="s">
        <v>1539</v>
      </c>
      <c r="M185" s="41" t="s">
        <v>9</v>
      </c>
    </row>
    <row r="186" spans="1:13" x14ac:dyDescent="0.25">
      <c r="A186" s="1" t="s">
        <v>1611</v>
      </c>
      <c r="B186" s="1" t="s">
        <v>63</v>
      </c>
      <c r="C186" s="1" t="s">
        <v>7</v>
      </c>
      <c r="D186" s="1" t="s">
        <v>1415</v>
      </c>
      <c r="E186" s="1" t="s">
        <v>1416</v>
      </c>
      <c r="F186" s="1" t="s">
        <v>1520</v>
      </c>
      <c r="G186" s="1" t="s">
        <v>61</v>
      </c>
      <c r="H186" s="1" t="s">
        <v>36</v>
      </c>
      <c r="I186" s="1" t="s">
        <v>56</v>
      </c>
      <c r="J186" s="1" t="s">
        <v>57</v>
      </c>
      <c r="K186" s="1" t="s">
        <v>1621</v>
      </c>
      <c r="L186" s="1" t="s">
        <v>1539</v>
      </c>
      <c r="M186" s="41" t="s">
        <v>9</v>
      </c>
    </row>
    <row r="187" spans="1:13" x14ac:dyDescent="0.25">
      <c r="A187" s="1" t="s">
        <v>1611</v>
      </c>
      <c r="B187" s="1" t="s">
        <v>63</v>
      </c>
      <c r="C187" s="1" t="s">
        <v>7</v>
      </c>
      <c r="D187" s="1" t="s">
        <v>1415</v>
      </c>
      <c r="E187" s="1" t="s">
        <v>1416</v>
      </c>
      <c r="F187" s="1" t="s">
        <v>1520</v>
      </c>
      <c r="G187" s="1" t="s">
        <v>61</v>
      </c>
      <c r="H187" s="1" t="s">
        <v>36</v>
      </c>
      <c r="I187" s="1" t="s">
        <v>29</v>
      </c>
      <c r="J187" s="1" t="s">
        <v>57</v>
      </c>
      <c r="K187" s="1" t="s">
        <v>1622</v>
      </c>
      <c r="L187" s="1" t="s">
        <v>1539</v>
      </c>
      <c r="M187" s="41" t="s">
        <v>9</v>
      </c>
    </row>
    <row r="188" spans="1:13" x14ac:dyDescent="0.25">
      <c r="A188" s="1" t="s">
        <v>1611</v>
      </c>
      <c r="B188" s="1" t="s">
        <v>63</v>
      </c>
      <c r="C188" s="1" t="s">
        <v>7</v>
      </c>
      <c r="D188" s="1" t="s">
        <v>1415</v>
      </c>
      <c r="E188" s="1" t="s">
        <v>1416</v>
      </c>
      <c r="F188" s="1" t="s">
        <v>1520</v>
      </c>
      <c r="G188" s="1" t="s">
        <v>61</v>
      </c>
      <c r="H188" s="1" t="s">
        <v>36</v>
      </c>
      <c r="I188" s="1" t="s">
        <v>30</v>
      </c>
      <c r="J188" s="1" t="s">
        <v>57</v>
      </c>
      <c r="K188" s="1" t="s">
        <v>1623</v>
      </c>
      <c r="L188" s="1" t="s">
        <v>1539</v>
      </c>
      <c r="M188" s="41" t="s">
        <v>9</v>
      </c>
    </row>
    <row r="189" spans="1:13" x14ac:dyDescent="0.25">
      <c r="A189" s="1" t="s">
        <v>1611</v>
      </c>
      <c r="B189" s="1" t="s">
        <v>63</v>
      </c>
      <c r="C189" s="1" t="s">
        <v>7</v>
      </c>
      <c r="D189" s="1" t="s">
        <v>1415</v>
      </c>
      <c r="E189" s="1" t="s">
        <v>1416</v>
      </c>
      <c r="F189" s="1" t="s">
        <v>1520</v>
      </c>
      <c r="G189" s="1" t="s">
        <v>61</v>
      </c>
      <c r="H189" s="1" t="s">
        <v>36</v>
      </c>
      <c r="I189" s="1" t="s">
        <v>31</v>
      </c>
      <c r="J189" s="1" t="s">
        <v>57</v>
      </c>
      <c r="K189" s="1" t="s">
        <v>1624</v>
      </c>
      <c r="L189" s="1" t="s">
        <v>1539</v>
      </c>
      <c r="M189" s="41" t="s">
        <v>9</v>
      </c>
    </row>
    <row r="190" spans="1:13" x14ac:dyDescent="0.25">
      <c r="A190" s="1" t="s">
        <v>1611</v>
      </c>
      <c r="B190" s="1" t="s">
        <v>63</v>
      </c>
      <c r="C190" s="1" t="s">
        <v>7</v>
      </c>
      <c r="D190" s="1" t="s">
        <v>1415</v>
      </c>
      <c r="E190" s="1" t="s">
        <v>1416</v>
      </c>
      <c r="F190" s="1" t="s">
        <v>1520</v>
      </c>
      <c r="G190" s="1" t="s">
        <v>61</v>
      </c>
      <c r="H190" s="1" t="s">
        <v>36</v>
      </c>
      <c r="I190" s="1" t="s">
        <v>32</v>
      </c>
      <c r="J190" s="1" t="s">
        <v>57</v>
      </c>
      <c r="K190" s="1" t="s">
        <v>1625</v>
      </c>
      <c r="L190" s="1" t="s">
        <v>1539</v>
      </c>
      <c r="M190" s="41" t="s">
        <v>9</v>
      </c>
    </row>
    <row r="191" spans="1:13" x14ac:dyDescent="0.25">
      <c r="A191" s="1" t="s">
        <v>1611</v>
      </c>
      <c r="B191" s="1" t="s">
        <v>63</v>
      </c>
      <c r="C191" s="1" t="s">
        <v>7</v>
      </c>
      <c r="D191" s="1" t="s">
        <v>1415</v>
      </c>
      <c r="E191" s="1" t="s">
        <v>1416</v>
      </c>
      <c r="F191" s="1" t="s">
        <v>1520</v>
      </c>
      <c r="G191" s="1" t="s">
        <v>61</v>
      </c>
      <c r="H191" s="1" t="s">
        <v>36</v>
      </c>
      <c r="I191" s="1" t="s">
        <v>20</v>
      </c>
      <c r="J191" s="1" t="s">
        <v>34</v>
      </c>
      <c r="K191" s="1" t="s">
        <v>1626</v>
      </c>
      <c r="L191" s="1" t="s">
        <v>1539</v>
      </c>
      <c r="M191" s="41" t="s">
        <v>9</v>
      </c>
    </row>
    <row r="192" spans="1:13" x14ac:dyDescent="0.25">
      <c r="A192" s="1" t="s">
        <v>1611</v>
      </c>
      <c r="B192" s="1" t="s">
        <v>63</v>
      </c>
      <c r="C192" s="1" t="s">
        <v>7</v>
      </c>
      <c r="D192" s="1" t="s">
        <v>1415</v>
      </c>
      <c r="E192" s="1" t="s">
        <v>1416</v>
      </c>
      <c r="F192" s="1" t="s">
        <v>1520</v>
      </c>
      <c r="G192" s="1" t="s">
        <v>61</v>
      </c>
      <c r="H192" s="1" t="s">
        <v>36</v>
      </c>
      <c r="I192" s="1" t="s">
        <v>21</v>
      </c>
      <c r="J192" s="1" t="s">
        <v>34</v>
      </c>
      <c r="K192" s="1" t="s">
        <v>1627</v>
      </c>
      <c r="L192" s="1" t="s">
        <v>1539</v>
      </c>
      <c r="M192" s="41" t="s">
        <v>9</v>
      </c>
    </row>
    <row r="193" spans="1:13" x14ac:dyDescent="0.25">
      <c r="A193" s="1" t="s">
        <v>1611</v>
      </c>
      <c r="B193" s="1" t="s">
        <v>63</v>
      </c>
      <c r="C193" s="1" t="s">
        <v>7</v>
      </c>
      <c r="D193" s="1" t="s">
        <v>1415</v>
      </c>
      <c r="E193" s="1" t="s">
        <v>1416</v>
      </c>
      <c r="F193" s="1" t="s">
        <v>1520</v>
      </c>
      <c r="G193" s="1" t="s">
        <v>61</v>
      </c>
      <c r="H193" s="1" t="s">
        <v>36</v>
      </c>
      <c r="I193" s="1" t="s">
        <v>22</v>
      </c>
      <c r="J193" s="1" t="s">
        <v>34</v>
      </c>
      <c r="K193" s="1" t="s">
        <v>1628</v>
      </c>
      <c r="L193" s="1" t="s">
        <v>1539</v>
      </c>
      <c r="M193" s="41" t="s">
        <v>9</v>
      </c>
    </row>
    <row r="194" spans="1:13" x14ac:dyDescent="0.25">
      <c r="A194" s="1" t="s">
        <v>1611</v>
      </c>
      <c r="B194" s="1" t="s">
        <v>63</v>
      </c>
      <c r="C194" s="1" t="s">
        <v>7</v>
      </c>
      <c r="D194" s="1" t="s">
        <v>1415</v>
      </c>
      <c r="E194" s="1" t="s">
        <v>1416</v>
      </c>
      <c r="F194" s="1" t="s">
        <v>1520</v>
      </c>
      <c r="G194" s="1" t="s">
        <v>61</v>
      </c>
      <c r="H194" s="1" t="s">
        <v>36</v>
      </c>
      <c r="I194" s="1" t="s">
        <v>23</v>
      </c>
      <c r="J194" s="1" t="s">
        <v>34</v>
      </c>
      <c r="K194" s="1" t="s">
        <v>1629</v>
      </c>
      <c r="L194" s="1" t="s">
        <v>1539</v>
      </c>
      <c r="M194" s="41" t="s">
        <v>9</v>
      </c>
    </row>
    <row r="195" spans="1:13" x14ac:dyDescent="0.25">
      <c r="A195" s="1" t="s">
        <v>1611</v>
      </c>
      <c r="B195" s="1" t="s">
        <v>63</v>
      </c>
      <c r="C195" s="1" t="s">
        <v>7</v>
      </c>
      <c r="D195" s="1" t="s">
        <v>1415</v>
      </c>
      <c r="E195" s="1" t="s">
        <v>1416</v>
      </c>
      <c r="F195" s="1" t="s">
        <v>1520</v>
      </c>
      <c r="G195" s="1" t="s">
        <v>61</v>
      </c>
      <c r="H195" s="1" t="s">
        <v>36</v>
      </c>
      <c r="I195" s="1" t="s">
        <v>24</v>
      </c>
      <c r="J195" s="1" t="s">
        <v>34</v>
      </c>
      <c r="K195" s="1" t="s">
        <v>1630</v>
      </c>
      <c r="L195" s="1" t="s">
        <v>1539</v>
      </c>
      <c r="M195" s="41" t="s">
        <v>9</v>
      </c>
    </row>
    <row r="196" spans="1:13" x14ac:dyDescent="0.25">
      <c r="A196" s="1" t="s">
        <v>1611</v>
      </c>
      <c r="B196" s="1" t="s">
        <v>63</v>
      </c>
      <c r="C196" s="1" t="s">
        <v>7</v>
      </c>
      <c r="D196" s="1" t="s">
        <v>1415</v>
      </c>
      <c r="E196" s="1" t="s">
        <v>1416</v>
      </c>
      <c r="F196" s="1" t="s">
        <v>1520</v>
      </c>
      <c r="G196" s="1" t="s">
        <v>61</v>
      </c>
      <c r="H196" s="1" t="s">
        <v>36</v>
      </c>
      <c r="I196" s="1" t="s">
        <v>25</v>
      </c>
      <c r="J196" s="1" t="s">
        <v>34</v>
      </c>
      <c r="K196" s="1" t="s">
        <v>1631</v>
      </c>
      <c r="L196" s="1" t="s">
        <v>1539</v>
      </c>
      <c r="M196" s="41" t="s">
        <v>9</v>
      </c>
    </row>
    <row r="197" spans="1:13" x14ac:dyDescent="0.25">
      <c r="A197" s="1" t="s">
        <v>1611</v>
      </c>
      <c r="B197" s="1" t="s">
        <v>63</v>
      </c>
      <c r="C197" s="1" t="s">
        <v>7</v>
      </c>
      <c r="D197" s="1" t="s">
        <v>1415</v>
      </c>
      <c r="E197" s="1" t="s">
        <v>1416</v>
      </c>
      <c r="F197" s="1" t="s">
        <v>1520</v>
      </c>
      <c r="G197" s="1" t="s">
        <v>61</v>
      </c>
      <c r="H197" s="1" t="s">
        <v>36</v>
      </c>
      <c r="I197" s="1" t="s">
        <v>26</v>
      </c>
      <c r="J197" s="1" t="s">
        <v>34</v>
      </c>
      <c r="K197" s="1" t="s">
        <v>1632</v>
      </c>
      <c r="L197" s="1" t="s">
        <v>1539</v>
      </c>
      <c r="M197" s="41" t="s">
        <v>9</v>
      </c>
    </row>
    <row r="198" spans="1:13" x14ac:dyDescent="0.25">
      <c r="A198" s="1" t="s">
        <v>1611</v>
      </c>
      <c r="B198" s="1" t="s">
        <v>63</v>
      </c>
      <c r="C198" s="1" t="s">
        <v>7</v>
      </c>
      <c r="D198" s="1" t="s">
        <v>1415</v>
      </c>
      <c r="E198" s="1" t="s">
        <v>1416</v>
      </c>
      <c r="F198" s="1" t="s">
        <v>1520</v>
      </c>
      <c r="G198" s="1" t="s">
        <v>61</v>
      </c>
      <c r="H198" s="1" t="s">
        <v>36</v>
      </c>
      <c r="I198" s="1" t="s">
        <v>27</v>
      </c>
      <c r="J198" s="1" t="s">
        <v>34</v>
      </c>
      <c r="K198" s="1" t="s">
        <v>1633</v>
      </c>
      <c r="L198" s="1" t="s">
        <v>1539</v>
      </c>
      <c r="M198" s="41" t="s">
        <v>9</v>
      </c>
    </row>
    <row r="199" spans="1:13" x14ac:dyDescent="0.25">
      <c r="A199" s="1" t="s">
        <v>1611</v>
      </c>
      <c r="B199" s="1" t="s">
        <v>63</v>
      </c>
      <c r="C199" s="1" t="s">
        <v>7</v>
      </c>
      <c r="D199" s="1" t="s">
        <v>1415</v>
      </c>
      <c r="E199" s="1" t="s">
        <v>1416</v>
      </c>
      <c r="F199" s="1" t="s">
        <v>1520</v>
      </c>
      <c r="G199" s="1" t="s">
        <v>61</v>
      </c>
      <c r="H199" s="1" t="s">
        <v>36</v>
      </c>
      <c r="I199" s="1" t="s">
        <v>28</v>
      </c>
      <c r="J199" s="1" t="s">
        <v>34</v>
      </c>
      <c r="K199" s="1" t="s">
        <v>1634</v>
      </c>
      <c r="L199" s="1" t="s">
        <v>1539</v>
      </c>
      <c r="M199" s="41" t="s">
        <v>9</v>
      </c>
    </row>
    <row r="200" spans="1:13" x14ac:dyDescent="0.25">
      <c r="A200" s="1" t="s">
        <v>1611</v>
      </c>
      <c r="B200" s="1" t="s">
        <v>63</v>
      </c>
      <c r="C200" s="1" t="s">
        <v>7</v>
      </c>
      <c r="D200" s="1" t="s">
        <v>1415</v>
      </c>
      <c r="E200" s="1" t="s">
        <v>1416</v>
      </c>
      <c r="F200" s="1" t="s">
        <v>1520</v>
      </c>
      <c r="G200" s="1" t="s">
        <v>61</v>
      </c>
      <c r="H200" s="1" t="s">
        <v>36</v>
      </c>
      <c r="I200" s="1" t="s">
        <v>56</v>
      </c>
      <c r="J200" s="1" t="s">
        <v>34</v>
      </c>
      <c r="K200" s="1" t="s">
        <v>1635</v>
      </c>
      <c r="L200" s="1" t="s">
        <v>1539</v>
      </c>
      <c r="M200" s="41" t="s">
        <v>9</v>
      </c>
    </row>
    <row r="201" spans="1:13" x14ac:dyDescent="0.25">
      <c r="A201" s="1" t="s">
        <v>1611</v>
      </c>
      <c r="B201" s="1" t="s">
        <v>63</v>
      </c>
      <c r="C201" s="1" t="s">
        <v>7</v>
      </c>
      <c r="D201" s="1" t="s">
        <v>1415</v>
      </c>
      <c r="E201" s="1" t="s">
        <v>1416</v>
      </c>
      <c r="F201" s="1" t="s">
        <v>1520</v>
      </c>
      <c r="G201" s="1" t="s">
        <v>61</v>
      </c>
      <c r="H201" s="1" t="s">
        <v>36</v>
      </c>
      <c r="I201" s="1" t="s">
        <v>29</v>
      </c>
      <c r="J201" s="1" t="s">
        <v>34</v>
      </c>
      <c r="K201" s="1" t="s">
        <v>1636</v>
      </c>
      <c r="L201" s="1" t="s">
        <v>1539</v>
      </c>
      <c r="M201" s="41" t="s">
        <v>9</v>
      </c>
    </row>
    <row r="202" spans="1:13" x14ac:dyDescent="0.25">
      <c r="A202" s="1" t="s">
        <v>1611</v>
      </c>
      <c r="B202" s="1" t="s">
        <v>63</v>
      </c>
      <c r="C202" s="1" t="s">
        <v>7</v>
      </c>
      <c r="D202" s="1" t="s">
        <v>1415</v>
      </c>
      <c r="E202" s="1" t="s">
        <v>1416</v>
      </c>
      <c r="F202" s="1" t="s">
        <v>1520</v>
      </c>
      <c r="G202" s="1" t="s">
        <v>61</v>
      </c>
      <c r="H202" s="1" t="s">
        <v>36</v>
      </c>
      <c r="I202" s="1" t="s">
        <v>30</v>
      </c>
      <c r="J202" s="1" t="s">
        <v>34</v>
      </c>
      <c r="K202" s="1" t="s">
        <v>1637</v>
      </c>
      <c r="L202" s="1" t="s">
        <v>1539</v>
      </c>
      <c r="M202" s="41" t="s">
        <v>9</v>
      </c>
    </row>
    <row r="203" spans="1:13" x14ac:dyDescent="0.25">
      <c r="A203" s="1" t="s">
        <v>1611</v>
      </c>
      <c r="B203" s="1" t="s">
        <v>63</v>
      </c>
      <c r="C203" s="1" t="s">
        <v>7</v>
      </c>
      <c r="D203" s="1" t="s">
        <v>1415</v>
      </c>
      <c r="E203" s="1" t="s">
        <v>1416</v>
      </c>
      <c r="F203" s="1" t="s">
        <v>1520</v>
      </c>
      <c r="G203" s="1" t="s">
        <v>61</v>
      </c>
      <c r="H203" s="1" t="s">
        <v>36</v>
      </c>
      <c r="I203" s="1" t="s">
        <v>31</v>
      </c>
      <c r="J203" s="1" t="s">
        <v>34</v>
      </c>
      <c r="K203" s="1" t="s">
        <v>1638</v>
      </c>
      <c r="L203" s="1" t="s">
        <v>1539</v>
      </c>
      <c r="M203" s="41" t="s">
        <v>9</v>
      </c>
    </row>
    <row r="204" spans="1:13" x14ac:dyDescent="0.25">
      <c r="A204" s="1" t="s">
        <v>1611</v>
      </c>
      <c r="B204" s="1" t="s">
        <v>63</v>
      </c>
      <c r="C204" s="1" t="s">
        <v>7</v>
      </c>
      <c r="D204" s="1" t="s">
        <v>1415</v>
      </c>
      <c r="E204" s="1" t="s">
        <v>1416</v>
      </c>
      <c r="F204" s="1" t="s">
        <v>1520</v>
      </c>
      <c r="G204" s="1" t="s">
        <v>61</v>
      </c>
      <c r="H204" s="1" t="s">
        <v>36</v>
      </c>
      <c r="I204" s="1" t="s">
        <v>32</v>
      </c>
      <c r="J204" s="1" t="s">
        <v>34</v>
      </c>
      <c r="K204" s="1" t="s">
        <v>1639</v>
      </c>
      <c r="L204" s="1" t="s">
        <v>1539</v>
      </c>
      <c r="M204" s="41" t="s">
        <v>9</v>
      </c>
    </row>
    <row r="205" spans="1:13" x14ac:dyDescent="0.25">
      <c r="A205" s="1" t="s">
        <v>1640</v>
      </c>
      <c r="B205" s="1" t="s">
        <v>65</v>
      </c>
      <c r="C205" s="1" t="s">
        <v>7</v>
      </c>
      <c r="D205" s="1" t="s">
        <v>1415</v>
      </c>
      <c r="E205" s="1" t="s">
        <v>1416</v>
      </c>
      <c r="F205" s="1" t="s">
        <v>1520</v>
      </c>
      <c r="G205" s="1" t="s">
        <v>64</v>
      </c>
      <c r="H205" s="1" t="s">
        <v>36</v>
      </c>
      <c r="I205" s="1" t="s">
        <v>20</v>
      </c>
      <c r="J205" s="1" t="s">
        <v>57</v>
      </c>
      <c r="K205" s="1" t="s">
        <v>1641</v>
      </c>
      <c r="L205" s="1" t="s">
        <v>1642</v>
      </c>
      <c r="M205" s="41" t="s">
        <v>9</v>
      </c>
    </row>
    <row r="206" spans="1:13" x14ac:dyDescent="0.25">
      <c r="A206" s="1" t="s">
        <v>1640</v>
      </c>
      <c r="B206" s="1" t="s">
        <v>65</v>
      </c>
      <c r="C206" s="1" t="s">
        <v>7</v>
      </c>
      <c r="D206" s="1" t="s">
        <v>1415</v>
      </c>
      <c r="E206" s="1" t="s">
        <v>1416</v>
      </c>
      <c r="F206" s="1" t="s">
        <v>1520</v>
      </c>
      <c r="G206" s="1" t="s">
        <v>64</v>
      </c>
      <c r="H206" s="1" t="s">
        <v>36</v>
      </c>
      <c r="I206" s="1" t="s">
        <v>21</v>
      </c>
      <c r="J206" s="1" t="s">
        <v>57</v>
      </c>
      <c r="K206" s="1" t="s">
        <v>1643</v>
      </c>
      <c r="L206" s="1" t="s">
        <v>1642</v>
      </c>
      <c r="M206" s="41" t="s">
        <v>9</v>
      </c>
    </row>
    <row r="207" spans="1:13" x14ac:dyDescent="0.25">
      <c r="A207" s="1" t="s">
        <v>1640</v>
      </c>
      <c r="B207" s="1" t="s">
        <v>65</v>
      </c>
      <c r="C207" s="1" t="s">
        <v>7</v>
      </c>
      <c r="D207" s="1" t="s">
        <v>1415</v>
      </c>
      <c r="E207" s="1" t="s">
        <v>1416</v>
      </c>
      <c r="F207" s="1" t="s">
        <v>1520</v>
      </c>
      <c r="G207" s="1" t="s">
        <v>64</v>
      </c>
      <c r="H207" s="1" t="s">
        <v>36</v>
      </c>
      <c r="I207" s="1" t="s">
        <v>22</v>
      </c>
      <c r="J207" s="1" t="s">
        <v>57</v>
      </c>
      <c r="K207" s="1" t="s">
        <v>1644</v>
      </c>
      <c r="L207" s="1" t="s">
        <v>1642</v>
      </c>
      <c r="M207" s="41" t="s">
        <v>9</v>
      </c>
    </row>
    <row r="208" spans="1:13" x14ac:dyDescent="0.25">
      <c r="A208" s="1" t="s">
        <v>1640</v>
      </c>
      <c r="B208" s="1" t="s">
        <v>65</v>
      </c>
      <c r="C208" s="1" t="s">
        <v>7</v>
      </c>
      <c r="D208" s="1" t="s">
        <v>1415</v>
      </c>
      <c r="E208" s="1" t="s">
        <v>1416</v>
      </c>
      <c r="F208" s="1" t="s">
        <v>1520</v>
      </c>
      <c r="G208" s="1" t="s">
        <v>64</v>
      </c>
      <c r="H208" s="1" t="s">
        <v>36</v>
      </c>
      <c r="I208" s="1" t="s">
        <v>23</v>
      </c>
      <c r="J208" s="1" t="s">
        <v>57</v>
      </c>
      <c r="K208" s="1" t="s">
        <v>1645</v>
      </c>
      <c r="L208" s="1" t="s">
        <v>1642</v>
      </c>
      <c r="M208" s="41" t="s">
        <v>9</v>
      </c>
    </row>
    <row r="209" spans="1:13" x14ac:dyDescent="0.25">
      <c r="A209" s="1" t="s">
        <v>1640</v>
      </c>
      <c r="B209" s="1" t="s">
        <v>65</v>
      </c>
      <c r="C209" s="1" t="s">
        <v>7</v>
      </c>
      <c r="D209" s="1" t="s">
        <v>1415</v>
      </c>
      <c r="E209" s="1" t="s">
        <v>1416</v>
      </c>
      <c r="F209" s="1" t="s">
        <v>1520</v>
      </c>
      <c r="G209" s="1" t="s">
        <v>64</v>
      </c>
      <c r="H209" s="1" t="s">
        <v>36</v>
      </c>
      <c r="I209" s="1" t="s">
        <v>24</v>
      </c>
      <c r="J209" s="1" t="s">
        <v>57</v>
      </c>
      <c r="K209" s="1" t="s">
        <v>1646</v>
      </c>
      <c r="L209" s="1" t="s">
        <v>1642</v>
      </c>
      <c r="M209" s="41" t="s">
        <v>9</v>
      </c>
    </row>
    <row r="210" spans="1:13" x14ac:dyDescent="0.25">
      <c r="A210" s="1" t="s">
        <v>1640</v>
      </c>
      <c r="B210" s="1" t="s">
        <v>65</v>
      </c>
      <c r="C210" s="1" t="s">
        <v>7</v>
      </c>
      <c r="D210" s="1" t="s">
        <v>1415</v>
      </c>
      <c r="E210" s="1" t="s">
        <v>1416</v>
      </c>
      <c r="F210" s="1" t="s">
        <v>1520</v>
      </c>
      <c r="G210" s="1" t="s">
        <v>64</v>
      </c>
      <c r="H210" s="1" t="s">
        <v>36</v>
      </c>
      <c r="I210" s="1" t="s">
        <v>25</v>
      </c>
      <c r="J210" s="1" t="s">
        <v>57</v>
      </c>
      <c r="K210" s="1" t="s">
        <v>1647</v>
      </c>
      <c r="L210" s="1" t="s">
        <v>1642</v>
      </c>
      <c r="M210" s="41" t="s">
        <v>9</v>
      </c>
    </row>
    <row r="211" spans="1:13" x14ac:dyDescent="0.25">
      <c r="A211" s="1" t="s">
        <v>1640</v>
      </c>
      <c r="B211" s="1" t="s">
        <v>65</v>
      </c>
      <c r="C211" s="1" t="s">
        <v>7</v>
      </c>
      <c r="D211" s="1" t="s">
        <v>1415</v>
      </c>
      <c r="E211" s="1" t="s">
        <v>1416</v>
      </c>
      <c r="F211" s="1" t="s">
        <v>1520</v>
      </c>
      <c r="G211" s="1" t="s">
        <v>64</v>
      </c>
      <c r="H211" s="1" t="s">
        <v>36</v>
      </c>
      <c r="I211" s="1" t="s">
        <v>26</v>
      </c>
      <c r="J211" s="1" t="s">
        <v>57</v>
      </c>
      <c r="K211" s="1" t="s">
        <v>1648</v>
      </c>
      <c r="L211" s="1" t="s">
        <v>1642</v>
      </c>
      <c r="M211" s="41" t="s">
        <v>9</v>
      </c>
    </row>
    <row r="212" spans="1:13" x14ac:dyDescent="0.25">
      <c r="A212" s="1" t="s">
        <v>1640</v>
      </c>
      <c r="B212" s="1" t="s">
        <v>65</v>
      </c>
      <c r="C212" s="1" t="s">
        <v>7</v>
      </c>
      <c r="D212" s="1" t="s">
        <v>1415</v>
      </c>
      <c r="E212" s="1" t="s">
        <v>1416</v>
      </c>
      <c r="F212" s="1" t="s">
        <v>1520</v>
      </c>
      <c r="G212" s="1" t="s">
        <v>64</v>
      </c>
      <c r="H212" s="1" t="s">
        <v>36</v>
      </c>
      <c r="I212" s="1" t="s">
        <v>27</v>
      </c>
      <c r="J212" s="1" t="s">
        <v>57</v>
      </c>
      <c r="K212" s="1" t="s">
        <v>1649</v>
      </c>
      <c r="L212" s="1" t="s">
        <v>1642</v>
      </c>
      <c r="M212" s="41" t="s">
        <v>9</v>
      </c>
    </row>
    <row r="213" spans="1:13" x14ac:dyDescent="0.25">
      <c r="A213" s="1" t="s">
        <v>1640</v>
      </c>
      <c r="B213" s="1" t="s">
        <v>65</v>
      </c>
      <c r="C213" s="1" t="s">
        <v>7</v>
      </c>
      <c r="D213" s="1" t="s">
        <v>1415</v>
      </c>
      <c r="E213" s="1" t="s">
        <v>1416</v>
      </c>
      <c r="F213" s="1" t="s">
        <v>1520</v>
      </c>
      <c r="G213" s="1" t="s">
        <v>64</v>
      </c>
      <c r="H213" s="1" t="s">
        <v>36</v>
      </c>
      <c r="I213" s="1" t="s">
        <v>28</v>
      </c>
      <c r="J213" s="1" t="s">
        <v>57</v>
      </c>
      <c r="K213" s="1" t="s">
        <v>1650</v>
      </c>
      <c r="L213" s="1" t="s">
        <v>1642</v>
      </c>
      <c r="M213" s="41" t="s">
        <v>9</v>
      </c>
    </row>
    <row r="214" spans="1:13" x14ac:dyDescent="0.25">
      <c r="A214" s="1" t="s">
        <v>1640</v>
      </c>
      <c r="B214" s="1" t="s">
        <v>65</v>
      </c>
      <c r="C214" s="1" t="s">
        <v>7</v>
      </c>
      <c r="D214" s="1" t="s">
        <v>1415</v>
      </c>
      <c r="E214" s="1" t="s">
        <v>1416</v>
      </c>
      <c r="F214" s="1" t="s">
        <v>1520</v>
      </c>
      <c r="G214" s="1" t="s">
        <v>64</v>
      </c>
      <c r="H214" s="1" t="s">
        <v>36</v>
      </c>
      <c r="I214" s="1" t="s">
        <v>56</v>
      </c>
      <c r="J214" s="1" t="s">
        <v>57</v>
      </c>
      <c r="K214" s="1" t="s">
        <v>1651</v>
      </c>
      <c r="L214" s="1" t="s">
        <v>1642</v>
      </c>
      <c r="M214" s="41" t="s">
        <v>9</v>
      </c>
    </row>
    <row r="215" spans="1:13" x14ac:dyDescent="0.25">
      <c r="A215" s="1" t="s">
        <v>1640</v>
      </c>
      <c r="B215" s="1" t="s">
        <v>65</v>
      </c>
      <c r="C215" s="1" t="s">
        <v>7</v>
      </c>
      <c r="D215" s="1" t="s">
        <v>1415</v>
      </c>
      <c r="E215" s="1" t="s">
        <v>1416</v>
      </c>
      <c r="F215" s="1" t="s">
        <v>1520</v>
      </c>
      <c r="G215" s="1" t="s">
        <v>64</v>
      </c>
      <c r="H215" s="1" t="s">
        <v>36</v>
      </c>
      <c r="I215" s="1" t="s">
        <v>29</v>
      </c>
      <c r="J215" s="1" t="s">
        <v>57</v>
      </c>
      <c r="K215" s="1" t="s">
        <v>1652</v>
      </c>
      <c r="L215" s="1" t="s">
        <v>1642</v>
      </c>
      <c r="M215" s="41" t="s">
        <v>9</v>
      </c>
    </row>
    <row r="216" spans="1:13" x14ac:dyDescent="0.25">
      <c r="A216" s="1" t="s">
        <v>1640</v>
      </c>
      <c r="B216" s="1" t="s">
        <v>65</v>
      </c>
      <c r="C216" s="1" t="s">
        <v>7</v>
      </c>
      <c r="D216" s="1" t="s">
        <v>1415</v>
      </c>
      <c r="E216" s="1" t="s">
        <v>1416</v>
      </c>
      <c r="F216" s="1" t="s">
        <v>1520</v>
      </c>
      <c r="G216" s="1" t="s">
        <v>64</v>
      </c>
      <c r="H216" s="1" t="s">
        <v>36</v>
      </c>
      <c r="I216" s="1" t="s">
        <v>30</v>
      </c>
      <c r="J216" s="1" t="s">
        <v>57</v>
      </c>
      <c r="K216" s="1" t="s">
        <v>1653</v>
      </c>
      <c r="L216" s="1" t="s">
        <v>1642</v>
      </c>
      <c r="M216" s="41" t="s">
        <v>9</v>
      </c>
    </row>
    <row r="217" spans="1:13" x14ac:dyDescent="0.25">
      <c r="A217" s="1" t="s">
        <v>1640</v>
      </c>
      <c r="B217" s="1" t="s">
        <v>65</v>
      </c>
      <c r="C217" s="1" t="s">
        <v>7</v>
      </c>
      <c r="D217" s="1" t="s">
        <v>1415</v>
      </c>
      <c r="E217" s="1" t="s">
        <v>1416</v>
      </c>
      <c r="F217" s="1" t="s">
        <v>1520</v>
      </c>
      <c r="G217" s="1" t="s">
        <v>64</v>
      </c>
      <c r="H217" s="1" t="s">
        <v>36</v>
      </c>
      <c r="I217" s="1" t="s">
        <v>31</v>
      </c>
      <c r="J217" s="1" t="s">
        <v>57</v>
      </c>
      <c r="K217" s="1" t="s">
        <v>1654</v>
      </c>
      <c r="L217" s="1" t="s">
        <v>1642</v>
      </c>
      <c r="M217" s="41" t="s">
        <v>9</v>
      </c>
    </row>
    <row r="218" spans="1:13" x14ac:dyDescent="0.25">
      <c r="A218" s="1" t="s">
        <v>1640</v>
      </c>
      <c r="B218" s="1" t="s">
        <v>65</v>
      </c>
      <c r="C218" s="1" t="s">
        <v>7</v>
      </c>
      <c r="D218" s="1" t="s">
        <v>1415</v>
      </c>
      <c r="E218" s="1" t="s">
        <v>1416</v>
      </c>
      <c r="F218" s="1" t="s">
        <v>1520</v>
      </c>
      <c r="G218" s="1" t="s">
        <v>64</v>
      </c>
      <c r="H218" s="1" t="s">
        <v>36</v>
      </c>
      <c r="I218" s="1" t="s">
        <v>32</v>
      </c>
      <c r="J218" s="1" t="s">
        <v>57</v>
      </c>
      <c r="K218" s="1" t="s">
        <v>1655</v>
      </c>
      <c r="L218" s="1" t="s">
        <v>1642</v>
      </c>
      <c r="M218" s="41" t="s">
        <v>9</v>
      </c>
    </row>
    <row r="219" spans="1:13" x14ac:dyDescent="0.25">
      <c r="A219" s="1" t="s">
        <v>1640</v>
      </c>
      <c r="B219" s="1" t="s">
        <v>65</v>
      </c>
      <c r="C219" s="1" t="s">
        <v>7</v>
      </c>
      <c r="D219" s="1" t="s">
        <v>1415</v>
      </c>
      <c r="E219" s="1" t="s">
        <v>1416</v>
      </c>
      <c r="F219" s="1" t="s">
        <v>1520</v>
      </c>
      <c r="G219" s="1" t="s">
        <v>64</v>
      </c>
      <c r="H219" s="1" t="s">
        <v>36</v>
      </c>
      <c r="I219" s="1" t="s">
        <v>20</v>
      </c>
      <c r="J219" s="1" t="s">
        <v>34</v>
      </c>
      <c r="K219" s="1" t="s">
        <v>1656</v>
      </c>
      <c r="L219" s="1" t="s">
        <v>1642</v>
      </c>
      <c r="M219" s="41" t="s">
        <v>9</v>
      </c>
    </row>
    <row r="220" spans="1:13" x14ac:dyDescent="0.25">
      <c r="A220" s="1" t="s">
        <v>1640</v>
      </c>
      <c r="B220" s="1" t="s">
        <v>65</v>
      </c>
      <c r="C220" s="1" t="s">
        <v>7</v>
      </c>
      <c r="D220" s="1" t="s">
        <v>1415</v>
      </c>
      <c r="E220" s="1" t="s">
        <v>1416</v>
      </c>
      <c r="F220" s="1" t="s">
        <v>1520</v>
      </c>
      <c r="G220" s="1" t="s">
        <v>64</v>
      </c>
      <c r="H220" s="1" t="s">
        <v>36</v>
      </c>
      <c r="I220" s="1" t="s">
        <v>21</v>
      </c>
      <c r="J220" s="1" t="s">
        <v>34</v>
      </c>
      <c r="K220" s="1" t="s">
        <v>1657</v>
      </c>
      <c r="L220" s="1" t="s">
        <v>1642</v>
      </c>
      <c r="M220" s="41" t="s">
        <v>9</v>
      </c>
    </row>
    <row r="221" spans="1:13" x14ac:dyDescent="0.25">
      <c r="A221" s="1" t="s">
        <v>1640</v>
      </c>
      <c r="B221" s="1" t="s">
        <v>65</v>
      </c>
      <c r="C221" s="1" t="s">
        <v>7</v>
      </c>
      <c r="D221" s="1" t="s">
        <v>1415</v>
      </c>
      <c r="E221" s="1" t="s">
        <v>1416</v>
      </c>
      <c r="F221" s="1" t="s">
        <v>1520</v>
      </c>
      <c r="G221" s="1" t="s">
        <v>64</v>
      </c>
      <c r="H221" s="1" t="s">
        <v>36</v>
      </c>
      <c r="I221" s="1" t="s">
        <v>22</v>
      </c>
      <c r="J221" s="1" t="s">
        <v>34</v>
      </c>
      <c r="K221" s="1" t="s">
        <v>1658</v>
      </c>
      <c r="L221" s="1" t="s">
        <v>1642</v>
      </c>
      <c r="M221" s="41" t="s">
        <v>9</v>
      </c>
    </row>
    <row r="222" spans="1:13" x14ac:dyDescent="0.25">
      <c r="A222" s="1" t="s">
        <v>1640</v>
      </c>
      <c r="B222" s="1" t="s">
        <v>65</v>
      </c>
      <c r="C222" s="1" t="s">
        <v>7</v>
      </c>
      <c r="D222" s="1" t="s">
        <v>1415</v>
      </c>
      <c r="E222" s="1" t="s">
        <v>1416</v>
      </c>
      <c r="F222" s="1" t="s">
        <v>1520</v>
      </c>
      <c r="G222" s="1" t="s">
        <v>64</v>
      </c>
      <c r="H222" s="1" t="s">
        <v>36</v>
      </c>
      <c r="I222" s="1" t="s">
        <v>23</v>
      </c>
      <c r="J222" s="1" t="s">
        <v>34</v>
      </c>
      <c r="K222" s="1" t="s">
        <v>1659</v>
      </c>
      <c r="L222" s="1" t="s">
        <v>1642</v>
      </c>
      <c r="M222" s="41" t="s">
        <v>9</v>
      </c>
    </row>
    <row r="223" spans="1:13" x14ac:dyDescent="0.25">
      <c r="A223" s="1" t="s">
        <v>1640</v>
      </c>
      <c r="B223" s="1" t="s">
        <v>65</v>
      </c>
      <c r="C223" s="1" t="s">
        <v>7</v>
      </c>
      <c r="D223" s="1" t="s">
        <v>1415</v>
      </c>
      <c r="E223" s="1" t="s">
        <v>1416</v>
      </c>
      <c r="F223" s="1" t="s">
        <v>1520</v>
      </c>
      <c r="G223" s="1" t="s">
        <v>64</v>
      </c>
      <c r="H223" s="1" t="s">
        <v>36</v>
      </c>
      <c r="I223" s="1" t="s">
        <v>24</v>
      </c>
      <c r="J223" s="1" t="s">
        <v>34</v>
      </c>
      <c r="K223" s="1" t="s">
        <v>1660</v>
      </c>
      <c r="L223" s="1" t="s">
        <v>1642</v>
      </c>
      <c r="M223" s="41" t="s">
        <v>9</v>
      </c>
    </row>
    <row r="224" spans="1:13" x14ac:dyDescent="0.25">
      <c r="A224" s="1" t="s">
        <v>1640</v>
      </c>
      <c r="B224" s="1" t="s">
        <v>65</v>
      </c>
      <c r="C224" s="1" t="s">
        <v>7</v>
      </c>
      <c r="D224" s="1" t="s">
        <v>1415</v>
      </c>
      <c r="E224" s="1" t="s">
        <v>1416</v>
      </c>
      <c r="F224" s="1" t="s">
        <v>1520</v>
      </c>
      <c r="G224" s="1" t="s">
        <v>64</v>
      </c>
      <c r="H224" s="1" t="s">
        <v>36</v>
      </c>
      <c r="I224" s="1" t="s">
        <v>25</v>
      </c>
      <c r="J224" s="1" t="s">
        <v>34</v>
      </c>
      <c r="K224" s="1" t="s">
        <v>1661</v>
      </c>
      <c r="L224" s="1" t="s">
        <v>1642</v>
      </c>
      <c r="M224" s="41" t="s">
        <v>9</v>
      </c>
    </row>
    <row r="225" spans="1:13" x14ac:dyDescent="0.25">
      <c r="A225" s="1" t="s">
        <v>1640</v>
      </c>
      <c r="B225" s="1" t="s">
        <v>65</v>
      </c>
      <c r="C225" s="1" t="s">
        <v>7</v>
      </c>
      <c r="D225" s="1" t="s">
        <v>1415</v>
      </c>
      <c r="E225" s="1" t="s">
        <v>1416</v>
      </c>
      <c r="F225" s="1" t="s">
        <v>1520</v>
      </c>
      <c r="G225" s="1" t="s">
        <v>64</v>
      </c>
      <c r="H225" s="1" t="s">
        <v>36</v>
      </c>
      <c r="I225" s="1" t="s">
        <v>26</v>
      </c>
      <c r="J225" s="1" t="s">
        <v>34</v>
      </c>
      <c r="K225" s="1" t="s">
        <v>1662</v>
      </c>
      <c r="L225" s="1" t="s">
        <v>1642</v>
      </c>
      <c r="M225" s="41" t="s">
        <v>9</v>
      </c>
    </row>
    <row r="226" spans="1:13" x14ac:dyDescent="0.25">
      <c r="A226" s="1" t="s">
        <v>1640</v>
      </c>
      <c r="B226" s="1" t="s">
        <v>65</v>
      </c>
      <c r="C226" s="1" t="s">
        <v>7</v>
      </c>
      <c r="D226" s="1" t="s">
        <v>1415</v>
      </c>
      <c r="E226" s="1" t="s">
        <v>1416</v>
      </c>
      <c r="F226" s="1" t="s">
        <v>1520</v>
      </c>
      <c r="G226" s="1" t="s">
        <v>64</v>
      </c>
      <c r="H226" s="1" t="s">
        <v>36</v>
      </c>
      <c r="I226" s="1" t="s">
        <v>27</v>
      </c>
      <c r="J226" s="1" t="s">
        <v>34</v>
      </c>
      <c r="K226" s="1" t="s">
        <v>1663</v>
      </c>
      <c r="L226" s="1" t="s">
        <v>1642</v>
      </c>
      <c r="M226" s="41" t="s">
        <v>9</v>
      </c>
    </row>
    <row r="227" spans="1:13" x14ac:dyDescent="0.25">
      <c r="A227" s="1" t="s">
        <v>1640</v>
      </c>
      <c r="B227" s="1" t="s">
        <v>65</v>
      </c>
      <c r="C227" s="1" t="s">
        <v>7</v>
      </c>
      <c r="D227" s="1" t="s">
        <v>1415</v>
      </c>
      <c r="E227" s="1" t="s">
        <v>1416</v>
      </c>
      <c r="F227" s="1" t="s">
        <v>1520</v>
      </c>
      <c r="G227" s="1" t="s">
        <v>64</v>
      </c>
      <c r="H227" s="1" t="s">
        <v>36</v>
      </c>
      <c r="I227" s="1" t="s">
        <v>28</v>
      </c>
      <c r="J227" s="1" t="s">
        <v>34</v>
      </c>
      <c r="K227" s="1" t="s">
        <v>1664</v>
      </c>
      <c r="L227" s="1" t="s">
        <v>1642</v>
      </c>
      <c r="M227" s="41" t="s">
        <v>9</v>
      </c>
    </row>
    <row r="228" spans="1:13" x14ac:dyDescent="0.25">
      <c r="A228" s="1" t="s">
        <v>1640</v>
      </c>
      <c r="B228" s="1" t="s">
        <v>65</v>
      </c>
      <c r="C228" s="1" t="s">
        <v>7</v>
      </c>
      <c r="D228" s="1" t="s">
        <v>1415</v>
      </c>
      <c r="E228" s="1" t="s">
        <v>1416</v>
      </c>
      <c r="F228" s="1" t="s">
        <v>1520</v>
      </c>
      <c r="G228" s="1" t="s">
        <v>64</v>
      </c>
      <c r="H228" s="1" t="s">
        <v>36</v>
      </c>
      <c r="I228" s="1" t="s">
        <v>56</v>
      </c>
      <c r="J228" s="1" t="s">
        <v>34</v>
      </c>
      <c r="K228" s="1" t="s">
        <v>1665</v>
      </c>
      <c r="L228" s="1" t="s">
        <v>1642</v>
      </c>
      <c r="M228" s="41" t="s">
        <v>9</v>
      </c>
    </row>
    <row r="229" spans="1:13" x14ac:dyDescent="0.25">
      <c r="A229" s="1" t="s">
        <v>1640</v>
      </c>
      <c r="B229" s="1" t="s">
        <v>65</v>
      </c>
      <c r="C229" s="1" t="s">
        <v>7</v>
      </c>
      <c r="D229" s="1" t="s">
        <v>1415</v>
      </c>
      <c r="E229" s="1" t="s">
        <v>1416</v>
      </c>
      <c r="F229" s="1" t="s">
        <v>1520</v>
      </c>
      <c r="G229" s="1" t="s">
        <v>64</v>
      </c>
      <c r="H229" s="1" t="s">
        <v>36</v>
      </c>
      <c r="I229" s="1" t="s">
        <v>29</v>
      </c>
      <c r="J229" s="1" t="s">
        <v>34</v>
      </c>
      <c r="K229" s="1" t="s">
        <v>1666</v>
      </c>
      <c r="L229" s="1" t="s">
        <v>1642</v>
      </c>
      <c r="M229" s="41" t="s">
        <v>9</v>
      </c>
    </row>
    <row r="230" spans="1:13" x14ac:dyDescent="0.25">
      <c r="A230" s="1" t="s">
        <v>1640</v>
      </c>
      <c r="B230" s="1" t="s">
        <v>65</v>
      </c>
      <c r="C230" s="1" t="s">
        <v>7</v>
      </c>
      <c r="D230" s="1" t="s">
        <v>1415</v>
      </c>
      <c r="E230" s="1" t="s">
        <v>1416</v>
      </c>
      <c r="F230" s="1" t="s">
        <v>1520</v>
      </c>
      <c r="G230" s="1" t="s">
        <v>64</v>
      </c>
      <c r="H230" s="1" t="s">
        <v>36</v>
      </c>
      <c r="I230" s="1" t="s">
        <v>30</v>
      </c>
      <c r="J230" s="1" t="s">
        <v>34</v>
      </c>
      <c r="K230" s="1" t="s">
        <v>1667</v>
      </c>
      <c r="L230" s="1" t="s">
        <v>1642</v>
      </c>
      <c r="M230" s="41" t="s">
        <v>9</v>
      </c>
    </row>
    <row r="231" spans="1:13" x14ac:dyDescent="0.25">
      <c r="A231" s="1" t="s">
        <v>1640</v>
      </c>
      <c r="B231" s="1" t="s">
        <v>65</v>
      </c>
      <c r="C231" s="1" t="s">
        <v>7</v>
      </c>
      <c r="D231" s="1" t="s">
        <v>1415</v>
      </c>
      <c r="E231" s="1" t="s">
        <v>1416</v>
      </c>
      <c r="F231" s="1" t="s">
        <v>1520</v>
      </c>
      <c r="G231" s="1" t="s">
        <v>64</v>
      </c>
      <c r="H231" s="1" t="s">
        <v>36</v>
      </c>
      <c r="I231" s="1" t="s">
        <v>31</v>
      </c>
      <c r="J231" s="1" t="s">
        <v>34</v>
      </c>
      <c r="K231" s="1" t="s">
        <v>1668</v>
      </c>
      <c r="L231" s="1" t="s">
        <v>1642</v>
      </c>
      <c r="M231" s="41" t="s">
        <v>9</v>
      </c>
    </row>
    <row r="232" spans="1:13" x14ac:dyDescent="0.25">
      <c r="A232" s="1" t="s">
        <v>1640</v>
      </c>
      <c r="B232" s="1" t="s">
        <v>65</v>
      </c>
      <c r="C232" s="1" t="s">
        <v>7</v>
      </c>
      <c r="D232" s="1" t="s">
        <v>1415</v>
      </c>
      <c r="E232" s="1" t="s">
        <v>1416</v>
      </c>
      <c r="F232" s="1" t="s">
        <v>1520</v>
      </c>
      <c r="G232" s="1" t="s">
        <v>64</v>
      </c>
      <c r="H232" s="1" t="s">
        <v>36</v>
      </c>
      <c r="I232" s="1" t="s">
        <v>32</v>
      </c>
      <c r="J232" s="1" t="s">
        <v>34</v>
      </c>
      <c r="K232" s="1" t="s">
        <v>1669</v>
      </c>
      <c r="L232" s="1" t="s">
        <v>1642</v>
      </c>
      <c r="M232" s="41" t="s">
        <v>9</v>
      </c>
    </row>
    <row r="233" spans="1:13" x14ac:dyDescent="0.25">
      <c r="A233" s="1" t="s">
        <v>1670</v>
      </c>
      <c r="B233" s="1" t="s">
        <v>67</v>
      </c>
      <c r="C233" s="1" t="s">
        <v>7</v>
      </c>
      <c r="D233" s="1" t="s">
        <v>1415</v>
      </c>
      <c r="E233" s="1" t="s">
        <v>1416</v>
      </c>
      <c r="F233" s="1" t="s">
        <v>1520</v>
      </c>
      <c r="G233" s="1" t="s">
        <v>66</v>
      </c>
      <c r="H233" s="1" t="s">
        <v>36</v>
      </c>
      <c r="I233" s="1" t="s">
        <v>20</v>
      </c>
      <c r="J233" s="1" t="s">
        <v>57</v>
      </c>
      <c r="K233" s="1" t="s">
        <v>1671</v>
      </c>
      <c r="L233" s="1" t="s">
        <v>1522</v>
      </c>
      <c r="M233" s="41" t="s">
        <v>9</v>
      </c>
    </row>
    <row r="234" spans="1:13" x14ac:dyDescent="0.25">
      <c r="A234" s="1" t="s">
        <v>1670</v>
      </c>
      <c r="B234" s="1" t="s">
        <v>67</v>
      </c>
      <c r="C234" s="1" t="s">
        <v>7</v>
      </c>
      <c r="D234" s="1" t="s">
        <v>1415</v>
      </c>
      <c r="E234" s="1" t="s">
        <v>1416</v>
      </c>
      <c r="F234" s="1" t="s">
        <v>1520</v>
      </c>
      <c r="G234" s="1" t="s">
        <v>66</v>
      </c>
      <c r="H234" s="1" t="s">
        <v>36</v>
      </c>
      <c r="I234" s="1" t="s">
        <v>21</v>
      </c>
      <c r="J234" s="1" t="s">
        <v>57</v>
      </c>
      <c r="K234" s="1" t="s">
        <v>1672</v>
      </c>
      <c r="L234" s="1" t="s">
        <v>1522</v>
      </c>
      <c r="M234" s="41" t="s">
        <v>9</v>
      </c>
    </row>
    <row r="235" spans="1:13" x14ac:dyDescent="0.25">
      <c r="A235" s="1" t="s">
        <v>1670</v>
      </c>
      <c r="B235" s="1" t="s">
        <v>67</v>
      </c>
      <c r="C235" s="1" t="s">
        <v>7</v>
      </c>
      <c r="D235" s="1" t="s">
        <v>1415</v>
      </c>
      <c r="E235" s="1" t="s">
        <v>1416</v>
      </c>
      <c r="F235" s="1" t="s">
        <v>1520</v>
      </c>
      <c r="G235" s="1" t="s">
        <v>66</v>
      </c>
      <c r="H235" s="1" t="s">
        <v>36</v>
      </c>
      <c r="I235" s="1" t="s">
        <v>22</v>
      </c>
      <c r="J235" s="1" t="s">
        <v>57</v>
      </c>
      <c r="K235" s="1" t="s">
        <v>1673</v>
      </c>
      <c r="L235" s="1" t="s">
        <v>1522</v>
      </c>
      <c r="M235" s="41" t="s">
        <v>9</v>
      </c>
    </row>
    <row r="236" spans="1:13" x14ac:dyDescent="0.25">
      <c r="A236" s="1" t="s">
        <v>1670</v>
      </c>
      <c r="B236" s="1" t="s">
        <v>67</v>
      </c>
      <c r="C236" s="1" t="s">
        <v>7</v>
      </c>
      <c r="D236" s="1" t="s">
        <v>1415</v>
      </c>
      <c r="E236" s="1" t="s">
        <v>1416</v>
      </c>
      <c r="F236" s="1" t="s">
        <v>1520</v>
      </c>
      <c r="G236" s="1" t="s">
        <v>66</v>
      </c>
      <c r="H236" s="1" t="s">
        <v>36</v>
      </c>
      <c r="I236" s="1" t="s">
        <v>23</v>
      </c>
      <c r="J236" s="1" t="s">
        <v>57</v>
      </c>
      <c r="K236" s="1" t="s">
        <v>1674</v>
      </c>
      <c r="L236" s="1" t="s">
        <v>1522</v>
      </c>
      <c r="M236" s="41" t="s">
        <v>9</v>
      </c>
    </row>
    <row r="237" spans="1:13" x14ac:dyDescent="0.25">
      <c r="A237" s="1" t="s">
        <v>1670</v>
      </c>
      <c r="B237" s="1" t="s">
        <v>67</v>
      </c>
      <c r="C237" s="1" t="s">
        <v>7</v>
      </c>
      <c r="D237" s="1" t="s">
        <v>1415</v>
      </c>
      <c r="E237" s="1" t="s">
        <v>1416</v>
      </c>
      <c r="F237" s="1" t="s">
        <v>1520</v>
      </c>
      <c r="G237" s="1" t="s">
        <v>66</v>
      </c>
      <c r="H237" s="1" t="s">
        <v>36</v>
      </c>
      <c r="I237" s="1" t="s">
        <v>24</v>
      </c>
      <c r="J237" s="1" t="s">
        <v>57</v>
      </c>
      <c r="K237" s="1" t="s">
        <v>1675</v>
      </c>
      <c r="L237" s="1" t="s">
        <v>1522</v>
      </c>
      <c r="M237" s="41" t="s">
        <v>9</v>
      </c>
    </row>
    <row r="238" spans="1:13" x14ac:dyDescent="0.25">
      <c r="A238" s="1" t="s">
        <v>1670</v>
      </c>
      <c r="B238" s="1" t="s">
        <v>67</v>
      </c>
      <c r="C238" s="1" t="s">
        <v>7</v>
      </c>
      <c r="D238" s="1" t="s">
        <v>1415</v>
      </c>
      <c r="E238" s="1" t="s">
        <v>1416</v>
      </c>
      <c r="F238" s="1" t="s">
        <v>1520</v>
      </c>
      <c r="G238" s="1" t="s">
        <v>66</v>
      </c>
      <c r="H238" s="1" t="s">
        <v>36</v>
      </c>
      <c r="I238" s="1" t="s">
        <v>25</v>
      </c>
      <c r="J238" s="1" t="s">
        <v>57</v>
      </c>
      <c r="K238" s="1" t="s">
        <v>1676</v>
      </c>
      <c r="L238" s="1" t="s">
        <v>1522</v>
      </c>
      <c r="M238" s="41" t="s">
        <v>9</v>
      </c>
    </row>
    <row r="239" spans="1:13" x14ac:dyDescent="0.25">
      <c r="A239" s="1" t="s">
        <v>1670</v>
      </c>
      <c r="B239" s="1" t="s">
        <v>67</v>
      </c>
      <c r="C239" s="1" t="s">
        <v>7</v>
      </c>
      <c r="D239" s="1" t="s">
        <v>1415</v>
      </c>
      <c r="E239" s="1" t="s">
        <v>1416</v>
      </c>
      <c r="F239" s="1" t="s">
        <v>1520</v>
      </c>
      <c r="G239" s="1" t="s">
        <v>66</v>
      </c>
      <c r="H239" s="1" t="s">
        <v>36</v>
      </c>
      <c r="I239" s="1" t="s">
        <v>26</v>
      </c>
      <c r="J239" s="1" t="s">
        <v>57</v>
      </c>
      <c r="K239" s="1" t="s">
        <v>1677</v>
      </c>
      <c r="L239" s="1" t="s">
        <v>1522</v>
      </c>
      <c r="M239" s="41" t="s">
        <v>9</v>
      </c>
    </row>
    <row r="240" spans="1:13" x14ac:dyDescent="0.25">
      <c r="A240" s="1" t="s">
        <v>1670</v>
      </c>
      <c r="B240" s="1" t="s">
        <v>67</v>
      </c>
      <c r="C240" s="1" t="s">
        <v>7</v>
      </c>
      <c r="D240" s="1" t="s">
        <v>1415</v>
      </c>
      <c r="E240" s="1" t="s">
        <v>1416</v>
      </c>
      <c r="F240" s="1" t="s">
        <v>1520</v>
      </c>
      <c r="G240" s="1" t="s">
        <v>66</v>
      </c>
      <c r="H240" s="1" t="s">
        <v>36</v>
      </c>
      <c r="I240" s="1" t="s">
        <v>27</v>
      </c>
      <c r="J240" s="1" t="s">
        <v>57</v>
      </c>
      <c r="K240" s="1" t="s">
        <v>1678</v>
      </c>
      <c r="L240" s="1" t="s">
        <v>1522</v>
      </c>
      <c r="M240" s="41" t="s">
        <v>9</v>
      </c>
    </row>
    <row r="241" spans="1:13" x14ac:dyDescent="0.25">
      <c r="A241" s="1" t="s">
        <v>1670</v>
      </c>
      <c r="B241" s="1" t="s">
        <v>67</v>
      </c>
      <c r="C241" s="1" t="s">
        <v>7</v>
      </c>
      <c r="D241" s="1" t="s">
        <v>1415</v>
      </c>
      <c r="E241" s="1" t="s">
        <v>1416</v>
      </c>
      <c r="F241" s="1" t="s">
        <v>1520</v>
      </c>
      <c r="G241" s="1" t="s">
        <v>66</v>
      </c>
      <c r="H241" s="1" t="s">
        <v>36</v>
      </c>
      <c r="I241" s="1" t="s">
        <v>28</v>
      </c>
      <c r="J241" s="1" t="s">
        <v>57</v>
      </c>
      <c r="K241" s="1" t="s">
        <v>1679</v>
      </c>
      <c r="L241" s="1" t="s">
        <v>1522</v>
      </c>
      <c r="M241" s="41" t="s">
        <v>9</v>
      </c>
    </row>
    <row r="242" spans="1:13" x14ac:dyDescent="0.25">
      <c r="A242" s="1" t="s">
        <v>1670</v>
      </c>
      <c r="B242" s="1" t="s">
        <v>67</v>
      </c>
      <c r="C242" s="1" t="s">
        <v>7</v>
      </c>
      <c r="D242" s="1" t="s">
        <v>1415</v>
      </c>
      <c r="E242" s="1" t="s">
        <v>1416</v>
      </c>
      <c r="F242" s="1" t="s">
        <v>1520</v>
      </c>
      <c r="G242" s="1" t="s">
        <v>66</v>
      </c>
      <c r="H242" s="1" t="s">
        <v>36</v>
      </c>
      <c r="I242" s="1" t="s">
        <v>56</v>
      </c>
      <c r="J242" s="1" t="s">
        <v>57</v>
      </c>
      <c r="K242" s="1" t="s">
        <v>1680</v>
      </c>
      <c r="L242" s="1" t="s">
        <v>1522</v>
      </c>
      <c r="M242" s="41" t="s">
        <v>9</v>
      </c>
    </row>
    <row r="243" spans="1:13" x14ac:dyDescent="0.25">
      <c r="A243" s="1" t="s">
        <v>1670</v>
      </c>
      <c r="B243" s="1" t="s">
        <v>67</v>
      </c>
      <c r="C243" s="1" t="s">
        <v>7</v>
      </c>
      <c r="D243" s="1" t="s">
        <v>1415</v>
      </c>
      <c r="E243" s="1" t="s">
        <v>1416</v>
      </c>
      <c r="F243" s="1" t="s">
        <v>1520</v>
      </c>
      <c r="G243" s="1" t="s">
        <v>66</v>
      </c>
      <c r="H243" s="1" t="s">
        <v>36</v>
      </c>
      <c r="I243" s="1" t="s">
        <v>29</v>
      </c>
      <c r="J243" s="1" t="s">
        <v>57</v>
      </c>
      <c r="K243" s="1" t="s">
        <v>1681</v>
      </c>
      <c r="L243" s="1" t="s">
        <v>1522</v>
      </c>
      <c r="M243" s="41" t="s">
        <v>9</v>
      </c>
    </row>
    <row r="244" spans="1:13" x14ac:dyDescent="0.25">
      <c r="A244" s="1" t="s">
        <v>1670</v>
      </c>
      <c r="B244" s="1" t="s">
        <v>67</v>
      </c>
      <c r="C244" s="1" t="s">
        <v>7</v>
      </c>
      <c r="D244" s="1" t="s">
        <v>1415</v>
      </c>
      <c r="E244" s="1" t="s">
        <v>1416</v>
      </c>
      <c r="F244" s="1" t="s">
        <v>1520</v>
      </c>
      <c r="G244" s="1" t="s">
        <v>66</v>
      </c>
      <c r="H244" s="1" t="s">
        <v>36</v>
      </c>
      <c r="I244" s="1" t="s">
        <v>30</v>
      </c>
      <c r="J244" s="1" t="s">
        <v>57</v>
      </c>
      <c r="K244" s="1" t="s">
        <v>1682</v>
      </c>
      <c r="L244" s="1" t="s">
        <v>1522</v>
      </c>
      <c r="M244" s="41" t="s">
        <v>9</v>
      </c>
    </row>
    <row r="245" spans="1:13" x14ac:dyDescent="0.25">
      <c r="A245" s="1" t="s">
        <v>1670</v>
      </c>
      <c r="B245" s="1" t="s">
        <v>67</v>
      </c>
      <c r="C245" s="1" t="s">
        <v>7</v>
      </c>
      <c r="D245" s="1" t="s">
        <v>1415</v>
      </c>
      <c r="E245" s="1" t="s">
        <v>1416</v>
      </c>
      <c r="F245" s="1" t="s">
        <v>1520</v>
      </c>
      <c r="G245" s="1" t="s">
        <v>66</v>
      </c>
      <c r="H245" s="1" t="s">
        <v>36</v>
      </c>
      <c r="I245" s="1" t="s">
        <v>31</v>
      </c>
      <c r="J245" s="1" t="s">
        <v>57</v>
      </c>
      <c r="K245" s="1" t="s">
        <v>1683</v>
      </c>
      <c r="L245" s="1" t="s">
        <v>1522</v>
      </c>
      <c r="M245" s="41" t="s">
        <v>9</v>
      </c>
    </row>
    <row r="246" spans="1:13" x14ac:dyDescent="0.25">
      <c r="A246" s="1" t="s">
        <v>1670</v>
      </c>
      <c r="B246" s="1" t="s">
        <v>67</v>
      </c>
      <c r="C246" s="1" t="s">
        <v>7</v>
      </c>
      <c r="D246" s="1" t="s">
        <v>1415</v>
      </c>
      <c r="E246" s="1" t="s">
        <v>1416</v>
      </c>
      <c r="F246" s="1" t="s">
        <v>1520</v>
      </c>
      <c r="G246" s="1" t="s">
        <v>66</v>
      </c>
      <c r="H246" s="1" t="s">
        <v>36</v>
      </c>
      <c r="I246" s="1" t="s">
        <v>32</v>
      </c>
      <c r="J246" s="1" t="s">
        <v>57</v>
      </c>
      <c r="K246" s="1" t="s">
        <v>1684</v>
      </c>
      <c r="L246" s="1" t="s">
        <v>1522</v>
      </c>
      <c r="M246" s="41" t="s">
        <v>9</v>
      </c>
    </row>
    <row r="247" spans="1:13" x14ac:dyDescent="0.25">
      <c r="A247" s="1" t="s">
        <v>1670</v>
      </c>
      <c r="B247" s="1" t="s">
        <v>67</v>
      </c>
      <c r="C247" s="1" t="s">
        <v>7</v>
      </c>
      <c r="D247" s="1" t="s">
        <v>1415</v>
      </c>
      <c r="E247" s="1" t="s">
        <v>1416</v>
      </c>
      <c r="F247" s="1" t="s">
        <v>1520</v>
      </c>
      <c r="G247" s="1" t="s">
        <v>66</v>
      </c>
      <c r="H247" s="1" t="s">
        <v>36</v>
      </c>
      <c r="I247" s="1" t="s">
        <v>20</v>
      </c>
      <c r="J247" s="1" t="s">
        <v>34</v>
      </c>
      <c r="K247" s="1" t="s">
        <v>1685</v>
      </c>
      <c r="L247" s="1" t="s">
        <v>1522</v>
      </c>
      <c r="M247" s="41">
        <v>46087</v>
      </c>
    </row>
    <row r="248" spans="1:13" x14ac:dyDescent="0.25">
      <c r="A248" s="1" t="s">
        <v>1670</v>
      </c>
      <c r="B248" s="1" t="s">
        <v>67</v>
      </c>
      <c r="C248" s="1" t="s">
        <v>7</v>
      </c>
      <c r="D248" s="1" t="s">
        <v>1415</v>
      </c>
      <c r="E248" s="1" t="s">
        <v>1416</v>
      </c>
      <c r="F248" s="1" t="s">
        <v>1520</v>
      </c>
      <c r="G248" s="1" t="s">
        <v>66</v>
      </c>
      <c r="H248" s="1" t="s">
        <v>36</v>
      </c>
      <c r="I248" s="1" t="s">
        <v>21</v>
      </c>
      <c r="J248" s="1" t="s">
        <v>34</v>
      </c>
      <c r="K248" s="1" t="s">
        <v>1686</v>
      </c>
      <c r="L248" s="1" t="s">
        <v>1522</v>
      </c>
      <c r="M248" s="41">
        <v>46094</v>
      </c>
    </row>
    <row r="249" spans="1:13" x14ac:dyDescent="0.25">
      <c r="A249" s="1" t="s">
        <v>1670</v>
      </c>
      <c r="B249" s="1" t="s">
        <v>67</v>
      </c>
      <c r="C249" s="1" t="s">
        <v>7</v>
      </c>
      <c r="D249" s="1" t="s">
        <v>1415</v>
      </c>
      <c r="E249" s="1" t="s">
        <v>1416</v>
      </c>
      <c r="F249" s="1" t="s">
        <v>1520</v>
      </c>
      <c r="G249" s="1" t="s">
        <v>66</v>
      </c>
      <c r="H249" s="1" t="s">
        <v>36</v>
      </c>
      <c r="I249" s="1" t="s">
        <v>22</v>
      </c>
      <c r="J249" s="1" t="s">
        <v>34</v>
      </c>
      <c r="K249" s="1" t="s">
        <v>1687</v>
      </c>
      <c r="L249" s="1" t="s">
        <v>1522</v>
      </c>
      <c r="M249" s="41">
        <v>46087</v>
      </c>
    </row>
    <row r="250" spans="1:13" x14ac:dyDescent="0.25">
      <c r="A250" s="1" t="s">
        <v>1670</v>
      </c>
      <c r="B250" s="1" t="s">
        <v>67</v>
      </c>
      <c r="C250" s="1" t="s">
        <v>7</v>
      </c>
      <c r="D250" s="1" t="s">
        <v>1415</v>
      </c>
      <c r="E250" s="1" t="s">
        <v>1416</v>
      </c>
      <c r="F250" s="1" t="s">
        <v>1520</v>
      </c>
      <c r="G250" s="1" t="s">
        <v>66</v>
      </c>
      <c r="H250" s="1" t="s">
        <v>36</v>
      </c>
      <c r="I250" s="1" t="s">
        <v>23</v>
      </c>
      <c r="J250" s="1" t="s">
        <v>34</v>
      </c>
      <c r="K250" s="1" t="s">
        <v>1688</v>
      </c>
      <c r="L250" s="1" t="s">
        <v>1522</v>
      </c>
      <c r="M250" s="41">
        <v>46087</v>
      </c>
    </row>
    <row r="251" spans="1:13" x14ac:dyDescent="0.25">
      <c r="A251" s="1" t="s">
        <v>1670</v>
      </c>
      <c r="B251" s="1" t="s">
        <v>67</v>
      </c>
      <c r="C251" s="1" t="s">
        <v>7</v>
      </c>
      <c r="D251" s="1" t="s">
        <v>1415</v>
      </c>
      <c r="E251" s="1" t="s">
        <v>1416</v>
      </c>
      <c r="F251" s="1" t="s">
        <v>1520</v>
      </c>
      <c r="G251" s="1" t="s">
        <v>66</v>
      </c>
      <c r="H251" s="1" t="s">
        <v>36</v>
      </c>
      <c r="I251" s="1" t="s">
        <v>24</v>
      </c>
      <c r="J251" s="1" t="s">
        <v>34</v>
      </c>
      <c r="K251" s="1" t="s">
        <v>1689</v>
      </c>
      <c r="L251" s="1" t="s">
        <v>1522</v>
      </c>
      <c r="M251" s="41">
        <v>46087</v>
      </c>
    </row>
    <row r="252" spans="1:13" x14ac:dyDescent="0.25">
      <c r="A252" s="1" t="s">
        <v>1670</v>
      </c>
      <c r="B252" s="1" t="s">
        <v>67</v>
      </c>
      <c r="C252" s="1" t="s">
        <v>7</v>
      </c>
      <c r="D252" s="1" t="s">
        <v>1415</v>
      </c>
      <c r="E252" s="1" t="s">
        <v>1416</v>
      </c>
      <c r="F252" s="1" t="s">
        <v>1520</v>
      </c>
      <c r="G252" s="1" t="s">
        <v>66</v>
      </c>
      <c r="H252" s="1" t="s">
        <v>36</v>
      </c>
      <c r="I252" s="1" t="s">
        <v>25</v>
      </c>
      <c r="J252" s="1" t="s">
        <v>34</v>
      </c>
      <c r="K252" s="1" t="s">
        <v>1690</v>
      </c>
      <c r="L252" s="1" t="s">
        <v>1522</v>
      </c>
      <c r="M252" s="41">
        <v>46087</v>
      </c>
    </row>
    <row r="253" spans="1:13" x14ac:dyDescent="0.25">
      <c r="A253" s="1" t="s">
        <v>1670</v>
      </c>
      <c r="B253" s="1" t="s">
        <v>67</v>
      </c>
      <c r="C253" s="1" t="s">
        <v>7</v>
      </c>
      <c r="D253" s="1" t="s">
        <v>1415</v>
      </c>
      <c r="E253" s="1" t="s">
        <v>1416</v>
      </c>
      <c r="F253" s="1" t="s">
        <v>1520</v>
      </c>
      <c r="G253" s="1" t="s">
        <v>66</v>
      </c>
      <c r="H253" s="1" t="s">
        <v>36</v>
      </c>
      <c r="I253" s="1" t="s">
        <v>26</v>
      </c>
      <c r="J253" s="1" t="s">
        <v>34</v>
      </c>
      <c r="K253" s="1" t="s">
        <v>1691</v>
      </c>
      <c r="L253" s="1" t="s">
        <v>1522</v>
      </c>
      <c r="M253" s="41">
        <v>46087</v>
      </c>
    </row>
    <row r="254" spans="1:13" x14ac:dyDescent="0.25">
      <c r="A254" s="1" t="s">
        <v>1670</v>
      </c>
      <c r="B254" s="1" t="s">
        <v>67</v>
      </c>
      <c r="C254" s="1" t="s">
        <v>7</v>
      </c>
      <c r="D254" s="1" t="s">
        <v>1415</v>
      </c>
      <c r="E254" s="1" t="s">
        <v>1416</v>
      </c>
      <c r="F254" s="1" t="s">
        <v>1520</v>
      </c>
      <c r="G254" s="1" t="s">
        <v>66</v>
      </c>
      <c r="H254" s="1" t="s">
        <v>36</v>
      </c>
      <c r="I254" s="1" t="s">
        <v>27</v>
      </c>
      <c r="J254" s="1" t="s">
        <v>34</v>
      </c>
      <c r="K254" s="1" t="s">
        <v>1692</v>
      </c>
      <c r="L254" s="1" t="s">
        <v>1522</v>
      </c>
      <c r="M254" s="41">
        <v>46087</v>
      </c>
    </row>
    <row r="255" spans="1:13" x14ac:dyDescent="0.25">
      <c r="A255" s="1" t="s">
        <v>1670</v>
      </c>
      <c r="B255" s="1" t="s">
        <v>67</v>
      </c>
      <c r="C255" s="1" t="s">
        <v>7</v>
      </c>
      <c r="D255" s="1" t="s">
        <v>1415</v>
      </c>
      <c r="E255" s="1" t="s">
        <v>1416</v>
      </c>
      <c r="F255" s="1" t="s">
        <v>1520</v>
      </c>
      <c r="G255" s="1" t="s">
        <v>66</v>
      </c>
      <c r="H255" s="1" t="s">
        <v>36</v>
      </c>
      <c r="I255" s="1" t="s">
        <v>28</v>
      </c>
      <c r="J255" s="1" t="s">
        <v>34</v>
      </c>
      <c r="K255" s="1" t="s">
        <v>1693</v>
      </c>
      <c r="L255" s="1" t="s">
        <v>1522</v>
      </c>
      <c r="M255" s="41">
        <v>46087</v>
      </c>
    </row>
    <row r="256" spans="1:13" x14ac:dyDescent="0.25">
      <c r="A256" s="1" t="s">
        <v>1670</v>
      </c>
      <c r="B256" s="1" t="s">
        <v>67</v>
      </c>
      <c r="C256" s="1" t="s">
        <v>7</v>
      </c>
      <c r="D256" s="1" t="s">
        <v>1415</v>
      </c>
      <c r="E256" s="1" t="s">
        <v>1416</v>
      </c>
      <c r="F256" s="1" t="s">
        <v>1520</v>
      </c>
      <c r="G256" s="1" t="s">
        <v>66</v>
      </c>
      <c r="H256" s="1" t="s">
        <v>36</v>
      </c>
      <c r="I256" s="1" t="s">
        <v>56</v>
      </c>
      <c r="J256" s="1" t="s">
        <v>34</v>
      </c>
      <c r="K256" s="1" t="s">
        <v>1694</v>
      </c>
      <c r="L256" s="1" t="s">
        <v>1522</v>
      </c>
      <c r="M256" s="41" t="s">
        <v>9</v>
      </c>
    </row>
    <row r="257" spans="1:13" x14ac:dyDescent="0.25">
      <c r="A257" s="1" t="s">
        <v>1670</v>
      </c>
      <c r="B257" s="1" t="s">
        <v>67</v>
      </c>
      <c r="C257" s="1" t="s">
        <v>7</v>
      </c>
      <c r="D257" s="1" t="s">
        <v>1415</v>
      </c>
      <c r="E257" s="1" t="s">
        <v>1416</v>
      </c>
      <c r="F257" s="1" t="s">
        <v>1520</v>
      </c>
      <c r="G257" s="1" t="s">
        <v>66</v>
      </c>
      <c r="H257" s="1" t="s">
        <v>36</v>
      </c>
      <c r="I257" s="1" t="s">
        <v>29</v>
      </c>
      <c r="J257" s="1" t="s">
        <v>34</v>
      </c>
      <c r="K257" s="1" t="s">
        <v>1695</v>
      </c>
      <c r="L257" s="1" t="s">
        <v>1522</v>
      </c>
      <c r="M257" s="41">
        <v>46087</v>
      </c>
    </row>
    <row r="258" spans="1:13" x14ac:dyDescent="0.25">
      <c r="A258" s="1" t="s">
        <v>1670</v>
      </c>
      <c r="B258" s="1" t="s">
        <v>67</v>
      </c>
      <c r="C258" s="1" t="s">
        <v>7</v>
      </c>
      <c r="D258" s="1" t="s">
        <v>1415</v>
      </c>
      <c r="E258" s="1" t="s">
        <v>1416</v>
      </c>
      <c r="F258" s="1" t="s">
        <v>1520</v>
      </c>
      <c r="G258" s="1" t="s">
        <v>66</v>
      </c>
      <c r="H258" s="1" t="s">
        <v>36</v>
      </c>
      <c r="I258" s="1" t="s">
        <v>30</v>
      </c>
      <c r="J258" s="1" t="s">
        <v>34</v>
      </c>
      <c r="K258" s="1" t="s">
        <v>1696</v>
      </c>
      <c r="L258" s="1" t="s">
        <v>1522</v>
      </c>
      <c r="M258" s="41">
        <v>46087</v>
      </c>
    </row>
    <row r="259" spans="1:13" x14ac:dyDescent="0.25">
      <c r="A259" s="1" t="s">
        <v>1670</v>
      </c>
      <c r="B259" s="1" t="s">
        <v>67</v>
      </c>
      <c r="C259" s="1" t="s">
        <v>7</v>
      </c>
      <c r="D259" s="1" t="s">
        <v>1415</v>
      </c>
      <c r="E259" s="1" t="s">
        <v>1416</v>
      </c>
      <c r="F259" s="1" t="s">
        <v>1520</v>
      </c>
      <c r="G259" s="1" t="s">
        <v>66</v>
      </c>
      <c r="H259" s="1" t="s">
        <v>36</v>
      </c>
      <c r="I259" s="1" t="s">
        <v>31</v>
      </c>
      <c r="J259" s="1" t="s">
        <v>34</v>
      </c>
      <c r="K259" s="1" t="s">
        <v>1697</v>
      </c>
      <c r="L259" s="1" t="s">
        <v>1522</v>
      </c>
      <c r="M259" s="41">
        <v>46087</v>
      </c>
    </row>
    <row r="260" spans="1:13" x14ac:dyDescent="0.25">
      <c r="A260" s="1" t="s">
        <v>1670</v>
      </c>
      <c r="B260" s="1" t="s">
        <v>67</v>
      </c>
      <c r="C260" s="1" t="s">
        <v>7</v>
      </c>
      <c r="D260" s="1" t="s">
        <v>1415</v>
      </c>
      <c r="E260" s="1" t="s">
        <v>1416</v>
      </c>
      <c r="F260" s="1" t="s">
        <v>1520</v>
      </c>
      <c r="G260" s="1" t="s">
        <v>66</v>
      </c>
      <c r="H260" s="1" t="s">
        <v>36</v>
      </c>
      <c r="I260" s="1" t="s">
        <v>32</v>
      </c>
      <c r="J260" s="1" t="s">
        <v>34</v>
      </c>
      <c r="K260" s="1" t="s">
        <v>1698</v>
      </c>
      <c r="L260" s="1" t="s">
        <v>1522</v>
      </c>
      <c r="M260" s="41">
        <v>46302</v>
      </c>
    </row>
    <row r="261" spans="1:13" x14ac:dyDescent="0.25">
      <c r="A261" s="1" t="s">
        <v>1699</v>
      </c>
      <c r="B261" s="1" t="s">
        <v>69</v>
      </c>
      <c r="C261" s="1" t="s">
        <v>7</v>
      </c>
      <c r="D261" s="1" t="s">
        <v>1415</v>
      </c>
      <c r="E261" s="1" t="s">
        <v>1416</v>
      </c>
      <c r="F261" s="1" t="s">
        <v>1520</v>
      </c>
      <c r="G261" s="1" t="s">
        <v>68</v>
      </c>
      <c r="H261" s="1" t="s">
        <v>36</v>
      </c>
      <c r="I261" s="1" t="s">
        <v>20</v>
      </c>
      <c r="J261" s="1" t="s">
        <v>34</v>
      </c>
      <c r="K261" s="1" t="s">
        <v>1700</v>
      </c>
      <c r="L261" s="1" t="s">
        <v>1701</v>
      </c>
      <c r="M261" s="41">
        <v>46302</v>
      </c>
    </row>
    <row r="262" spans="1:13" x14ac:dyDescent="0.25">
      <c r="A262" s="1" t="s">
        <v>1699</v>
      </c>
      <c r="B262" s="1" t="s">
        <v>69</v>
      </c>
      <c r="C262" s="1" t="s">
        <v>7</v>
      </c>
      <c r="D262" s="1" t="s">
        <v>1415</v>
      </c>
      <c r="E262" s="1" t="s">
        <v>1416</v>
      </c>
      <c r="F262" s="1" t="s">
        <v>1520</v>
      </c>
      <c r="G262" s="1" t="s">
        <v>68</v>
      </c>
      <c r="H262" s="1" t="s">
        <v>36</v>
      </c>
      <c r="I262" s="1" t="s">
        <v>21</v>
      </c>
      <c r="J262" s="1" t="s">
        <v>34</v>
      </c>
      <c r="K262" s="1" t="s">
        <v>1702</v>
      </c>
      <c r="L262" s="1" t="s">
        <v>1701</v>
      </c>
      <c r="M262" s="41">
        <v>46087</v>
      </c>
    </row>
    <row r="263" spans="1:13" x14ac:dyDescent="0.25">
      <c r="A263" s="1" t="s">
        <v>1699</v>
      </c>
      <c r="B263" s="1" t="s">
        <v>69</v>
      </c>
      <c r="C263" s="1" t="s">
        <v>7</v>
      </c>
      <c r="D263" s="1" t="s">
        <v>1415</v>
      </c>
      <c r="E263" s="1" t="s">
        <v>1416</v>
      </c>
      <c r="F263" s="1" t="s">
        <v>1520</v>
      </c>
      <c r="G263" s="1" t="s">
        <v>68</v>
      </c>
      <c r="H263" s="1" t="s">
        <v>36</v>
      </c>
      <c r="I263" s="1" t="s">
        <v>22</v>
      </c>
      <c r="J263" s="1" t="s">
        <v>34</v>
      </c>
      <c r="K263" s="1" t="s">
        <v>1703</v>
      </c>
      <c r="L263" s="1" t="s">
        <v>1701</v>
      </c>
      <c r="M263" s="41">
        <v>46302</v>
      </c>
    </row>
    <row r="264" spans="1:13" x14ac:dyDescent="0.25">
      <c r="A264" s="1" t="s">
        <v>1699</v>
      </c>
      <c r="B264" s="1" t="s">
        <v>69</v>
      </c>
      <c r="C264" s="1" t="s">
        <v>7</v>
      </c>
      <c r="D264" s="1" t="s">
        <v>1415</v>
      </c>
      <c r="E264" s="1" t="s">
        <v>1416</v>
      </c>
      <c r="F264" s="1" t="s">
        <v>1520</v>
      </c>
      <c r="G264" s="1" t="s">
        <v>68</v>
      </c>
      <c r="H264" s="1" t="s">
        <v>36</v>
      </c>
      <c r="I264" s="1" t="s">
        <v>23</v>
      </c>
      <c r="J264" s="1" t="s">
        <v>34</v>
      </c>
      <c r="K264" s="1" t="s">
        <v>1704</v>
      </c>
      <c r="L264" s="1" t="s">
        <v>1701</v>
      </c>
      <c r="M264" s="41">
        <v>46087</v>
      </c>
    </row>
    <row r="265" spans="1:13" x14ac:dyDescent="0.25">
      <c r="A265" s="1" t="s">
        <v>1699</v>
      </c>
      <c r="B265" s="1" t="s">
        <v>69</v>
      </c>
      <c r="C265" s="1" t="s">
        <v>7</v>
      </c>
      <c r="D265" s="1" t="s">
        <v>1415</v>
      </c>
      <c r="E265" s="1" t="s">
        <v>1416</v>
      </c>
      <c r="F265" s="1" t="s">
        <v>1520</v>
      </c>
      <c r="G265" s="1" t="s">
        <v>68</v>
      </c>
      <c r="H265" s="1" t="s">
        <v>36</v>
      </c>
      <c r="I265" s="1" t="s">
        <v>24</v>
      </c>
      <c r="J265" s="1" t="s">
        <v>34</v>
      </c>
      <c r="K265" s="1" t="s">
        <v>1705</v>
      </c>
      <c r="L265" s="1" t="s">
        <v>1701</v>
      </c>
      <c r="M265" s="41">
        <v>46302</v>
      </c>
    </row>
    <row r="266" spans="1:13" x14ac:dyDescent="0.25">
      <c r="A266" s="1" t="s">
        <v>1699</v>
      </c>
      <c r="B266" s="1" t="s">
        <v>69</v>
      </c>
      <c r="C266" s="1" t="s">
        <v>7</v>
      </c>
      <c r="D266" s="1" t="s">
        <v>1415</v>
      </c>
      <c r="E266" s="1" t="s">
        <v>1416</v>
      </c>
      <c r="F266" s="1" t="s">
        <v>1520</v>
      </c>
      <c r="G266" s="1" t="s">
        <v>68</v>
      </c>
      <c r="H266" s="1" t="s">
        <v>36</v>
      </c>
      <c r="I266" s="1" t="s">
        <v>25</v>
      </c>
      <c r="J266" s="1" t="s">
        <v>34</v>
      </c>
      <c r="K266" s="1" t="s">
        <v>1706</v>
      </c>
      <c r="L266" s="1" t="s">
        <v>1701</v>
      </c>
      <c r="M266" s="41">
        <v>46087</v>
      </c>
    </row>
    <row r="267" spans="1:13" x14ac:dyDescent="0.25">
      <c r="A267" s="1" t="s">
        <v>1699</v>
      </c>
      <c r="B267" s="1" t="s">
        <v>69</v>
      </c>
      <c r="C267" s="1" t="s">
        <v>7</v>
      </c>
      <c r="D267" s="1" t="s">
        <v>1415</v>
      </c>
      <c r="E267" s="1" t="s">
        <v>1416</v>
      </c>
      <c r="F267" s="1" t="s">
        <v>1520</v>
      </c>
      <c r="G267" s="1" t="s">
        <v>68</v>
      </c>
      <c r="H267" s="1" t="s">
        <v>36</v>
      </c>
      <c r="I267" s="1" t="s">
        <v>26</v>
      </c>
      <c r="J267" s="1" t="s">
        <v>34</v>
      </c>
      <c r="K267" s="1" t="s">
        <v>1707</v>
      </c>
      <c r="L267" s="1" t="s">
        <v>1701</v>
      </c>
      <c r="M267" s="41">
        <v>46302</v>
      </c>
    </row>
    <row r="268" spans="1:13" x14ac:dyDescent="0.25">
      <c r="A268" s="1" t="s">
        <v>1699</v>
      </c>
      <c r="B268" s="1" t="s">
        <v>69</v>
      </c>
      <c r="C268" s="1" t="s">
        <v>7</v>
      </c>
      <c r="D268" s="1" t="s">
        <v>1415</v>
      </c>
      <c r="E268" s="1" t="s">
        <v>1416</v>
      </c>
      <c r="F268" s="1" t="s">
        <v>1520</v>
      </c>
      <c r="G268" s="1" t="s">
        <v>68</v>
      </c>
      <c r="H268" s="1" t="s">
        <v>36</v>
      </c>
      <c r="I268" s="1" t="s">
        <v>27</v>
      </c>
      <c r="J268" s="1" t="s">
        <v>34</v>
      </c>
      <c r="K268" s="1" t="s">
        <v>1708</v>
      </c>
      <c r="L268" s="1" t="s">
        <v>1701</v>
      </c>
      <c r="M268" s="41">
        <v>46087</v>
      </c>
    </row>
    <row r="269" spans="1:13" x14ac:dyDescent="0.25">
      <c r="A269" s="1" t="s">
        <v>1699</v>
      </c>
      <c r="B269" s="1" t="s">
        <v>69</v>
      </c>
      <c r="C269" s="1" t="s">
        <v>7</v>
      </c>
      <c r="D269" s="1" t="s">
        <v>1415</v>
      </c>
      <c r="E269" s="1" t="s">
        <v>1416</v>
      </c>
      <c r="F269" s="1" t="s">
        <v>1520</v>
      </c>
      <c r="G269" s="1" t="s">
        <v>68</v>
      </c>
      <c r="H269" s="1" t="s">
        <v>36</v>
      </c>
      <c r="I269" s="1" t="s">
        <v>28</v>
      </c>
      <c r="J269" s="1" t="s">
        <v>34</v>
      </c>
      <c r="K269" s="1" t="s">
        <v>1709</v>
      </c>
      <c r="L269" s="1" t="s">
        <v>1701</v>
      </c>
      <c r="M269" s="41">
        <v>46302</v>
      </c>
    </row>
    <row r="270" spans="1:13" x14ac:dyDescent="0.25">
      <c r="A270" s="1" t="s">
        <v>1699</v>
      </c>
      <c r="B270" s="1" t="s">
        <v>69</v>
      </c>
      <c r="C270" s="1" t="s">
        <v>7</v>
      </c>
      <c r="D270" s="1" t="s">
        <v>1415</v>
      </c>
      <c r="E270" s="1" t="s">
        <v>1416</v>
      </c>
      <c r="F270" s="1" t="s">
        <v>1520</v>
      </c>
      <c r="G270" s="1" t="s">
        <v>68</v>
      </c>
      <c r="H270" s="1" t="s">
        <v>36</v>
      </c>
      <c r="I270" s="1" t="s">
        <v>29</v>
      </c>
      <c r="J270" s="1" t="s">
        <v>34</v>
      </c>
      <c r="K270" s="1" t="s">
        <v>1710</v>
      </c>
      <c r="L270" s="1" t="s">
        <v>1701</v>
      </c>
      <c r="M270" s="41">
        <v>46087</v>
      </c>
    </row>
    <row r="271" spans="1:13" x14ac:dyDescent="0.25">
      <c r="A271" s="1" t="s">
        <v>1699</v>
      </c>
      <c r="B271" s="1" t="s">
        <v>69</v>
      </c>
      <c r="C271" s="1" t="s">
        <v>7</v>
      </c>
      <c r="D271" s="1" t="s">
        <v>1415</v>
      </c>
      <c r="E271" s="1" t="s">
        <v>1416</v>
      </c>
      <c r="F271" s="1" t="s">
        <v>1520</v>
      </c>
      <c r="G271" s="1" t="s">
        <v>68</v>
      </c>
      <c r="H271" s="1" t="s">
        <v>36</v>
      </c>
      <c r="I271" s="1" t="s">
        <v>30</v>
      </c>
      <c r="J271" s="1" t="s">
        <v>34</v>
      </c>
      <c r="K271" s="1" t="s">
        <v>1711</v>
      </c>
      <c r="L271" s="1" t="s">
        <v>1701</v>
      </c>
      <c r="M271" s="41">
        <v>46087</v>
      </c>
    </row>
    <row r="272" spans="1:13" x14ac:dyDescent="0.25">
      <c r="A272" s="1" t="s">
        <v>1699</v>
      </c>
      <c r="B272" s="1" t="s">
        <v>69</v>
      </c>
      <c r="C272" s="1" t="s">
        <v>7</v>
      </c>
      <c r="D272" s="1" t="s">
        <v>1415</v>
      </c>
      <c r="E272" s="1" t="s">
        <v>1416</v>
      </c>
      <c r="F272" s="1" t="s">
        <v>1520</v>
      </c>
      <c r="G272" s="1" t="s">
        <v>68</v>
      </c>
      <c r="H272" s="1" t="s">
        <v>36</v>
      </c>
      <c r="I272" s="1" t="s">
        <v>31</v>
      </c>
      <c r="J272" s="1" t="s">
        <v>34</v>
      </c>
      <c r="K272" s="1" t="s">
        <v>1712</v>
      </c>
      <c r="L272" s="1" t="s">
        <v>1701</v>
      </c>
      <c r="M272" s="41">
        <v>46087</v>
      </c>
    </row>
    <row r="273" spans="1:13" x14ac:dyDescent="0.25">
      <c r="A273" s="1" t="s">
        <v>1699</v>
      </c>
      <c r="B273" s="1" t="s">
        <v>69</v>
      </c>
      <c r="C273" s="1" t="s">
        <v>7</v>
      </c>
      <c r="D273" s="1" t="s">
        <v>1415</v>
      </c>
      <c r="E273" s="1" t="s">
        <v>1416</v>
      </c>
      <c r="F273" s="1" t="s">
        <v>1520</v>
      </c>
      <c r="G273" s="1" t="s">
        <v>68</v>
      </c>
      <c r="H273" s="1" t="s">
        <v>36</v>
      </c>
      <c r="I273" s="1" t="s">
        <v>32</v>
      </c>
      <c r="J273" s="1" t="s">
        <v>34</v>
      </c>
      <c r="K273" s="1" t="s">
        <v>1713</v>
      </c>
      <c r="L273" s="1" t="s">
        <v>1701</v>
      </c>
      <c r="M273" s="41">
        <v>46302</v>
      </c>
    </row>
    <row r="274" spans="1:13" x14ac:dyDescent="0.25">
      <c r="A274" s="1" t="s">
        <v>1714</v>
      </c>
      <c r="B274" s="1" t="s">
        <v>70</v>
      </c>
      <c r="C274" s="1" t="s">
        <v>7</v>
      </c>
      <c r="D274" s="1" t="s">
        <v>1415</v>
      </c>
      <c r="E274" s="1" t="s">
        <v>1416</v>
      </c>
      <c r="F274" s="1" t="s">
        <v>1520</v>
      </c>
      <c r="G274" s="1" t="s">
        <v>46</v>
      </c>
      <c r="H274" s="1" t="s">
        <v>36</v>
      </c>
      <c r="I274" s="1" t="s">
        <v>20</v>
      </c>
      <c r="J274" s="1" t="s">
        <v>34</v>
      </c>
      <c r="K274" s="1" t="s">
        <v>1715</v>
      </c>
      <c r="L274" s="1" t="s">
        <v>1716</v>
      </c>
      <c r="M274" s="41" t="s">
        <v>9</v>
      </c>
    </row>
    <row r="275" spans="1:13" x14ac:dyDescent="0.25">
      <c r="A275" s="1" t="s">
        <v>1714</v>
      </c>
      <c r="B275" s="1" t="s">
        <v>70</v>
      </c>
      <c r="C275" s="1" t="s">
        <v>7</v>
      </c>
      <c r="D275" s="1" t="s">
        <v>1415</v>
      </c>
      <c r="E275" s="1" t="s">
        <v>1416</v>
      </c>
      <c r="F275" s="1" t="s">
        <v>1520</v>
      </c>
      <c r="G275" s="1" t="s">
        <v>46</v>
      </c>
      <c r="H275" s="1" t="s">
        <v>36</v>
      </c>
      <c r="I275" s="1" t="s">
        <v>21</v>
      </c>
      <c r="J275" s="1" t="s">
        <v>34</v>
      </c>
      <c r="K275" s="1" t="s">
        <v>1717</v>
      </c>
      <c r="L275" s="1" t="s">
        <v>1716</v>
      </c>
      <c r="M275" s="41" t="s">
        <v>9</v>
      </c>
    </row>
    <row r="276" spans="1:13" x14ac:dyDescent="0.25">
      <c r="A276" s="1" t="s">
        <v>1714</v>
      </c>
      <c r="B276" s="1" t="s">
        <v>70</v>
      </c>
      <c r="C276" s="1" t="s">
        <v>7</v>
      </c>
      <c r="D276" s="1" t="s">
        <v>1415</v>
      </c>
      <c r="E276" s="1" t="s">
        <v>1416</v>
      </c>
      <c r="F276" s="1" t="s">
        <v>1520</v>
      </c>
      <c r="G276" s="1" t="s">
        <v>46</v>
      </c>
      <c r="H276" s="1" t="s">
        <v>36</v>
      </c>
      <c r="I276" s="1" t="s">
        <v>22</v>
      </c>
      <c r="J276" s="1" t="s">
        <v>34</v>
      </c>
      <c r="K276" s="1" t="s">
        <v>1718</v>
      </c>
      <c r="L276" s="1" t="s">
        <v>1716</v>
      </c>
      <c r="M276" s="41" t="s">
        <v>9</v>
      </c>
    </row>
    <row r="277" spans="1:13" x14ac:dyDescent="0.25">
      <c r="A277" s="1" t="s">
        <v>1714</v>
      </c>
      <c r="B277" s="1" t="s">
        <v>70</v>
      </c>
      <c r="C277" s="1" t="s">
        <v>7</v>
      </c>
      <c r="D277" s="1" t="s">
        <v>1415</v>
      </c>
      <c r="E277" s="1" t="s">
        <v>1416</v>
      </c>
      <c r="F277" s="1" t="s">
        <v>1520</v>
      </c>
      <c r="G277" s="1" t="s">
        <v>46</v>
      </c>
      <c r="H277" s="1" t="s">
        <v>36</v>
      </c>
      <c r="I277" s="1" t="s">
        <v>23</v>
      </c>
      <c r="J277" s="1" t="s">
        <v>34</v>
      </c>
      <c r="K277" s="1" t="s">
        <v>1719</v>
      </c>
      <c r="L277" s="1" t="s">
        <v>1716</v>
      </c>
      <c r="M277" s="41" t="s">
        <v>9</v>
      </c>
    </row>
    <row r="278" spans="1:13" x14ac:dyDescent="0.25">
      <c r="A278" s="1" t="s">
        <v>1714</v>
      </c>
      <c r="B278" s="1" t="s">
        <v>70</v>
      </c>
      <c r="C278" s="1" t="s">
        <v>7</v>
      </c>
      <c r="D278" s="1" t="s">
        <v>1415</v>
      </c>
      <c r="E278" s="1" t="s">
        <v>1416</v>
      </c>
      <c r="F278" s="1" t="s">
        <v>1520</v>
      </c>
      <c r="G278" s="1" t="s">
        <v>46</v>
      </c>
      <c r="H278" s="1" t="s">
        <v>36</v>
      </c>
      <c r="I278" s="1" t="s">
        <v>24</v>
      </c>
      <c r="J278" s="1" t="s">
        <v>34</v>
      </c>
      <c r="K278" s="1" t="s">
        <v>1720</v>
      </c>
      <c r="L278" s="1" t="s">
        <v>1716</v>
      </c>
      <c r="M278" s="41" t="s">
        <v>9</v>
      </c>
    </row>
    <row r="279" spans="1:13" x14ac:dyDescent="0.25">
      <c r="A279" s="1" t="s">
        <v>1714</v>
      </c>
      <c r="B279" s="1" t="s">
        <v>70</v>
      </c>
      <c r="C279" s="1" t="s">
        <v>7</v>
      </c>
      <c r="D279" s="1" t="s">
        <v>1415</v>
      </c>
      <c r="E279" s="1" t="s">
        <v>1416</v>
      </c>
      <c r="F279" s="1" t="s">
        <v>1520</v>
      </c>
      <c r="G279" s="1" t="s">
        <v>46</v>
      </c>
      <c r="H279" s="1" t="s">
        <v>36</v>
      </c>
      <c r="I279" s="1" t="s">
        <v>25</v>
      </c>
      <c r="J279" s="1" t="s">
        <v>34</v>
      </c>
      <c r="K279" s="1" t="s">
        <v>1721</v>
      </c>
      <c r="L279" s="1" t="s">
        <v>1716</v>
      </c>
      <c r="M279" s="41" t="s">
        <v>9</v>
      </c>
    </row>
    <row r="280" spans="1:13" x14ac:dyDescent="0.25">
      <c r="A280" s="1" t="s">
        <v>1714</v>
      </c>
      <c r="B280" s="1" t="s">
        <v>70</v>
      </c>
      <c r="C280" s="1" t="s">
        <v>7</v>
      </c>
      <c r="D280" s="1" t="s">
        <v>1415</v>
      </c>
      <c r="E280" s="1" t="s">
        <v>1416</v>
      </c>
      <c r="F280" s="1" t="s">
        <v>1520</v>
      </c>
      <c r="G280" s="1" t="s">
        <v>46</v>
      </c>
      <c r="H280" s="1" t="s">
        <v>36</v>
      </c>
      <c r="I280" s="1" t="s">
        <v>26</v>
      </c>
      <c r="J280" s="1" t="s">
        <v>34</v>
      </c>
      <c r="K280" s="1" t="s">
        <v>1722</v>
      </c>
      <c r="L280" s="1" t="s">
        <v>1716</v>
      </c>
      <c r="M280" s="41" t="s">
        <v>9</v>
      </c>
    </row>
    <row r="281" spans="1:13" x14ac:dyDescent="0.25">
      <c r="A281" s="1" t="s">
        <v>1714</v>
      </c>
      <c r="B281" s="1" t="s">
        <v>70</v>
      </c>
      <c r="C281" s="1" t="s">
        <v>7</v>
      </c>
      <c r="D281" s="1" t="s">
        <v>1415</v>
      </c>
      <c r="E281" s="1" t="s">
        <v>1416</v>
      </c>
      <c r="F281" s="1" t="s">
        <v>1520</v>
      </c>
      <c r="G281" s="1" t="s">
        <v>46</v>
      </c>
      <c r="H281" s="1" t="s">
        <v>36</v>
      </c>
      <c r="I281" s="1" t="s">
        <v>27</v>
      </c>
      <c r="J281" s="1" t="s">
        <v>34</v>
      </c>
      <c r="K281" s="1" t="s">
        <v>1723</v>
      </c>
      <c r="L281" s="1" t="s">
        <v>1716</v>
      </c>
      <c r="M281" s="41" t="s">
        <v>9</v>
      </c>
    </row>
    <row r="282" spans="1:13" x14ac:dyDescent="0.25">
      <c r="A282" s="1" t="s">
        <v>1714</v>
      </c>
      <c r="B282" s="1" t="s">
        <v>70</v>
      </c>
      <c r="C282" s="1" t="s">
        <v>7</v>
      </c>
      <c r="D282" s="1" t="s">
        <v>1415</v>
      </c>
      <c r="E282" s="1" t="s">
        <v>1416</v>
      </c>
      <c r="F282" s="1" t="s">
        <v>1520</v>
      </c>
      <c r="G282" s="1" t="s">
        <v>46</v>
      </c>
      <c r="H282" s="1" t="s">
        <v>36</v>
      </c>
      <c r="I282" s="1" t="s">
        <v>28</v>
      </c>
      <c r="J282" s="1" t="s">
        <v>34</v>
      </c>
      <c r="K282" s="1" t="s">
        <v>1724</v>
      </c>
      <c r="L282" s="1" t="s">
        <v>1716</v>
      </c>
      <c r="M282" s="41" t="s">
        <v>9</v>
      </c>
    </row>
    <row r="283" spans="1:13" x14ac:dyDescent="0.25">
      <c r="A283" s="1" t="s">
        <v>1714</v>
      </c>
      <c r="B283" s="1" t="s">
        <v>70</v>
      </c>
      <c r="C283" s="1" t="s">
        <v>7</v>
      </c>
      <c r="D283" s="1" t="s">
        <v>1415</v>
      </c>
      <c r="E283" s="1" t="s">
        <v>1416</v>
      </c>
      <c r="F283" s="1" t="s">
        <v>1520</v>
      </c>
      <c r="G283" s="1" t="s">
        <v>46</v>
      </c>
      <c r="H283" s="1" t="s">
        <v>36</v>
      </c>
      <c r="I283" s="1" t="s">
        <v>29</v>
      </c>
      <c r="J283" s="1" t="s">
        <v>34</v>
      </c>
      <c r="K283" s="1" t="s">
        <v>1725</v>
      </c>
      <c r="L283" s="1" t="s">
        <v>1716</v>
      </c>
      <c r="M283" s="41" t="s">
        <v>9</v>
      </c>
    </row>
    <row r="284" spans="1:13" x14ac:dyDescent="0.25">
      <c r="A284" s="1" t="s">
        <v>1714</v>
      </c>
      <c r="B284" s="1" t="s">
        <v>70</v>
      </c>
      <c r="C284" s="1" t="s">
        <v>7</v>
      </c>
      <c r="D284" s="1" t="s">
        <v>1415</v>
      </c>
      <c r="E284" s="1" t="s">
        <v>1416</v>
      </c>
      <c r="F284" s="1" t="s">
        <v>1520</v>
      </c>
      <c r="G284" s="1" t="s">
        <v>46</v>
      </c>
      <c r="H284" s="1" t="s">
        <v>36</v>
      </c>
      <c r="I284" s="1" t="s">
        <v>30</v>
      </c>
      <c r="J284" s="1" t="s">
        <v>34</v>
      </c>
      <c r="K284" s="1" t="s">
        <v>1726</v>
      </c>
      <c r="L284" s="1" t="s">
        <v>1716</v>
      </c>
      <c r="M284" s="41" t="s">
        <v>9</v>
      </c>
    </row>
    <row r="285" spans="1:13" x14ac:dyDescent="0.25">
      <c r="A285" s="1" t="s">
        <v>1714</v>
      </c>
      <c r="B285" s="1" t="s">
        <v>70</v>
      </c>
      <c r="C285" s="1" t="s">
        <v>7</v>
      </c>
      <c r="D285" s="1" t="s">
        <v>1415</v>
      </c>
      <c r="E285" s="1" t="s">
        <v>1416</v>
      </c>
      <c r="F285" s="1" t="s">
        <v>1520</v>
      </c>
      <c r="G285" s="1" t="s">
        <v>46</v>
      </c>
      <c r="H285" s="1" t="s">
        <v>36</v>
      </c>
      <c r="I285" s="1" t="s">
        <v>31</v>
      </c>
      <c r="J285" s="1" t="s">
        <v>34</v>
      </c>
      <c r="K285" s="1" t="s">
        <v>1727</v>
      </c>
      <c r="L285" s="1" t="s">
        <v>1716</v>
      </c>
      <c r="M285" s="41" t="s">
        <v>9</v>
      </c>
    </row>
    <row r="286" spans="1:13" x14ac:dyDescent="0.25">
      <c r="A286" s="1" t="s">
        <v>1714</v>
      </c>
      <c r="B286" s="1" t="s">
        <v>70</v>
      </c>
      <c r="C286" s="1" t="s">
        <v>7</v>
      </c>
      <c r="D286" s="1" t="s">
        <v>1415</v>
      </c>
      <c r="E286" s="1" t="s">
        <v>1416</v>
      </c>
      <c r="F286" s="1" t="s">
        <v>1520</v>
      </c>
      <c r="G286" s="1" t="s">
        <v>46</v>
      </c>
      <c r="H286" s="1" t="s">
        <v>36</v>
      </c>
      <c r="I286" s="1" t="s">
        <v>32</v>
      </c>
      <c r="J286" s="1" t="s">
        <v>34</v>
      </c>
      <c r="K286" s="1" t="s">
        <v>1728</v>
      </c>
      <c r="L286" s="1" t="s">
        <v>1716</v>
      </c>
      <c r="M286" s="41">
        <v>46087</v>
      </c>
    </row>
    <row r="287" spans="1:13" x14ac:dyDescent="0.25">
      <c r="A287" s="1" t="s">
        <v>1729</v>
      </c>
      <c r="B287" s="1" t="s">
        <v>71</v>
      </c>
      <c r="C287" s="1" t="s">
        <v>7</v>
      </c>
      <c r="D287" s="1" t="s">
        <v>1415</v>
      </c>
      <c r="E287" s="1" t="s">
        <v>1416</v>
      </c>
      <c r="F287" s="1" t="s">
        <v>1520</v>
      </c>
      <c r="G287" s="1" t="s">
        <v>46</v>
      </c>
      <c r="H287" s="1" t="s">
        <v>36</v>
      </c>
      <c r="I287" s="1" t="s">
        <v>20</v>
      </c>
      <c r="J287" s="1" t="s">
        <v>34</v>
      </c>
      <c r="K287" s="1" t="s">
        <v>1730</v>
      </c>
      <c r="L287" s="1" t="s">
        <v>1701</v>
      </c>
      <c r="M287" s="41">
        <v>46251</v>
      </c>
    </row>
    <row r="288" spans="1:13" x14ac:dyDescent="0.25">
      <c r="A288" s="1" t="s">
        <v>1729</v>
      </c>
      <c r="B288" s="1" t="s">
        <v>71</v>
      </c>
      <c r="C288" s="1" t="s">
        <v>7</v>
      </c>
      <c r="D288" s="1" t="s">
        <v>1415</v>
      </c>
      <c r="E288" s="1" t="s">
        <v>1416</v>
      </c>
      <c r="F288" s="1" t="s">
        <v>1520</v>
      </c>
      <c r="G288" s="1" t="s">
        <v>46</v>
      </c>
      <c r="H288" s="1" t="s">
        <v>36</v>
      </c>
      <c r="I288" s="1" t="s">
        <v>21</v>
      </c>
      <c r="J288" s="1" t="s">
        <v>34</v>
      </c>
      <c r="K288" s="1" t="s">
        <v>1731</v>
      </c>
      <c r="L288" s="1" t="s">
        <v>1701</v>
      </c>
      <c r="M288" s="41">
        <v>46251</v>
      </c>
    </row>
    <row r="289" spans="1:13" x14ac:dyDescent="0.25">
      <c r="A289" s="1" t="s">
        <v>1729</v>
      </c>
      <c r="B289" s="1" t="s">
        <v>71</v>
      </c>
      <c r="C289" s="1" t="s">
        <v>7</v>
      </c>
      <c r="D289" s="1" t="s">
        <v>1415</v>
      </c>
      <c r="E289" s="1" t="s">
        <v>1416</v>
      </c>
      <c r="F289" s="1" t="s">
        <v>1520</v>
      </c>
      <c r="G289" s="1" t="s">
        <v>46</v>
      </c>
      <c r="H289" s="1" t="s">
        <v>36</v>
      </c>
      <c r="I289" s="1" t="s">
        <v>22</v>
      </c>
      <c r="J289" s="1" t="s">
        <v>34</v>
      </c>
      <c r="K289" s="1" t="s">
        <v>1732</v>
      </c>
      <c r="L289" s="1" t="s">
        <v>1701</v>
      </c>
      <c r="M289" s="41">
        <v>46117</v>
      </c>
    </row>
    <row r="290" spans="1:13" x14ac:dyDescent="0.25">
      <c r="A290" s="1" t="s">
        <v>1729</v>
      </c>
      <c r="B290" s="1" t="s">
        <v>71</v>
      </c>
      <c r="C290" s="1" t="s">
        <v>7</v>
      </c>
      <c r="D290" s="1" t="s">
        <v>1415</v>
      </c>
      <c r="E290" s="1" t="s">
        <v>1416</v>
      </c>
      <c r="F290" s="1" t="s">
        <v>1520</v>
      </c>
      <c r="G290" s="1" t="s">
        <v>46</v>
      </c>
      <c r="H290" s="1" t="s">
        <v>36</v>
      </c>
      <c r="I290" s="1" t="s">
        <v>23</v>
      </c>
      <c r="J290" s="1" t="s">
        <v>34</v>
      </c>
      <c r="K290" s="1" t="s">
        <v>1733</v>
      </c>
      <c r="L290" s="1" t="s">
        <v>1701</v>
      </c>
      <c r="M290" s="41">
        <v>46117</v>
      </c>
    </row>
    <row r="291" spans="1:13" x14ac:dyDescent="0.25">
      <c r="A291" s="1" t="s">
        <v>1729</v>
      </c>
      <c r="B291" s="1" t="s">
        <v>71</v>
      </c>
      <c r="C291" s="1" t="s">
        <v>7</v>
      </c>
      <c r="D291" s="1" t="s">
        <v>1415</v>
      </c>
      <c r="E291" s="1" t="s">
        <v>1416</v>
      </c>
      <c r="F291" s="1" t="s">
        <v>1520</v>
      </c>
      <c r="G291" s="1" t="s">
        <v>46</v>
      </c>
      <c r="H291" s="1" t="s">
        <v>36</v>
      </c>
      <c r="I291" s="1" t="s">
        <v>24</v>
      </c>
      <c r="J291" s="1" t="s">
        <v>34</v>
      </c>
      <c r="K291" s="1" t="s">
        <v>1734</v>
      </c>
      <c r="L291" s="1" t="s">
        <v>1701</v>
      </c>
      <c r="M291" s="41">
        <v>46117</v>
      </c>
    </row>
    <row r="292" spans="1:13" x14ac:dyDescent="0.25">
      <c r="A292" s="1" t="s">
        <v>1729</v>
      </c>
      <c r="B292" s="1" t="s">
        <v>71</v>
      </c>
      <c r="C292" s="1" t="s">
        <v>7</v>
      </c>
      <c r="D292" s="1" t="s">
        <v>1415</v>
      </c>
      <c r="E292" s="1" t="s">
        <v>1416</v>
      </c>
      <c r="F292" s="1" t="s">
        <v>1520</v>
      </c>
      <c r="G292" s="1" t="s">
        <v>46</v>
      </c>
      <c r="H292" s="1" t="s">
        <v>36</v>
      </c>
      <c r="I292" s="1" t="s">
        <v>25</v>
      </c>
      <c r="J292" s="1" t="s">
        <v>34</v>
      </c>
      <c r="K292" s="1" t="s">
        <v>1735</v>
      </c>
      <c r="L292" s="1" t="s">
        <v>1701</v>
      </c>
      <c r="M292" s="41">
        <v>46117</v>
      </c>
    </row>
    <row r="293" spans="1:13" x14ac:dyDescent="0.25">
      <c r="A293" s="1" t="s">
        <v>1729</v>
      </c>
      <c r="B293" s="1" t="s">
        <v>71</v>
      </c>
      <c r="C293" s="1" t="s">
        <v>7</v>
      </c>
      <c r="D293" s="1" t="s">
        <v>1415</v>
      </c>
      <c r="E293" s="1" t="s">
        <v>1416</v>
      </c>
      <c r="F293" s="1" t="s">
        <v>1520</v>
      </c>
      <c r="G293" s="1" t="s">
        <v>46</v>
      </c>
      <c r="H293" s="1" t="s">
        <v>36</v>
      </c>
      <c r="I293" s="1" t="s">
        <v>26</v>
      </c>
      <c r="J293" s="1" t="s">
        <v>34</v>
      </c>
      <c r="K293" s="1" t="s">
        <v>1736</v>
      </c>
      <c r="L293" s="1" t="s">
        <v>1701</v>
      </c>
      <c r="M293" s="41">
        <v>46251</v>
      </c>
    </row>
    <row r="294" spans="1:13" x14ac:dyDescent="0.25">
      <c r="A294" s="1" t="s">
        <v>1729</v>
      </c>
      <c r="B294" s="1" t="s">
        <v>71</v>
      </c>
      <c r="C294" s="1" t="s">
        <v>7</v>
      </c>
      <c r="D294" s="1" t="s">
        <v>1415</v>
      </c>
      <c r="E294" s="1" t="s">
        <v>1416</v>
      </c>
      <c r="F294" s="1" t="s">
        <v>1520</v>
      </c>
      <c r="G294" s="1" t="s">
        <v>46</v>
      </c>
      <c r="H294" s="1" t="s">
        <v>36</v>
      </c>
      <c r="I294" s="1" t="s">
        <v>27</v>
      </c>
      <c r="J294" s="1" t="s">
        <v>34</v>
      </c>
      <c r="K294" s="1" t="s">
        <v>1737</v>
      </c>
      <c r="L294" s="1" t="s">
        <v>1701</v>
      </c>
      <c r="M294" s="41">
        <v>46251</v>
      </c>
    </row>
    <row r="295" spans="1:13" x14ac:dyDescent="0.25">
      <c r="A295" s="1" t="s">
        <v>1729</v>
      </c>
      <c r="B295" s="1" t="s">
        <v>71</v>
      </c>
      <c r="C295" s="1" t="s">
        <v>7</v>
      </c>
      <c r="D295" s="1" t="s">
        <v>1415</v>
      </c>
      <c r="E295" s="1" t="s">
        <v>1416</v>
      </c>
      <c r="F295" s="1" t="s">
        <v>1520</v>
      </c>
      <c r="G295" s="1" t="s">
        <v>46</v>
      </c>
      <c r="H295" s="1" t="s">
        <v>36</v>
      </c>
      <c r="I295" s="1" t="s">
        <v>28</v>
      </c>
      <c r="J295" s="1" t="s">
        <v>34</v>
      </c>
      <c r="K295" s="1" t="s">
        <v>1738</v>
      </c>
      <c r="L295" s="1" t="s">
        <v>1701</v>
      </c>
      <c r="M295" s="41">
        <v>46251</v>
      </c>
    </row>
    <row r="296" spans="1:13" x14ac:dyDescent="0.25">
      <c r="A296" s="1" t="s">
        <v>1729</v>
      </c>
      <c r="B296" s="1" t="s">
        <v>71</v>
      </c>
      <c r="C296" s="1" t="s">
        <v>7</v>
      </c>
      <c r="D296" s="1" t="s">
        <v>1415</v>
      </c>
      <c r="E296" s="1" t="s">
        <v>1416</v>
      </c>
      <c r="F296" s="1" t="s">
        <v>1520</v>
      </c>
      <c r="G296" s="1" t="s">
        <v>46</v>
      </c>
      <c r="H296" s="1" t="s">
        <v>36</v>
      </c>
      <c r="I296" s="1" t="s">
        <v>29</v>
      </c>
      <c r="J296" s="1" t="s">
        <v>34</v>
      </c>
      <c r="K296" s="1" t="s">
        <v>1739</v>
      </c>
      <c r="L296" s="1" t="s">
        <v>1701</v>
      </c>
      <c r="M296" s="41">
        <v>46251</v>
      </c>
    </row>
    <row r="297" spans="1:13" x14ac:dyDescent="0.25">
      <c r="A297" s="1" t="s">
        <v>1729</v>
      </c>
      <c r="B297" s="1" t="s">
        <v>71</v>
      </c>
      <c r="C297" s="1" t="s">
        <v>7</v>
      </c>
      <c r="D297" s="1" t="s">
        <v>1415</v>
      </c>
      <c r="E297" s="1" t="s">
        <v>1416</v>
      </c>
      <c r="F297" s="1" t="s">
        <v>1520</v>
      </c>
      <c r="G297" s="1" t="s">
        <v>46</v>
      </c>
      <c r="H297" s="1" t="s">
        <v>36</v>
      </c>
      <c r="I297" s="1" t="s">
        <v>30</v>
      </c>
      <c r="J297" s="1" t="s">
        <v>34</v>
      </c>
      <c r="K297" s="1" t="s">
        <v>1740</v>
      </c>
      <c r="L297" s="1" t="s">
        <v>1701</v>
      </c>
      <c r="M297" s="41">
        <v>46087</v>
      </c>
    </row>
    <row r="298" spans="1:13" x14ac:dyDescent="0.25">
      <c r="A298" s="1" t="s">
        <v>1729</v>
      </c>
      <c r="B298" s="1" t="s">
        <v>71</v>
      </c>
      <c r="C298" s="1" t="s">
        <v>7</v>
      </c>
      <c r="D298" s="1" t="s">
        <v>1415</v>
      </c>
      <c r="E298" s="1" t="s">
        <v>1416</v>
      </c>
      <c r="F298" s="1" t="s">
        <v>1520</v>
      </c>
      <c r="G298" s="1" t="s">
        <v>46</v>
      </c>
      <c r="H298" s="1" t="s">
        <v>36</v>
      </c>
      <c r="I298" s="1" t="s">
        <v>31</v>
      </c>
      <c r="J298" s="1" t="s">
        <v>34</v>
      </c>
      <c r="K298" s="1" t="s">
        <v>1741</v>
      </c>
      <c r="L298" s="1" t="s">
        <v>1701</v>
      </c>
      <c r="M298" s="41">
        <v>46251</v>
      </c>
    </row>
    <row r="299" spans="1:13" x14ac:dyDescent="0.25">
      <c r="A299" s="1" t="s">
        <v>1729</v>
      </c>
      <c r="B299" s="1" t="s">
        <v>71</v>
      </c>
      <c r="C299" s="1" t="s">
        <v>7</v>
      </c>
      <c r="D299" s="1" t="s">
        <v>1415</v>
      </c>
      <c r="E299" s="1" t="s">
        <v>1416</v>
      </c>
      <c r="F299" s="1" t="s">
        <v>1520</v>
      </c>
      <c r="G299" s="1" t="s">
        <v>46</v>
      </c>
      <c r="H299" s="1" t="s">
        <v>36</v>
      </c>
      <c r="I299" s="1" t="s">
        <v>32</v>
      </c>
      <c r="J299" s="1" t="s">
        <v>34</v>
      </c>
      <c r="K299" s="1" t="s">
        <v>1742</v>
      </c>
      <c r="L299" s="1" t="s">
        <v>1701</v>
      </c>
      <c r="M299" s="41">
        <v>46251</v>
      </c>
    </row>
    <row r="300" spans="1:13" x14ac:dyDescent="0.25">
      <c r="A300" s="1" t="s">
        <v>1743</v>
      </c>
      <c r="B300" s="1" t="s">
        <v>71</v>
      </c>
      <c r="C300" s="1" t="s">
        <v>7</v>
      </c>
      <c r="D300" s="1" t="s">
        <v>1415</v>
      </c>
      <c r="E300" s="1" t="s">
        <v>1416</v>
      </c>
      <c r="F300" s="1" t="s">
        <v>1520</v>
      </c>
      <c r="G300" s="1" t="s">
        <v>68</v>
      </c>
      <c r="H300" s="1" t="s">
        <v>36</v>
      </c>
      <c r="I300" s="1" t="s">
        <v>20</v>
      </c>
      <c r="J300" s="1" t="s">
        <v>34</v>
      </c>
      <c r="K300" s="1" t="s">
        <v>1744</v>
      </c>
      <c r="L300" s="1" t="s">
        <v>1701</v>
      </c>
      <c r="M300" s="41">
        <v>46309</v>
      </c>
    </row>
    <row r="301" spans="1:13" x14ac:dyDescent="0.25">
      <c r="A301" s="1" t="s">
        <v>1743</v>
      </c>
      <c r="B301" s="1" t="s">
        <v>71</v>
      </c>
      <c r="C301" s="1" t="s">
        <v>7</v>
      </c>
      <c r="D301" s="1" t="s">
        <v>1415</v>
      </c>
      <c r="E301" s="1" t="s">
        <v>1416</v>
      </c>
      <c r="F301" s="1" t="s">
        <v>1520</v>
      </c>
      <c r="G301" s="1" t="s">
        <v>68</v>
      </c>
      <c r="H301" s="1" t="s">
        <v>36</v>
      </c>
      <c r="I301" s="1" t="s">
        <v>21</v>
      </c>
      <c r="J301" s="1" t="s">
        <v>34</v>
      </c>
      <c r="K301" s="1" t="s">
        <v>1745</v>
      </c>
      <c r="L301" s="1" t="s">
        <v>1701</v>
      </c>
      <c r="M301" s="41">
        <v>46217</v>
      </c>
    </row>
    <row r="302" spans="1:13" x14ac:dyDescent="0.25">
      <c r="A302" s="1" t="s">
        <v>1743</v>
      </c>
      <c r="B302" s="1" t="s">
        <v>71</v>
      </c>
      <c r="C302" s="1" t="s">
        <v>7</v>
      </c>
      <c r="D302" s="1" t="s">
        <v>1415</v>
      </c>
      <c r="E302" s="1" t="s">
        <v>1416</v>
      </c>
      <c r="F302" s="1" t="s">
        <v>1520</v>
      </c>
      <c r="G302" s="1" t="s">
        <v>68</v>
      </c>
      <c r="H302" s="1" t="s">
        <v>36</v>
      </c>
      <c r="I302" s="1" t="s">
        <v>22</v>
      </c>
      <c r="J302" s="1" t="s">
        <v>34</v>
      </c>
      <c r="K302" s="1" t="s">
        <v>1746</v>
      </c>
      <c r="L302" s="1" t="s">
        <v>1701</v>
      </c>
      <c r="M302" s="41">
        <v>46087</v>
      </c>
    </row>
    <row r="303" spans="1:13" x14ac:dyDescent="0.25">
      <c r="A303" s="1" t="s">
        <v>1743</v>
      </c>
      <c r="B303" s="1" t="s">
        <v>71</v>
      </c>
      <c r="C303" s="1" t="s">
        <v>7</v>
      </c>
      <c r="D303" s="1" t="s">
        <v>1415</v>
      </c>
      <c r="E303" s="1" t="s">
        <v>1416</v>
      </c>
      <c r="F303" s="1" t="s">
        <v>1520</v>
      </c>
      <c r="G303" s="1" t="s">
        <v>68</v>
      </c>
      <c r="H303" s="1" t="s">
        <v>36</v>
      </c>
      <c r="I303" s="1" t="s">
        <v>23</v>
      </c>
      <c r="J303" s="1" t="s">
        <v>34</v>
      </c>
      <c r="K303" s="1" t="s">
        <v>1747</v>
      </c>
      <c r="L303" s="1" t="s">
        <v>1701</v>
      </c>
      <c r="M303" s="41">
        <v>46109</v>
      </c>
    </row>
    <row r="304" spans="1:13" x14ac:dyDescent="0.25">
      <c r="A304" s="1" t="s">
        <v>1743</v>
      </c>
      <c r="B304" s="1" t="s">
        <v>71</v>
      </c>
      <c r="C304" s="1" t="s">
        <v>7</v>
      </c>
      <c r="D304" s="1" t="s">
        <v>1415</v>
      </c>
      <c r="E304" s="1" t="s">
        <v>1416</v>
      </c>
      <c r="F304" s="1" t="s">
        <v>1520</v>
      </c>
      <c r="G304" s="1" t="s">
        <v>68</v>
      </c>
      <c r="H304" s="1" t="s">
        <v>36</v>
      </c>
      <c r="I304" s="1" t="s">
        <v>24</v>
      </c>
      <c r="J304" s="1" t="s">
        <v>34</v>
      </c>
      <c r="K304" s="1" t="s">
        <v>1748</v>
      </c>
      <c r="L304" s="1" t="s">
        <v>1701</v>
      </c>
      <c r="M304" s="41">
        <v>46087</v>
      </c>
    </row>
    <row r="305" spans="1:13" x14ac:dyDescent="0.25">
      <c r="A305" s="1" t="s">
        <v>1743</v>
      </c>
      <c r="B305" s="1" t="s">
        <v>71</v>
      </c>
      <c r="C305" s="1" t="s">
        <v>7</v>
      </c>
      <c r="D305" s="1" t="s">
        <v>1415</v>
      </c>
      <c r="E305" s="1" t="s">
        <v>1416</v>
      </c>
      <c r="F305" s="1" t="s">
        <v>1520</v>
      </c>
      <c r="G305" s="1" t="s">
        <v>68</v>
      </c>
      <c r="H305" s="1" t="s">
        <v>36</v>
      </c>
      <c r="I305" s="1" t="s">
        <v>25</v>
      </c>
      <c r="J305" s="1" t="s">
        <v>34</v>
      </c>
      <c r="K305" s="1" t="s">
        <v>1749</v>
      </c>
      <c r="L305" s="1" t="s">
        <v>1701</v>
      </c>
      <c r="M305" s="41">
        <v>46087</v>
      </c>
    </row>
    <row r="306" spans="1:13" x14ac:dyDescent="0.25">
      <c r="A306" s="1" t="s">
        <v>1743</v>
      </c>
      <c r="B306" s="1" t="s">
        <v>71</v>
      </c>
      <c r="C306" s="1" t="s">
        <v>7</v>
      </c>
      <c r="D306" s="1" t="s">
        <v>1415</v>
      </c>
      <c r="E306" s="1" t="s">
        <v>1416</v>
      </c>
      <c r="F306" s="1" t="s">
        <v>1520</v>
      </c>
      <c r="G306" s="1" t="s">
        <v>68</v>
      </c>
      <c r="H306" s="1" t="s">
        <v>36</v>
      </c>
      <c r="I306" s="1" t="s">
        <v>26</v>
      </c>
      <c r="J306" s="1" t="s">
        <v>34</v>
      </c>
      <c r="K306" s="1" t="s">
        <v>1750</v>
      </c>
      <c r="L306" s="1" t="s">
        <v>1701</v>
      </c>
      <c r="M306" s="41">
        <v>46087</v>
      </c>
    </row>
    <row r="307" spans="1:13" x14ac:dyDescent="0.25">
      <c r="A307" s="1" t="s">
        <v>1743</v>
      </c>
      <c r="B307" s="1" t="s">
        <v>71</v>
      </c>
      <c r="C307" s="1" t="s">
        <v>7</v>
      </c>
      <c r="D307" s="1" t="s">
        <v>1415</v>
      </c>
      <c r="E307" s="1" t="s">
        <v>1416</v>
      </c>
      <c r="F307" s="1" t="s">
        <v>1520</v>
      </c>
      <c r="G307" s="1" t="s">
        <v>68</v>
      </c>
      <c r="H307" s="1" t="s">
        <v>36</v>
      </c>
      <c r="I307" s="1" t="s">
        <v>27</v>
      </c>
      <c r="J307" s="1" t="s">
        <v>34</v>
      </c>
      <c r="K307" s="1" t="s">
        <v>1751</v>
      </c>
      <c r="L307" s="1" t="s">
        <v>1701</v>
      </c>
      <c r="M307" s="41">
        <v>46087</v>
      </c>
    </row>
    <row r="308" spans="1:13" x14ac:dyDescent="0.25">
      <c r="A308" s="1" t="s">
        <v>1743</v>
      </c>
      <c r="B308" s="1" t="s">
        <v>71</v>
      </c>
      <c r="C308" s="1" t="s">
        <v>7</v>
      </c>
      <c r="D308" s="1" t="s">
        <v>1415</v>
      </c>
      <c r="E308" s="1" t="s">
        <v>1416</v>
      </c>
      <c r="F308" s="1" t="s">
        <v>1520</v>
      </c>
      <c r="G308" s="1" t="s">
        <v>68</v>
      </c>
      <c r="H308" s="1" t="s">
        <v>36</v>
      </c>
      <c r="I308" s="1" t="s">
        <v>28</v>
      </c>
      <c r="J308" s="1" t="s">
        <v>34</v>
      </c>
      <c r="K308" s="1" t="s">
        <v>1752</v>
      </c>
      <c r="L308" s="1" t="s">
        <v>1701</v>
      </c>
      <c r="M308" s="41">
        <v>46087</v>
      </c>
    </row>
    <row r="309" spans="1:13" x14ac:dyDescent="0.25">
      <c r="A309" s="1" t="s">
        <v>1743</v>
      </c>
      <c r="B309" s="1" t="s">
        <v>71</v>
      </c>
      <c r="C309" s="1" t="s">
        <v>7</v>
      </c>
      <c r="D309" s="1" t="s">
        <v>1415</v>
      </c>
      <c r="E309" s="1" t="s">
        <v>1416</v>
      </c>
      <c r="F309" s="1" t="s">
        <v>1520</v>
      </c>
      <c r="G309" s="1" t="s">
        <v>68</v>
      </c>
      <c r="H309" s="1" t="s">
        <v>36</v>
      </c>
      <c r="I309" s="1" t="s">
        <v>29</v>
      </c>
      <c r="J309" s="1" t="s">
        <v>34</v>
      </c>
      <c r="K309" s="1" t="s">
        <v>1753</v>
      </c>
      <c r="L309" s="1" t="s">
        <v>1701</v>
      </c>
      <c r="M309" s="41">
        <v>46087</v>
      </c>
    </row>
    <row r="310" spans="1:13" x14ac:dyDescent="0.25">
      <c r="A310" s="1" t="s">
        <v>1743</v>
      </c>
      <c r="B310" s="1" t="s">
        <v>71</v>
      </c>
      <c r="C310" s="1" t="s">
        <v>7</v>
      </c>
      <c r="D310" s="1" t="s">
        <v>1415</v>
      </c>
      <c r="E310" s="1" t="s">
        <v>1416</v>
      </c>
      <c r="F310" s="1" t="s">
        <v>1520</v>
      </c>
      <c r="G310" s="1" t="s">
        <v>68</v>
      </c>
      <c r="H310" s="1" t="s">
        <v>36</v>
      </c>
      <c r="I310" s="1" t="s">
        <v>30</v>
      </c>
      <c r="J310" s="1" t="s">
        <v>34</v>
      </c>
      <c r="K310" s="1" t="s">
        <v>1754</v>
      </c>
      <c r="L310" s="1" t="s">
        <v>1701</v>
      </c>
      <c r="M310" s="41">
        <v>46087</v>
      </c>
    </row>
    <row r="311" spans="1:13" x14ac:dyDescent="0.25">
      <c r="A311" s="1" t="s">
        <v>1743</v>
      </c>
      <c r="B311" s="1" t="s">
        <v>71</v>
      </c>
      <c r="C311" s="1" t="s">
        <v>7</v>
      </c>
      <c r="D311" s="1" t="s">
        <v>1415</v>
      </c>
      <c r="E311" s="1" t="s">
        <v>1416</v>
      </c>
      <c r="F311" s="1" t="s">
        <v>1520</v>
      </c>
      <c r="G311" s="1" t="s">
        <v>68</v>
      </c>
      <c r="H311" s="1" t="s">
        <v>36</v>
      </c>
      <c r="I311" s="1" t="s">
        <v>31</v>
      </c>
      <c r="J311" s="1" t="s">
        <v>34</v>
      </c>
      <c r="K311" s="1" t="s">
        <v>1755</v>
      </c>
      <c r="L311" s="1" t="s">
        <v>1701</v>
      </c>
      <c r="M311" s="41">
        <v>46087</v>
      </c>
    </row>
    <row r="312" spans="1:13" x14ac:dyDescent="0.25">
      <c r="A312" s="1" t="s">
        <v>1743</v>
      </c>
      <c r="B312" s="1" t="s">
        <v>71</v>
      </c>
      <c r="C312" s="1" t="s">
        <v>7</v>
      </c>
      <c r="D312" s="1" t="s">
        <v>1415</v>
      </c>
      <c r="E312" s="1" t="s">
        <v>1416</v>
      </c>
      <c r="F312" s="1" t="s">
        <v>1520</v>
      </c>
      <c r="G312" s="1" t="s">
        <v>68</v>
      </c>
      <c r="H312" s="1" t="s">
        <v>36</v>
      </c>
      <c r="I312" s="1" t="s">
        <v>32</v>
      </c>
      <c r="J312" s="1" t="s">
        <v>34</v>
      </c>
      <c r="K312" s="1" t="s">
        <v>1756</v>
      </c>
      <c r="L312" s="1" t="s">
        <v>1701</v>
      </c>
      <c r="M312" s="41">
        <v>46309</v>
      </c>
    </row>
    <row r="313" spans="1:13" x14ac:dyDescent="0.25">
      <c r="A313" s="1" t="s">
        <v>1757</v>
      </c>
      <c r="B313" s="1" t="s">
        <v>72</v>
      </c>
      <c r="C313" s="1" t="s">
        <v>7</v>
      </c>
      <c r="D313" s="1" t="s">
        <v>1415</v>
      </c>
      <c r="E313" s="1" t="s">
        <v>1416</v>
      </c>
      <c r="F313" s="1" t="s">
        <v>1520</v>
      </c>
      <c r="G313" s="1" t="s">
        <v>46</v>
      </c>
      <c r="H313" s="1" t="s">
        <v>36</v>
      </c>
      <c r="I313" s="1" t="s">
        <v>20</v>
      </c>
      <c r="J313" s="1" t="s">
        <v>34</v>
      </c>
      <c r="K313" s="1" t="s">
        <v>1758</v>
      </c>
      <c r="L313" s="1" t="s">
        <v>1759</v>
      </c>
      <c r="M313" s="41">
        <v>46302</v>
      </c>
    </row>
    <row r="314" spans="1:13" x14ac:dyDescent="0.25">
      <c r="A314" s="1" t="s">
        <v>1757</v>
      </c>
      <c r="B314" s="1" t="s">
        <v>72</v>
      </c>
      <c r="C314" s="1" t="s">
        <v>7</v>
      </c>
      <c r="D314" s="1" t="s">
        <v>1415</v>
      </c>
      <c r="E314" s="1" t="s">
        <v>1416</v>
      </c>
      <c r="F314" s="1" t="s">
        <v>1520</v>
      </c>
      <c r="G314" s="1" t="s">
        <v>46</v>
      </c>
      <c r="H314" s="1" t="s">
        <v>36</v>
      </c>
      <c r="I314" s="1" t="s">
        <v>21</v>
      </c>
      <c r="J314" s="1" t="s">
        <v>34</v>
      </c>
      <c r="K314" s="1" t="s">
        <v>1760</v>
      </c>
      <c r="L314" s="1" t="s">
        <v>1759</v>
      </c>
      <c r="M314" s="41">
        <v>46302</v>
      </c>
    </row>
    <row r="315" spans="1:13" x14ac:dyDescent="0.25">
      <c r="A315" s="1" t="s">
        <v>1757</v>
      </c>
      <c r="B315" s="1" t="s">
        <v>72</v>
      </c>
      <c r="C315" s="1" t="s">
        <v>7</v>
      </c>
      <c r="D315" s="1" t="s">
        <v>1415</v>
      </c>
      <c r="E315" s="1" t="s">
        <v>1416</v>
      </c>
      <c r="F315" s="1" t="s">
        <v>1520</v>
      </c>
      <c r="G315" s="1" t="s">
        <v>46</v>
      </c>
      <c r="H315" s="1" t="s">
        <v>36</v>
      </c>
      <c r="I315" s="1" t="s">
        <v>22</v>
      </c>
      <c r="J315" s="1" t="s">
        <v>34</v>
      </c>
      <c r="K315" s="1" t="s">
        <v>1761</v>
      </c>
      <c r="L315" s="1" t="s">
        <v>1759</v>
      </c>
      <c r="M315" s="41">
        <v>46302</v>
      </c>
    </row>
    <row r="316" spans="1:13" x14ac:dyDescent="0.25">
      <c r="A316" s="1" t="s">
        <v>1757</v>
      </c>
      <c r="B316" s="1" t="s">
        <v>72</v>
      </c>
      <c r="C316" s="1" t="s">
        <v>7</v>
      </c>
      <c r="D316" s="1" t="s">
        <v>1415</v>
      </c>
      <c r="E316" s="1" t="s">
        <v>1416</v>
      </c>
      <c r="F316" s="1" t="s">
        <v>1520</v>
      </c>
      <c r="G316" s="1" t="s">
        <v>46</v>
      </c>
      <c r="H316" s="1" t="s">
        <v>36</v>
      </c>
      <c r="I316" s="1" t="s">
        <v>23</v>
      </c>
      <c r="J316" s="1" t="s">
        <v>34</v>
      </c>
      <c r="K316" s="1" t="s">
        <v>1762</v>
      </c>
      <c r="L316" s="1" t="s">
        <v>1759</v>
      </c>
      <c r="M316" s="41">
        <v>46302</v>
      </c>
    </row>
    <row r="317" spans="1:13" x14ac:dyDescent="0.25">
      <c r="A317" s="1" t="s">
        <v>1757</v>
      </c>
      <c r="B317" s="1" t="s">
        <v>72</v>
      </c>
      <c r="C317" s="1" t="s">
        <v>7</v>
      </c>
      <c r="D317" s="1" t="s">
        <v>1415</v>
      </c>
      <c r="E317" s="1" t="s">
        <v>1416</v>
      </c>
      <c r="F317" s="1" t="s">
        <v>1520</v>
      </c>
      <c r="G317" s="1" t="s">
        <v>46</v>
      </c>
      <c r="H317" s="1" t="s">
        <v>36</v>
      </c>
      <c r="I317" s="1" t="s">
        <v>24</v>
      </c>
      <c r="J317" s="1" t="s">
        <v>34</v>
      </c>
      <c r="K317" s="1" t="s">
        <v>1763</v>
      </c>
      <c r="L317" s="1" t="s">
        <v>1759</v>
      </c>
      <c r="M317" s="41">
        <v>46302</v>
      </c>
    </row>
    <row r="318" spans="1:13" x14ac:dyDescent="0.25">
      <c r="A318" s="1" t="s">
        <v>1757</v>
      </c>
      <c r="B318" s="1" t="s">
        <v>72</v>
      </c>
      <c r="C318" s="1" t="s">
        <v>7</v>
      </c>
      <c r="D318" s="1" t="s">
        <v>1415</v>
      </c>
      <c r="E318" s="1" t="s">
        <v>1416</v>
      </c>
      <c r="F318" s="1" t="s">
        <v>1520</v>
      </c>
      <c r="G318" s="1" t="s">
        <v>46</v>
      </c>
      <c r="H318" s="1" t="s">
        <v>36</v>
      </c>
      <c r="I318" s="1" t="s">
        <v>25</v>
      </c>
      <c r="J318" s="1" t="s">
        <v>34</v>
      </c>
      <c r="K318" s="1" t="s">
        <v>1764</v>
      </c>
      <c r="L318" s="1" t="s">
        <v>1759</v>
      </c>
      <c r="M318" s="41">
        <v>46302</v>
      </c>
    </row>
    <row r="319" spans="1:13" x14ac:dyDescent="0.25">
      <c r="A319" s="1" t="s">
        <v>1757</v>
      </c>
      <c r="B319" s="1" t="s">
        <v>72</v>
      </c>
      <c r="C319" s="1" t="s">
        <v>7</v>
      </c>
      <c r="D319" s="1" t="s">
        <v>1415</v>
      </c>
      <c r="E319" s="1" t="s">
        <v>1416</v>
      </c>
      <c r="F319" s="1" t="s">
        <v>1520</v>
      </c>
      <c r="G319" s="1" t="s">
        <v>46</v>
      </c>
      <c r="H319" s="1" t="s">
        <v>36</v>
      </c>
      <c r="I319" s="1" t="s">
        <v>26</v>
      </c>
      <c r="J319" s="1" t="s">
        <v>34</v>
      </c>
      <c r="K319" s="1" t="s">
        <v>1765</v>
      </c>
      <c r="L319" s="1" t="s">
        <v>1759</v>
      </c>
      <c r="M319" s="41">
        <v>46302</v>
      </c>
    </row>
    <row r="320" spans="1:13" x14ac:dyDescent="0.25">
      <c r="A320" s="1" t="s">
        <v>1757</v>
      </c>
      <c r="B320" s="1" t="s">
        <v>72</v>
      </c>
      <c r="C320" s="1" t="s">
        <v>7</v>
      </c>
      <c r="D320" s="1" t="s">
        <v>1415</v>
      </c>
      <c r="E320" s="1" t="s">
        <v>1416</v>
      </c>
      <c r="F320" s="1" t="s">
        <v>1520</v>
      </c>
      <c r="G320" s="1" t="s">
        <v>46</v>
      </c>
      <c r="H320" s="1" t="s">
        <v>36</v>
      </c>
      <c r="I320" s="1" t="s">
        <v>27</v>
      </c>
      <c r="J320" s="1" t="s">
        <v>34</v>
      </c>
      <c r="K320" s="1" t="s">
        <v>1766</v>
      </c>
      <c r="L320" s="1" t="s">
        <v>1759</v>
      </c>
      <c r="M320" s="41">
        <v>46302</v>
      </c>
    </row>
    <row r="321" spans="1:13" x14ac:dyDescent="0.25">
      <c r="A321" s="1" t="s">
        <v>1757</v>
      </c>
      <c r="B321" s="1" t="s">
        <v>72</v>
      </c>
      <c r="C321" s="1" t="s">
        <v>7</v>
      </c>
      <c r="D321" s="1" t="s">
        <v>1415</v>
      </c>
      <c r="E321" s="1" t="s">
        <v>1416</v>
      </c>
      <c r="F321" s="1" t="s">
        <v>1520</v>
      </c>
      <c r="G321" s="1" t="s">
        <v>46</v>
      </c>
      <c r="H321" s="1" t="s">
        <v>36</v>
      </c>
      <c r="I321" s="1" t="s">
        <v>28</v>
      </c>
      <c r="J321" s="1" t="s">
        <v>34</v>
      </c>
      <c r="K321" s="1" t="s">
        <v>1767</v>
      </c>
      <c r="L321" s="1" t="s">
        <v>1759</v>
      </c>
      <c r="M321" s="41">
        <v>46302</v>
      </c>
    </row>
    <row r="322" spans="1:13" x14ac:dyDescent="0.25">
      <c r="A322" s="1" t="s">
        <v>1757</v>
      </c>
      <c r="B322" s="1" t="s">
        <v>72</v>
      </c>
      <c r="C322" s="1" t="s">
        <v>7</v>
      </c>
      <c r="D322" s="1" t="s">
        <v>1415</v>
      </c>
      <c r="E322" s="1" t="s">
        <v>1416</v>
      </c>
      <c r="F322" s="1" t="s">
        <v>1520</v>
      </c>
      <c r="G322" s="1" t="s">
        <v>46</v>
      </c>
      <c r="H322" s="1" t="s">
        <v>36</v>
      </c>
      <c r="I322" s="1" t="s">
        <v>29</v>
      </c>
      <c r="J322" s="1" t="s">
        <v>34</v>
      </c>
      <c r="K322" s="1" t="s">
        <v>1768</v>
      </c>
      <c r="L322" s="1" t="s">
        <v>1759</v>
      </c>
      <c r="M322" s="41">
        <v>46302</v>
      </c>
    </row>
    <row r="323" spans="1:13" x14ac:dyDescent="0.25">
      <c r="A323" s="1" t="s">
        <v>1757</v>
      </c>
      <c r="B323" s="1" t="s">
        <v>72</v>
      </c>
      <c r="C323" s="1" t="s">
        <v>7</v>
      </c>
      <c r="D323" s="1" t="s">
        <v>1415</v>
      </c>
      <c r="E323" s="1" t="s">
        <v>1416</v>
      </c>
      <c r="F323" s="1" t="s">
        <v>1520</v>
      </c>
      <c r="G323" s="1" t="s">
        <v>46</v>
      </c>
      <c r="H323" s="1" t="s">
        <v>36</v>
      </c>
      <c r="I323" s="1" t="s">
        <v>30</v>
      </c>
      <c r="J323" s="1" t="s">
        <v>34</v>
      </c>
      <c r="K323" s="1" t="s">
        <v>1769</v>
      </c>
      <c r="L323" s="1" t="s">
        <v>1759</v>
      </c>
      <c r="M323" s="41">
        <v>46302</v>
      </c>
    </row>
    <row r="324" spans="1:13" x14ac:dyDescent="0.25">
      <c r="A324" s="1" t="s">
        <v>1757</v>
      </c>
      <c r="B324" s="1" t="s">
        <v>72</v>
      </c>
      <c r="C324" s="1" t="s">
        <v>7</v>
      </c>
      <c r="D324" s="1" t="s">
        <v>1415</v>
      </c>
      <c r="E324" s="1" t="s">
        <v>1416</v>
      </c>
      <c r="F324" s="1" t="s">
        <v>1520</v>
      </c>
      <c r="G324" s="1" t="s">
        <v>46</v>
      </c>
      <c r="H324" s="1" t="s">
        <v>36</v>
      </c>
      <c r="I324" s="1" t="s">
        <v>31</v>
      </c>
      <c r="J324" s="1" t="s">
        <v>34</v>
      </c>
      <c r="K324" s="1" t="s">
        <v>1770</v>
      </c>
      <c r="L324" s="1" t="s">
        <v>1759</v>
      </c>
      <c r="M324" s="41">
        <v>46087</v>
      </c>
    </row>
    <row r="325" spans="1:13" x14ac:dyDescent="0.25">
      <c r="A325" s="1" t="s">
        <v>1757</v>
      </c>
      <c r="B325" s="1" t="s">
        <v>72</v>
      </c>
      <c r="C325" s="1" t="s">
        <v>7</v>
      </c>
      <c r="D325" s="1" t="s">
        <v>1415</v>
      </c>
      <c r="E325" s="1" t="s">
        <v>1416</v>
      </c>
      <c r="F325" s="1" t="s">
        <v>1520</v>
      </c>
      <c r="G325" s="1" t="s">
        <v>46</v>
      </c>
      <c r="H325" s="1" t="s">
        <v>36</v>
      </c>
      <c r="I325" s="1" t="s">
        <v>32</v>
      </c>
      <c r="J325" s="1" t="s">
        <v>34</v>
      </c>
      <c r="K325" s="1" t="s">
        <v>1771</v>
      </c>
      <c r="L325" s="1" t="s">
        <v>1759</v>
      </c>
      <c r="M325" s="41">
        <v>46302</v>
      </c>
    </row>
    <row r="326" spans="1:13" x14ac:dyDescent="0.25">
      <c r="A326" s="1" t="s">
        <v>1772</v>
      </c>
      <c r="B326" s="1" t="s">
        <v>72</v>
      </c>
      <c r="C326" s="1" t="s">
        <v>7</v>
      </c>
      <c r="D326" s="1" t="s">
        <v>1415</v>
      </c>
      <c r="E326" s="1" t="s">
        <v>1416</v>
      </c>
      <c r="F326" s="1" t="s">
        <v>1520</v>
      </c>
      <c r="G326" s="1" t="s">
        <v>68</v>
      </c>
      <c r="H326" s="1" t="s">
        <v>36</v>
      </c>
      <c r="I326" s="1" t="s">
        <v>20</v>
      </c>
      <c r="J326" s="1" t="s">
        <v>34</v>
      </c>
      <c r="K326" s="1" t="s">
        <v>1773</v>
      </c>
      <c r="L326" s="1" t="s">
        <v>1759</v>
      </c>
      <c r="M326" s="41">
        <v>46188</v>
      </c>
    </row>
    <row r="327" spans="1:13" x14ac:dyDescent="0.25">
      <c r="A327" s="1" t="s">
        <v>1772</v>
      </c>
      <c r="B327" s="1" t="s">
        <v>72</v>
      </c>
      <c r="C327" s="1" t="s">
        <v>7</v>
      </c>
      <c r="D327" s="1" t="s">
        <v>1415</v>
      </c>
      <c r="E327" s="1" t="s">
        <v>1416</v>
      </c>
      <c r="F327" s="1" t="s">
        <v>1520</v>
      </c>
      <c r="G327" s="1" t="s">
        <v>68</v>
      </c>
      <c r="H327" s="1" t="s">
        <v>36</v>
      </c>
      <c r="I327" s="1" t="s">
        <v>21</v>
      </c>
      <c r="J327" s="1" t="s">
        <v>34</v>
      </c>
      <c r="K327" s="1" t="s">
        <v>1774</v>
      </c>
      <c r="L327" s="1" t="s">
        <v>1759</v>
      </c>
      <c r="M327" s="41">
        <v>46302</v>
      </c>
    </row>
    <row r="328" spans="1:13" x14ac:dyDescent="0.25">
      <c r="A328" s="1" t="s">
        <v>1772</v>
      </c>
      <c r="B328" s="1" t="s">
        <v>72</v>
      </c>
      <c r="C328" s="1" t="s">
        <v>7</v>
      </c>
      <c r="D328" s="1" t="s">
        <v>1415</v>
      </c>
      <c r="E328" s="1" t="s">
        <v>1416</v>
      </c>
      <c r="F328" s="1" t="s">
        <v>1520</v>
      </c>
      <c r="G328" s="1" t="s">
        <v>68</v>
      </c>
      <c r="H328" s="1" t="s">
        <v>36</v>
      </c>
      <c r="I328" s="1" t="s">
        <v>22</v>
      </c>
      <c r="J328" s="1" t="s">
        <v>34</v>
      </c>
      <c r="K328" s="1" t="s">
        <v>1775</v>
      </c>
      <c r="L328" s="1" t="s">
        <v>1759</v>
      </c>
      <c r="M328" s="41">
        <v>46302</v>
      </c>
    </row>
    <row r="329" spans="1:13" x14ac:dyDescent="0.25">
      <c r="A329" s="1" t="s">
        <v>1772</v>
      </c>
      <c r="B329" s="1" t="s">
        <v>72</v>
      </c>
      <c r="C329" s="1" t="s">
        <v>7</v>
      </c>
      <c r="D329" s="1" t="s">
        <v>1415</v>
      </c>
      <c r="E329" s="1" t="s">
        <v>1416</v>
      </c>
      <c r="F329" s="1" t="s">
        <v>1520</v>
      </c>
      <c r="G329" s="1" t="s">
        <v>68</v>
      </c>
      <c r="H329" s="1" t="s">
        <v>36</v>
      </c>
      <c r="I329" s="1" t="s">
        <v>23</v>
      </c>
      <c r="J329" s="1" t="s">
        <v>34</v>
      </c>
      <c r="K329" s="1" t="s">
        <v>1776</v>
      </c>
      <c r="L329" s="1" t="s">
        <v>1759</v>
      </c>
      <c r="M329" s="41">
        <v>46302</v>
      </c>
    </row>
    <row r="330" spans="1:13" x14ac:dyDescent="0.25">
      <c r="A330" s="1" t="s">
        <v>1772</v>
      </c>
      <c r="B330" s="1" t="s">
        <v>72</v>
      </c>
      <c r="C330" s="1" t="s">
        <v>7</v>
      </c>
      <c r="D330" s="1" t="s">
        <v>1415</v>
      </c>
      <c r="E330" s="1" t="s">
        <v>1416</v>
      </c>
      <c r="F330" s="1" t="s">
        <v>1520</v>
      </c>
      <c r="G330" s="1" t="s">
        <v>68</v>
      </c>
      <c r="H330" s="1" t="s">
        <v>36</v>
      </c>
      <c r="I330" s="1" t="s">
        <v>24</v>
      </c>
      <c r="J330" s="1" t="s">
        <v>34</v>
      </c>
      <c r="K330" s="1" t="s">
        <v>1777</v>
      </c>
      <c r="L330" s="1" t="s">
        <v>1759</v>
      </c>
      <c r="M330" s="41">
        <v>46302</v>
      </c>
    </row>
    <row r="331" spans="1:13" x14ac:dyDescent="0.25">
      <c r="A331" s="1" t="s">
        <v>1772</v>
      </c>
      <c r="B331" s="1" t="s">
        <v>72</v>
      </c>
      <c r="C331" s="1" t="s">
        <v>7</v>
      </c>
      <c r="D331" s="1" t="s">
        <v>1415</v>
      </c>
      <c r="E331" s="1" t="s">
        <v>1416</v>
      </c>
      <c r="F331" s="1" t="s">
        <v>1520</v>
      </c>
      <c r="G331" s="1" t="s">
        <v>68</v>
      </c>
      <c r="H331" s="1" t="s">
        <v>36</v>
      </c>
      <c r="I331" s="1" t="s">
        <v>25</v>
      </c>
      <c r="J331" s="1" t="s">
        <v>34</v>
      </c>
      <c r="K331" s="1" t="s">
        <v>1778</v>
      </c>
      <c r="L331" s="1" t="s">
        <v>1759</v>
      </c>
      <c r="M331" s="41">
        <v>46188</v>
      </c>
    </row>
    <row r="332" spans="1:13" x14ac:dyDescent="0.25">
      <c r="A332" s="1" t="s">
        <v>1772</v>
      </c>
      <c r="B332" s="1" t="s">
        <v>72</v>
      </c>
      <c r="C332" s="1" t="s">
        <v>7</v>
      </c>
      <c r="D332" s="1" t="s">
        <v>1415</v>
      </c>
      <c r="E332" s="1" t="s">
        <v>1416</v>
      </c>
      <c r="F332" s="1" t="s">
        <v>1520</v>
      </c>
      <c r="G332" s="1" t="s">
        <v>68</v>
      </c>
      <c r="H332" s="1" t="s">
        <v>36</v>
      </c>
      <c r="I332" s="1" t="s">
        <v>26</v>
      </c>
      <c r="J332" s="1" t="s">
        <v>34</v>
      </c>
      <c r="K332" s="1" t="s">
        <v>1779</v>
      </c>
      <c r="L332" s="1" t="s">
        <v>1759</v>
      </c>
      <c r="M332" s="41">
        <v>46302</v>
      </c>
    </row>
    <row r="333" spans="1:13" x14ac:dyDescent="0.25">
      <c r="A333" s="1" t="s">
        <v>1772</v>
      </c>
      <c r="B333" s="1" t="s">
        <v>72</v>
      </c>
      <c r="C333" s="1" t="s">
        <v>7</v>
      </c>
      <c r="D333" s="1" t="s">
        <v>1415</v>
      </c>
      <c r="E333" s="1" t="s">
        <v>1416</v>
      </c>
      <c r="F333" s="1" t="s">
        <v>1520</v>
      </c>
      <c r="G333" s="1" t="s">
        <v>68</v>
      </c>
      <c r="H333" s="1" t="s">
        <v>36</v>
      </c>
      <c r="I333" s="1" t="s">
        <v>27</v>
      </c>
      <c r="J333" s="1" t="s">
        <v>34</v>
      </c>
      <c r="K333" s="1" t="s">
        <v>1780</v>
      </c>
      <c r="L333" s="1" t="s">
        <v>1759</v>
      </c>
      <c r="M333" s="41">
        <v>46302</v>
      </c>
    </row>
    <row r="334" spans="1:13" x14ac:dyDescent="0.25">
      <c r="A334" s="1" t="s">
        <v>1772</v>
      </c>
      <c r="B334" s="1" t="s">
        <v>72</v>
      </c>
      <c r="C334" s="1" t="s">
        <v>7</v>
      </c>
      <c r="D334" s="1" t="s">
        <v>1415</v>
      </c>
      <c r="E334" s="1" t="s">
        <v>1416</v>
      </c>
      <c r="F334" s="1" t="s">
        <v>1520</v>
      </c>
      <c r="G334" s="1" t="s">
        <v>68</v>
      </c>
      <c r="H334" s="1" t="s">
        <v>36</v>
      </c>
      <c r="I334" s="1" t="s">
        <v>28</v>
      </c>
      <c r="J334" s="1" t="s">
        <v>34</v>
      </c>
      <c r="K334" s="1" t="s">
        <v>1781</v>
      </c>
      <c r="L334" s="1" t="s">
        <v>1759</v>
      </c>
      <c r="M334" s="41">
        <v>46302</v>
      </c>
    </row>
    <row r="335" spans="1:13" x14ac:dyDescent="0.25">
      <c r="A335" s="1" t="s">
        <v>1772</v>
      </c>
      <c r="B335" s="1" t="s">
        <v>72</v>
      </c>
      <c r="C335" s="1" t="s">
        <v>7</v>
      </c>
      <c r="D335" s="1" t="s">
        <v>1415</v>
      </c>
      <c r="E335" s="1" t="s">
        <v>1416</v>
      </c>
      <c r="F335" s="1" t="s">
        <v>1520</v>
      </c>
      <c r="G335" s="1" t="s">
        <v>68</v>
      </c>
      <c r="H335" s="1" t="s">
        <v>36</v>
      </c>
      <c r="I335" s="1" t="s">
        <v>29</v>
      </c>
      <c r="J335" s="1" t="s">
        <v>34</v>
      </c>
      <c r="K335" s="1" t="s">
        <v>1782</v>
      </c>
      <c r="L335" s="1" t="s">
        <v>1759</v>
      </c>
      <c r="M335" s="41">
        <v>46188</v>
      </c>
    </row>
    <row r="336" spans="1:13" x14ac:dyDescent="0.25">
      <c r="A336" s="1" t="s">
        <v>1772</v>
      </c>
      <c r="B336" s="1" t="s">
        <v>72</v>
      </c>
      <c r="C336" s="1" t="s">
        <v>7</v>
      </c>
      <c r="D336" s="1" t="s">
        <v>1415</v>
      </c>
      <c r="E336" s="1" t="s">
        <v>1416</v>
      </c>
      <c r="F336" s="1" t="s">
        <v>1520</v>
      </c>
      <c r="G336" s="1" t="s">
        <v>68</v>
      </c>
      <c r="H336" s="1" t="s">
        <v>36</v>
      </c>
      <c r="I336" s="1" t="s">
        <v>30</v>
      </c>
      <c r="J336" s="1" t="s">
        <v>34</v>
      </c>
      <c r="K336" s="1" t="s">
        <v>1783</v>
      </c>
      <c r="L336" s="1" t="s">
        <v>1759</v>
      </c>
      <c r="M336" s="41">
        <v>46302</v>
      </c>
    </row>
    <row r="337" spans="1:13" x14ac:dyDescent="0.25">
      <c r="A337" s="1" t="s">
        <v>1772</v>
      </c>
      <c r="B337" s="1" t="s">
        <v>72</v>
      </c>
      <c r="C337" s="1" t="s">
        <v>7</v>
      </c>
      <c r="D337" s="1" t="s">
        <v>1415</v>
      </c>
      <c r="E337" s="1" t="s">
        <v>1416</v>
      </c>
      <c r="F337" s="1" t="s">
        <v>1520</v>
      </c>
      <c r="G337" s="1" t="s">
        <v>68</v>
      </c>
      <c r="H337" s="1" t="s">
        <v>36</v>
      </c>
      <c r="I337" s="1" t="s">
        <v>31</v>
      </c>
      <c r="J337" s="1" t="s">
        <v>34</v>
      </c>
      <c r="K337" s="1" t="s">
        <v>1784</v>
      </c>
      <c r="L337" s="1" t="s">
        <v>1759</v>
      </c>
      <c r="M337" s="41">
        <v>46188</v>
      </c>
    </row>
    <row r="338" spans="1:13" x14ac:dyDescent="0.25">
      <c r="A338" s="1" t="s">
        <v>1772</v>
      </c>
      <c r="B338" s="1" t="s">
        <v>72</v>
      </c>
      <c r="C338" s="1" t="s">
        <v>7</v>
      </c>
      <c r="D338" s="1" t="s">
        <v>1415</v>
      </c>
      <c r="E338" s="1" t="s">
        <v>1416</v>
      </c>
      <c r="F338" s="1" t="s">
        <v>1520</v>
      </c>
      <c r="G338" s="1" t="s">
        <v>68</v>
      </c>
      <c r="H338" s="1" t="s">
        <v>36</v>
      </c>
      <c r="I338" s="1" t="s">
        <v>32</v>
      </c>
      <c r="J338" s="1" t="s">
        <v>34</v>
      </c>
      <c r="K338" s="1" t="s">
        <v>1785</v>
      </c>
      <c r="L338" s="1" t="s">
        <v>1759</v>
      </c>
      <c r="M338" s="41">
        <v>46302</v>
      </c>
    </row>
    <row r="339" spans="1:13" x14ac:dyDescent="0.25">
      <c r="A339" s="1" t="s">
        <v>1786</v>
      </c>
      <c r="B339" s="1" t="s">
        <v>74</v>
      </c>
      <c r="C339" s="1" t="s">
        <v>7</v>
      </c>
      <c r="D339" s="1" t="s">
        <v>1415</v>
      </c>
      <c r="E339" s="1" t="s">
        <v>1416</v>
      </c>
      <c r="F339" s="1" t="s">
        <v>1520</v>
      </c>
      <c r="G339" s="1" t="s">
        <v>73</v>
      </c>
      <c r="H339" s="1" t="s">
        <v>36</v>
      </c>
      <c r="I339" s="1" t="s">
        <v>20</v>
      </c>
      <c r="J339" s="1" t="s">
        <v>34</v>
      </c>
      <c r="K339" s="1" t="s">
        <v>1787</v>
      </c>
      <c r="L339" s="1" t="s">
        <v>1522</v>
      </c>
      <c r="M339" s="41">
        <v>46109</v>
      </c>
    </row>
    <row r="340" spans="1:13" x14ac:dyDescent="0.25">
      <c r="A340" s="1" t="s">
        <v>1786</v>
      </c>
      <c r="B340" s="1" t="s">
        <v>74</v>
      </c>
      <c r="C340" s="1" t="s">
        <v>7</v>
      </c>
      <c r="D340" s="1" t="s">
        <v>1415</v>
      </c>
      <c r="E340" s="1" t="s">
        <v>1416</v>
      </c>
      <c r="F340" s="1" t="s">
        <v>1520</v>
      </c>
      <c r="G340" s="1" t="s">
        <v>73</v>
      </c>
      <c r="H340" s="1" t="s">
        <v>36</v>
      </c>
      <c r="I340" s="1" t="s">
        <v>21</v>
      </c>
      <c r="J340" s="1" t="s">
        <v>34</v>
      </c>
      <c r="K340" s="1" t="s">
        <v>1788</v>
      </c>
      <c r="L340" s="1" t="s">
        <v>1522</v>
      </c>
      <c r="M340" s="41">
        <v>46109</v>
      </c>
    </row>
    <row r="341" spans="1:13" x14ac:dyDescent="0.25">
      <c r="A341" s="1" t="s">
        <v>1786</v>
      </c>
      <c r="B341" s="1" t="s">
        <v>74</v>
      </c>
      <c r="C341" s="1" t="s">
        <v>7</v>
      </c>
      <c r="D341" s="1" t="s">
        <v>1415</v>
      </c>
      <c r="E341" s="1" t="s">
        <v>1416</v>
      </c>
      <c r="F341" s="1" t="s">
        <v>1520</v>
      </c>
      <c r="G341" s="1" t="s">
        <v>73</v>
      </c>
      <c r="H341" s="1" t="s">
        <v>36</v>
      </c>
      <c r="I341" s="1" t="s">
        <v>22</v>
      </c>
      <c r="J341" s="1" t="s">
        <v>34</v>
      </c>
      <c r="K341" s="1" t="s">
        <v>1789</v>
      </c>
      <c r="L341" s="1" t="s">
        <v>1522</v>
      </c>
      <c r="M341" s="41">
        <v>46109</v>
      </c>
    </row>
    <row r="342" spans="1:13" x14ac:dyDescent="0.25">
      <c r="A342" s="1" t="s">
        <v>1786</v>
      </c>
      <c r="B342" s="1" t="s">
        <v>74</v>
      </c>
      <c r="C342" s="1" t="s">
        <v>7</v>
      </c>
      <c r="D342" s="1" t="s">
        <v>1415</v>
      </c>
      <c r="E342" s="1" t="s">
        <v>1416</v>
      </c>
      <c r="F342" s="1" t="s">
        <v>1520</v>
      </c>
      <c r="G342" s="1" t="s">
        <v>73</v>
      </c>
      <c r="H342" s="1" t="s">
        <v>36</v>
      </c>
      <c r="I342" s="1" t="s">
        <v>23</v>
      </c>
      <c r="J342" s="1" t="s">
        <v>34</v>
      </c>
      <c r="K342" s="1" t="s">
        <v>1790</v>
      </c>
      <c r="L342" s="1" t="s">
        <v>1522</v>
      </c>
      <c r="M342" s="41">
        <v>46088</v>
      </c>
    </row>
    <row r="343" spans="1:13" x14ac:dyDescent="0.25">
      <c r="A343" s="1" t="s">
        <v>1786</v>
      </c>
      <c r="B343" s="1" t="s">
        <v>74</v>
      </c>
      <c r="C343" s="1" t="s">
        <v>7</v>
      </c>
      <c r="D343" s="1" t="s">
        <v>1415</v>
      </c>
      <c r="E343" s="1" t="s">
        <v>1416</v>
      </c>
      <c r="F343" s="1" t="s">
        <v>1520</v>
      </c>
      <c r="G343" s="1" t="s">
        <v>73</v>
      </c>
      <c r="H343" s="1" t="s">
        <v>36</v>
      </c>
      <c r="I343" s="1" t="s">
        <v>24</v>
      </c>
      <c r="J343" s="1" t="s">
        <v>34</v>
      </c>
      <c r="K343" s="1" t="s">
        <v>1791</v>
      </c>
      <c r="L343" s="1" t="s">
        <v>1522</v>
      </c>
      <c r="M343" s="41">
        <v>46087</v>
      </c>
    </row>
    <row r="344" spans="1:13" x14ac:dyDescent="0.25">
      <c r="A344" s="1" t="s">
        <v>1786</v>
      </c>
      <c r="B344" s="1" t="s">
        <v>74</v>
      </c>
      <c r="C344" s="1" t="s">
        <v>7</v>
      </c>
      <c r="D344" s="1" t="s">
        <v>1415</v>
      </c>
      <c r="E344" s="1" t="s">
        <v>1416</v>
      </c>
      <c r="F344" s="1" t="s">
        <v>1520</v>
      </c>
      <c r="G344" s="1" t="s">
        <v>73</v>
      </c>
      <c r="H344" s="1" t="s">
        <v>36</v>
      </c>
      <c r="I344" s="1" t="s">
        <v>25</v>
      </c>
      <c r="J344" s="1" t="s">
        <v>34</v>
      </c>
      <c r="K344" s="1" t="s">
        <v>1792</v>
      </c>
      <c r="L344" s="1" t="s">
        <v>1522</v>
      </c>
      <c r="M344" s="41">
        <v>46088</v>
      </c>
    </row>
    <row r="345" spans="1:13" x14ac:dyDescent="0.25">
      <c r="A345" s="1" t="s">
        <v>1786</v>
      </c>
      <c r="B345" s="1" t="s">
        <v>74</v>
      </c>
      <c r="C345" s="1" t="s">
        <v>7</v>
      </c>
      <c r="D345" s="1" t="s">
        <v>1415</v>
      </c>
      <c r="E345" s="1" t="s">
        <v>1416</v>
      </c>
      <c r="F345" s="1" t="s">
        <v>1520</v>
      </c>
      <c r="G345" s="1" t="s">
        <v>73</v>
      </c>
      <c r="H345" s="1" t="s">
        <v>36</v>
      </c>
      <c r="I345" s="1" t="s">
        <v>26</v>
      </c>
      <c r="J345" s="1" t="s">
        <v>34</v>
      </c>
      <c r="K345" s="1" t="s">
        <v>1793</v>
      </c>
      <c r="L345" s="1" t="s">
        <v>1522</v>
      </c>
      <c r="M345" s="41">
        <v>46087</v>
      </c>
    </row>
    <row r="346" spans="1:13" x14ac:dyDescent="0.25">
      <c r="A346" s="1" t="s">
        <v>1786</v>
      </c>
      <c r="B346" s="1" t="s">
        <v>74</v>
      </c>
      <c r="C346" s="1" t="s">
        <v>7</v>
      </c>
      <c r="D346" s="1" t="s">
        <v>1415</v>
      </c>
      <c r="E346" s="1" t="s">
        <v>1416</v>
      </c>
      <c r="F346" s="1" t="s">
        <v>1520</v>
      </c>
      <c r="G346" s="1" t="s">
        <v>73</v>
      </c>
      <c r="H346" s="1" t="s">
        <v>36</v>
      </c>
      <c r="I346" s="1" t="s">
        <v>27</v>
      </c>
      <c r="J346" s="1" t="s">
        <v>34</v>
      </c>
      <c r="K346" s="1" t="s">
        <v>1794</v>
      </c>
      <c r="L346" s="1" t="s">
        <v>1522</v>
      </c>
      <c r="M346" s="41">
        <v>46087</v>
      </c>
    </row>
    <row r="347" spans="1:13" x14ac:dyDescent="0.25">
      <c r="A347" s="1" t="s">
        <v>1786</v>
      </c>
      <c r="B347" s="1" t="s">
        <v>74</v>
      </c>
      <c r="C347" s="1" t="s">
        <v>7</v>
      </c>
      <c r="D347" s="1" t="s">
        <v>1415</v>
      </c>
      <c r="E347" s="1" t="s">
        <v>1416</v>
      </c>
      <c r="F347" s="1" t="s">
        <v>1520</v>
      </c>
      <c r="G347" s="1" t="s">
        <v>73</v>
      </c>
      <c r="H347" s="1" t="s">
        <v>36</v>
      </c>
      <c r="I347" s="1" t="s">
        <v>28</v>
      </c>
      <c r="J347" s="1" t="s">
        <v>34</v>
      </c>
      <c r="K347" s="1" t="s">
        <v>1795</v>
      </c>
      <c r="L347" s="1" t="s">
        <v>1522</v>
      </c>
      <c r="M347" s="41">
        <v>46087</v>
      </c>
    </row>
    <row r="348" spans="1:13" x14ac:dyDescent="0.25">
      <c r="A348" s="1" t="s">
        <v>1786</v>
      </c>
      <c r="B348" s="1" t="s">
        <v>74</v>
      </c>
      <c r="C348" s="1" t="s">
        <v>7</v>
      </c>
      <c r="D348" s="1" t="s">
        <v>1415</v>
      </c>
      <c r="E348" s="1" t="s">
        <v>1416</v>
      </c>
      <c r="F348" s="1" t="s">
        <v>1520</v>
      </c>
      <c r="G348" s="1" t="s">
        <v>73</v>
      </c>
      <c r="H348" s="1" t="s">
        <v>36</v>
      </c>
      <c r="I348" s="1" t="s">
        <v>29</v>
      </c>
      <c r="J348" s="1" t="s">
        <v>34</v>
      </c>
      <c r="K348" s="1" t="s">
        <v>1796</v>
      </c>
      <c r="L348" s="1" t="s">
        <v>1522</v>
      </c>
      <c r="M348" s="41">
        <v>46087</v>
      </c>
    </row>
    <row r="349" spans="1:13" x14ac:dyDescent="0.25">
      <c r="A349" s="1" t="s">
        <v>1786</v>
      </c>
      <c r="B349" s="1" t="s">
        <v>74</v>
      </c>
      <c r="C349" s="1" t="s">
        <v>7</v>
      </c>
      <c r="D349" s="1" t="s">
        <v>1415</v>
      </c>
      <c r="E349" s="1" t="s">
        <v>1416</v>
      </c>
      <c r="F349" s="1" t="s">
        <v>1520</v>
      </c>
      <c r="G349" s="1" t="s">
        <v>73</v>
      </c>
      <c r="H349" s="1" t="s">
        <v>36</v>
      </c>
      <c r="I349" s="1" t="s">
        <v>30</v>
      </c>
      <c r="J349" s="1" t="s">
        <v>34</v>
      </c>
      <c r="K349" s="1" t="s">
        <v>1797</v>
      </c>
      <c r="L349" s="1" t="s">
        <v>1522</v>
      </c>
      <c r="M349" s="41">
        <v>46109</v>
      </c>
    </row>
    <row r="350" spans="1:13" x14ac:dyDescent="0.25">
      <c r="A350" s="1" t="s">
        <v>1786</v>
      </c>
      <c r="B350" s="1" t="s">
        <v>74</v>
      </c>
      <c r="C350" s="1" t="s">
        <v>7</v>
      </c>
      <c r="D350" s="1" t="s">
        <v>1415</v>
      </c>
      <c r="E350" s="1" t="s">
        <v>1416</v>
      </c>
      <c r="F350" s="1" t="s">
        <v>1520</v>
      </c>
      <c r="G350" s="1" t="s">
        <v>73</v>
      </c>
      <c r="H350" s="1" t="s">
        <v>36</v>
      </c>
      <c r="I350" s="1" t="s">
        <v>31</v>
      </c>
      <c r="J350" s="1" t="s">
        <v>34</v>
      </c>
      <c r="K350" s="1" t="s">
        <v>1798</v>
      </c>
      <c r="L350" s="1" t="s">
        <v>1522</v>
      </c>
      <c r="M350" s="41">
        <v>46109</v>
      </c>
    </row>
    <row r="351" spans="1:13" x14ac:dyDescent="0.25">
      <c r="A351" s="1" t="s">
        <v>1786</v>
      </c>
      <c r="B351" s="1" t="s">
        <v>74</v>
      </c>
      <c r="C351" s="1" t="s">
        <v>7</v>
      </c>
      <c r="D351" s="1" t="s">
        <v>1415</v>
      </c>
      <c r="E351" s="1" t="s">
        <v>1416</v>
      </c>
      <c r="F351" s="1" t="s">
        <v>1520</v>
      </c>
      <c r="G351" s="1" t="s">
        <v>73</v>
      </c>
      <c r="H351" s="1" t="s">
        <v>36</v>
      </c>
      <c r="I351" s="1" t="s">
        <v>32</v>
      </c>
      <c r="J351" s="1" t="s">
        <v>34</v>
      </c>
      <c r="K351" s="1" t="s">
        <v>1799</v>
      </c>
      <c r="L351" s="1" t="s">
        <v>1522</v>
      </c>
      <c r="M351" s="41">
        <v>46109</v>
      </c>
    </row>
    <row r="352" spans="1:13" x14ac:dyDescent="0.25">
      <c r="A352" s="1" t="s">
        <v>1800</v>
      </c>
      <c r="B352" s="1" t="s">
        <v>74</v>
      </c>
      <c r="C352" s="1" t="s">
        <v>7</v>
      </c>
      <c r="D352" s="1" t="s">
        <v>1415</v>
      </c>
      <c r="E352" s="1" t="s">
        <v>1416</v>
      </c>
      <c r="F352" s="1" t="s">
        <v>1520</v>
      </c>
      <c r="G352" s="1" t="s">
        <v>46</v>
      </c>
      <c r="H352" s="1" t="s">
        <v>36</v>
      </c>
      <c r="I352" s="1" t="s">
        <v>20</v>
      </c>
      <c r="J352" s="1" t="s">
        <v>34</v>
      </c>
      <c r="K352" s="1" t="s">
        <v>1801</v>
      </c>
      <c r="L352" s="1" t="s">
        <v>1522</v>
      </c>
      <c r="M352" s="41">
        <v>46129</v>
      </c>
    </row>
    <row r="353" spans="1:13" x14ac:dyDescent="0.25">
      <c r="A353" s="1" t="s">
        <v>1800</v>
      </c>
      <c r="B353" s="1" t="s">
        <v>74</v>
      </c>
      <c r="C353" s="1" t="s">
        <v>7</v>
      </c>
      <c r="D353" s="1" t="s">
        <v>1415</v>
      </c>
      <c r="E353" s="1" t="s">
        <v>1416</v>
      </c>
      <c r="F353" s="1" t="s">
        <v>1520</v>
      </c>
      <c r="G353" s="1" t="s">
        <v>46</v>
      </c>
      <c r="H353" s="1" t="s">
        <v>36</v>
      </c>
      <c r="I353" s="1" t="s">
        <v>21</v>
      </c>
      <c r="J353" s="1" t="s">
        <v>34</v>
      </c>
      <c r="K353" s="1" t="s">
        <v>1802</v>
      </c>
      <c r="L353" s="1" t="s">
        <v>1522</v>
      </c>
      <c r="M353" s="41">
        <v>46129</v>
      </c>
    </row>
    <row r="354" spans="1:13" x14ac:dyDescent="0.25">
      <c r="A354" s="1" t="s">
        <v>1800</v>
      </c>
      <c r="B354" s="1" t="s">
        <v>74</v>
      </c>
      <c r="C354" s="1" t="s">
        <v>7</v>
      </c>
      <c r="D354" s="1" t="s">
        <v>1415</v>
      </c>
      <c r="E354" s="1" t="s">
        <v>1416</v>
      </c>
      <c r="F354" s="1" t="s">
        <v>1520</v>
      </c>
      <c r="G354" s="1" t="s">
        <v>46</v>
      </c>
      <c r="H354" s="1" t="s">
        <v>36</v>
      </c>
      <c r="I354" s="1" t="s">
        <v>22</v>
      </c>
      <c r="J354" s="1" t="s">
        <v>34</v>
      </c>
      <c r="K354" s="1" t="s">
        <v>1803</v>
      </c>
      <c r="L354" s="1" t="s">
        <v>1522</v>
      </c>
      <c r="M354" s="41">
        <v>46129</v>
      </c>
    </row>
    <row r="355" spans="1:13" x14ac:dyDescent="0.25">
      <c r="A355" s="1" t="s">
        <v>1800</v>
      </c>
      <c r="B355" s="1" t="s">
        <v>74</v>
      </c>
      <c r="C355" s="1" t="s">
        <v>7</v>
      </c>
      <c r="D355" s="1" t="s">
        <v>1415</v>
      </c>
      <c r="E355" s="1" t="s">
        <v>1416</v>
      </c>
      <c r="F355" s="1" t="s">
        <v>1520</v>
      </c>
      <c r="G355" s="1" t="s">
        <v>46</v>
      </c>
      <c r="H355" s="1" t="s">
        <v>36</v>
      </c>
      <c r="I355" s="1" t="s">
        <v>23</v>
      </c>
      <c r="J355" s="1" t="s">
        <v>34</v>
      </c>
      <c r="K355" s="1" t="s">
        <v>1804</v>
      </c>
      <c r="L355" s="1" t="s">
        <v>1522</v>
      </c>
      <c r="M355" s="41">
        <v>46087</v>
      </c>
    </row>
    <row r="356" spans="1:13" x14ac:dyDescent="0.25">
      <c r="A356" s="1" t="s">
        <v>1800</v>
      </c>
      <c r="B356" s="1" t="s">
        <v>74</v>
      </c>
      <c r="C356" s="1" t="s">
        <v>7</v>
      </c>
      <c r="D356" s="1" t="s">
        <v>1415</v>
      </c>
      <c r="E356" s="1" t="s">
        <v>1416</v>
      </c>
      <c r="F356" s="1" t="s">
        <v>1520</v>
      </c>
      <c r="G356" s="1" t="s">
        <v>46</v>
      </c>
      <c r="H356" s="1" t="s">
        <v>36</v>
      </c>
      <c r="I356" s="1" t="s">
        <v>24</v>
      </c>
      <c r="J356" s="1" t="s">
        <v>34</v>
      </c>
      <c r="K356" s="1" t="s">
        <v>1805</v>
      </c>
      <c r="L356" s="1" t="s">
        <v>1522</v>
      </c>
      <c r="M356" s="41">
        <v>46129</v>
      </c>
    </row>
    <row r="357" spans="1:13" x14ac:dyDescent="0.25">
      <c r="A357" s="1" t="s">
        <v>1800</v>
      </c>
      <c r="B357" s="1" t="s">
        <v>74</v>
      </c>
      <c r="C357" s="1" t="s">
        <v>7</v>
      </c>
      <c r="D357" s="1" t="s">
        <v>1415</v>
      </c>
      <c r="E357" s="1" t="s">
        <v>1416</v>
      </c>
      <c r="F357" s="1" t="s">
        <v>1520</v>
      </c>
      <c r="G357" s="1" t="s">
        <v>46</v>
      </c>
      <c r="H357" s="1" t="s">
        <v>36</v>
      </c>
      <c r="I357" s="1" t="s">
        <v>25</v>
      </c>
      <c r="J357" s="1" t="s">
        <v>34</v>
      </c>
      <c r="K357" s="1" t="s">
        <v>1806</v>
      </c>
      <c r="L357" s="1" t="s">
        <v>1522</v>
      </c>
      <c r="M357" s="41">
        <v>46129</v>
      </c>
    </row>
    <row r="358" spans="1:13" x14ac:dyDescent="0.25">
      <c r="A358" s="1" t="s">
        <v>1800</v>
      </c>
      <c r="B358" s="1" t="s">
        <v>74</v>
      </c>
      <c r="C358" s="1" t="s">
        <v>7</v>
      </c>
      <c r="D358" s="1" t="s">
        <v>1415</v>
      </c>
      <c r="E358" s="1" t="s">
        <v>1416</v>
      </c>
      <c r="F358" s="1" t="s">
        <v>1520</v>
      </c>
      <c r="G358" s="1" t="s">
        <v>46</v>
      </c>
      <c r="H358" s="1" t="s">
        <v>36</v>
      </c>
      <c r="I358" s="1" t="s">
        <v>26</v>
      </c>
      <c r="J358" s="1" t="s">
        <v>34</v>
      </c>
      <c r="K358" s="1" t="s">
        <v>1807</v>
      </c>
      <c r="L358" s="1" t="s">
        <v>1522</v>
      </c>
      <c r="M358" s="41">
        <v>46087</v>
      </c>
    </row>
    <row r="359" spans="1:13" x14ac:dyDescent="0.25">
      <c r="A359" s="1" t="s">
        <v>1800</v>
      </c>
      <c r="B359" s="1" t="s">
        <v>74</v>
      </c>
      <c r="C359" s="1" t="s">
        <v>7</v>
      </c>
      <c r="D359" s="1" t="s">
        <v>1415</v>
      </c>
      <c r="E359" s="1" t="s">
        <v>1416</v>
      </c>
      <c r="F359" s="1" t="s">
        <v>1520</v>
      </c>
      <c r="G359" s="1" t="s">
        <v>46</v>
      </c>
      <c r="H359" s="1" t="s">
        <v>36</v>
      </c>
      <c r="I359" s="1" t="s">
        <v>27</v>
      </c>
      <c r="J359" s="1" t="s">
        <v>34</v>
      </c>
      <c r="K359" s="1" t="s">
        <v>1808</v>
      </c>
      <c r="L359" s="1" t="s">
        <v>1522</v>
      </c>
      <c r="M359" s="41">
        <v>46129</v>
      </c>
    </row>
    <row r="360" spans="1:13" x14ac:dyDescent="0.25">
      <c r="A360" s="1" t="s">
        <v>1800</v>
      </c>
      <c r="B360" s="1" t="s">
        <v>74</v>
      </c>
      <c r="C360" s="1" t="s">
        <v>7</v>
      </c>
      <c r="D360" s="1" t="s">
        <v>1415</v>
      </c>
      <c r="E360" s="1" t="s">
        <v>1416</v>
      </c>
      <c r="F360" s="1" t="s">
        <v>1520</v>
      </c>
      <c r="G360" s="1" t="s">
        <v>46</v>
      </c>
      <c r="H360" s="1" t="s">
        <v>36</v>
      </c>
      <c r="I360" s="1" t="s">
        <v>28</v>
      </c>
      <c r="J360" s="1" t="s">
        <v>34</v>
      </c>
      <c r="K360" s="1" t="s">
        <v>1809</v>
      </c>
      <c r="L360" s="1" t="s">
        <v>1522</v>
      </c>
      <c r="M360" s="41">
        <v>46129</v>
      </c>
    </row>
    <row r="361" spans="1:13" x14ac:dyDescent="0.25">
      <c r="A361" s="1" t="s">
        <v>1800</v>
      </c>
      <c r="B361" s="1" t="s">
        <v>74</v>
      </c>
      <c r="C361" s="1" t="s">
        <v>7</v>
      </c>
      <c r="D361" s="1" t="s">
        <v>1415</v>
      </c>
      <c r="E361" s="1" t="s">
        <v>1416</v>
      </c>
      <c r="F361" s="1" t="s">
        <v>1520</v>
      </c>
      <c r="G361" s="1" t="s">
        <v>46</v>
      </c>
      <c r="H361" s="1" t="s">
        <v>36</v>
      </c>
      <c r="I361" s="1" t="s">
        <v>29</v>
      </c>
      <c r="J361" s="1" t="s">
        <v>34</v>
      </c>
      <c r="K361" s="1" t="s">
        <v>1810</v>
      </c>
      <c r="L361" s="1" t="s">
        <v>1522</v>
      </c>
      <c r="M361" s="41">
        <v>46129</v>
      </c>
    </row>
    <row r="362" spans="1:13" x14ac:dyDescent="0.25">
      <c r="A362" s="1" t="s">
        <v>1800</v>
      </c>
      <c r="B362" s="1" t="s">
        <v>74</v>
      </c>
      <c r="C362" s="1" t="s">
        <v>7</v>
      </c>
      <c r="D362" s="1" t="s">
        <v>1415</v>
      </c>
      <c r="E362" s="1" t="s">
        <v>1416</v>
      </c>
      <c r="F362" s="1" t="s">
        <v>1520</v>
      </c>
      <c r="G362" s="1" t="s">
        <v>46</v>
      </c>
      <c r="H362" s="1" t="s">
        <v>36</v>
      </c>
      <c r="I362" s="1" t="s">
        <v>30</v>
      </c>
      <c r="J362" s="1" t="s">
        <v>34</v>
      </c>
      <c r="K362" s="1" t="s">
        <v>1811</v>
      </c>
      <c r="L362" s="1" t="s">
        <v>1522</v>
      </c>
      <c r="M362" s="41">
        <v>46129</v>
      </c>
    </row>
    <row r="363" spans="1:13" x14ac:dyDescent="0.25">
      <c r="A363" s="1" t="s">
        <v>1800</v>
      </c>
      <c r="B363" s="1" t="s">
        <v>74</v>
      </c>
      <c r="C363" s="1" t="s">
        <v>7</v>
      </c>
      <c r="D363" s="1" t="s">
        <v>1415</v>
      </c>
      <c r="E363" s="1" t="s">
        <v>1416</v>
      </c>
      <c r="F363" s="1" t="s">
        <v>1520</v>
      </c>
      <c r="G363" s="1" t="s">
        <v>46</v>
      </c>
      <c r="H363" s="1" t="s">
        <v>36</v>
      </c>
      <c r="I363" s="1" t="s">
        <v>31</v>
      </c>
      <c r="J363" s="1" t="s">
        <v>34</v>
      </c>
      <c r="K363" s="1" t="s">
        <v>1812</v>
      </c>
      <c r="L363" s="1" t="s">
        <v>1522</v>
      </c>
      <c r="M363" s="41">
        <v>46087</v>
      </c>
    </row>
    <row r="364" spans="1:13" x14ac:dyDescent="0.25">
      <c r="A364" s="1" t="s">
        <v>1800</v>
      </c>
      <c r="B364" s="1" t="s">
        <v>74</v>
      </c>
      <c r="C364" s="1" t="s">
        <v>7</v>
      </c>
      <c r="D364" s="1" t="s">
        <v>1415</v>
      </c>
      <c r="E364" s="1" t="s">
        <v>1416</v>
      </c>
      <c r="F364" s="1" t="s">
        <v>1520</v>
      </c>
      <c r="G364" s="1" t="s">
        <v>46</v>
      </c>
      <c r="H364" s="1" t="s">
        <v>36</v>
      </c>
      <c r="I364" s="1" t="s">
        <v>32</v>
      </c>
      <c r="J364" s="1" t="s">
        <v>34</v>
      </c>
      <c r="K364" s="1" t="s">
        <v>1813</v>
      </c>
      <c r="L364" s="1" t="s">
        <v>1522</v>
      </c>
      <c r="M364" s="41">
        <v>46129</v>
      </c>
    </row>
    <row r="365" spans="1:13" x14ac:dyDescent="0.25">
      <c r="A365" s="1" t="s">
        <v>1814</v>
      </c>
      <c r="B365" s="1" t="s">
        <v>75</v>
      </c>
      <c r="C365" s="1" t="s">
        <v>7</v>
      </c>
      <c r="D365" s="1" t="s">
        <v>1415</v>
      </c>
      <c r="E365" s="1" t="s">
        <v>1416</v>
      </c>
      <c r="F365" s="1" t="s">
        <v>1520</v>
      </c>
      <c r="G365" s="1" t="s">
        <v>46</v>
      </c>
      <c r="H365" s="1" t="s">
        <v>36</v>
      </c>
      <c r="I365" s="1" t="s">
        <v>20</v>
      </c>
      <c r="J365" s="1" t="s">
        <v>34</v>
      </c>
      <c r="K365" s="1" t="s">
        <v>1815</v>
      </c>
      <c r="L365" s="1" t="s">
        <v>1816</v>
      </c>
      <c r="M365" s="41">
        <v>46087</v>
      </c>
    </row>
    <row r="366" spans="1:13" x14ac:dyDescent="0.25">
      <c r="A366" s="1" t="s">
        <v>1814</v>
      </c>
      <c r="B366" s="1" t="s">
        <v>75</v>
      </c>
      <c r="C366" s="1" t="s">
        <v>7</v>
      </c>
      <c r="D366" s="1" t="s">
        <v>1415</v>
      </c>
      <c r="E366" s="1" t="s">
        <v>1416</v>
      </c>
      <c r="F366" s="1" t="s">
        <v>1520</v>
      </c>
      <c r="G366" s="1" t="s">
        <v>46</v>
      </c>
      <c r="H366" s="1" t="s">
        <v>36</v>
      </c>
      <c r="I366" s="1" t="s">
        <v>21</v>
      </c>
      <c r="J366" s="1" t="s">
        <v>34</v>
      </c>
      <c r="K366" s="1" t="s">
        <v>1817</v>
      </c>
      <c r="L366" s="1" t="s">
        <v>1816</v>
      </c>
      <c r="M366" s="41">
        <v>46087</v>
      </c>
    </row>
    <row r="367" spans="1:13" x14ac:dyDescent="0.25">
      <c r="A367" s="1" t="s">
        <v>1814</v>
      </c>
      <c r="B367" s="1" t="s">
        <v>75</v>
      </c>
      <c r="C367" s="1" t="s">
        <v>7</v>
      </c>
      <c r="D367" s="1" t="s">
        <v>1415</v>
      </c>
      <c r="E367" s="1" t="s">
        <v>1416</v>
      </c>
      <c r="F367" s="1" t="s">
        <v>1520</v>
      </c>
      <c r="G367" s="1" t="s">
        <v>46</v>
      </c>
      <c r="H367" s="1" t="s">
        <v>36</v>
      </c>
      <c r="I367" s="1" t="s">
        <v>22</v>
      </c>
      <c r="J367" s="1" t="s">
        <v>34</v>
      </c>
      <c r="K367" s="1" t="s">
        <v>1818</v>
      </c>
      <c r="L367" s="1" t="s">
        <v>1816</v>
      </c>
      <c r="M367" s="41">
        <v>46087</v>
      </c>
    </row>
    <row r="368" spans="1:13" x14ac:dyDescent="0.25">
      <c r="A368" s="1" t="s">
        <v>1814</v>
      </c>
      <c r="B368" s="1" t="s">
        <v>75</v>
      </c>
      <c r="C368" s="1" t="s">
        <v>7</v>
      </c>
      <c r="D368" s="1" t="s">
        <v>1415</v>
      </c>
      <c r="E368" s="1" t="s">
        <v>1416</v>
      </c>
      <c r="F368" s="1" t="s">
        <v>1520</v>
      </c>
      <c r="G368" s="1" t="s">
        <v>46</v>
      </c>
      <c r="H368" s="1" t="s">
        <v>36</v>
      </c>
      <c r="I368" s="1" t="s">
        <v>23</v>
      </c>
      <c r="J368" s="1" t="s">
        <v>34</v>
      </c>
      <c r="K368" s="1" t="s">
        <v>1819</v>
      </c>
      <c r="L368" s="1" t="s">
        <v>1816</v>
      </c>
      <c r="M368" s="41">
        <v>46087</v>
      </c>
    </row>
    <row r="369" spans="1:13" x14ac:dyDescent="0.25">
      <c r="A369" s="1" t="s">
        <v>1814</v>
      </c>
      <c r="B369" s="1" t="s">
        <v>75</v>
      </c>
      <c r="C369" s="1" t="s">
        <v>7</v>
      </c>
      <c r="D369" s="1" t="s">
        <v>1415</v>
      </c>
      <c r="E369" s="1" t="s">
        <v>1416</v>
      </c>
      <c r="F369" s="1" t="s">
        <v>1520</v>
      </c>
      <c r="G369" s="1" t="s">
        <v>46</v>
      </c>
      <c r="H369" s="1" t="s">
        <v>36</v>
      </c>
      <c r="I369" s="1" t="s">
        <v>24</v>
      </c>
      <c r="J369" s="1" t="s">
        <v>34</v>
      </c>
      <c r="K369" s="1" t="s">
        <v>1820</v>
      </c>
      <c r="L369" s="1" t="s">
        <v>1816</v>
      </c>
      <c r="M369" s="41">
        <v>46087</v>
      </c>
    </row>
    <row r="370" spans="1:13" x14ac:dyDescent="0.25">
      <c r="A370" s="1" t="s">
        <v>1814</v>
      </c>
      <c r="B370" s="1" t="s">
        <v>75</v>
      </c>
      <c r="C370" s="1" t="s">
        <v>7</v>
      </c>
      <c r="D370" s="1" t="s">
        <v>1415</v>
      </c>
      <c r="E370" s="1" t="s">
        <v>1416</v>
      </c>
      <c r="F370" s="1" t="s">
        <v>1520</v>
      </c>
      <c r="G370" s="1" t="s">
        <v>46</v>
      </c>
      <c r="H370" s="1" t="s">
        <v>36</v>
      </c>
      <c r="I370" s="1" t="s">
        <v>25</v>
      </c>
      <c r="J370" s="1" t="s">
        <v>34</v>
      </c>
      <c r="K370" s="1" t="s">
        <v>1821</v>
      </c>
      <c r="L370" s="1" t="s">
        <v>1816</v>
      </c>
      <c r="M370" s="41">
        <v>46087</v>
      </c>
    </row>
    <row r="371" spans="1:13" x14ac:dyDescent="0.25">
      <c r="A371" s="1" t="s">
        <v>1814</v>
      </c>
      <c r="B371" s="1" t="s">
        <v>75</v>
      </c>
      <c r="C371" s="1" t="s">
        <v>7</v>
      </c>
      <c r="D371" s="1" t="s">
        <v>1415</v>
      </c>
      <c r="E371" s="1" t="s">
        <v>1416</v>
      </c>
      <c r="F371" s="1" t="s">
        <v>1520</v>
      </c>
      <c r="G371" s="1" t="s">
        <v>46</v>
      </c>
      <c r="H371" s="1" t="s">
        <v>36</v>
      </c>
      <c r="I371" s="1" t="s">
        <v>26</v>
      </c>
      <c r="J371" s="1" t="s">
        <v>34</v>
      </c>
      <c r="K371" s="1" t="s">
        <v>1822</v>
      </c>
      <c r="L371" s="1" t="s">
        <v>1816</v>
      </c>
      <c r="M371" s="41">
        <v>46087</v>
      </c>
    </row>
    <row r="372" spans="1:13" x14ac:dyDescent="0.25">
      <c r="A372" s="1" t="s">
        <v>1814</v>
      </c>
      <c r="B372" s="1" t="s">
        <v>75</v>
      </c>
      <c r="C372" s="1" t="s">
        <v>7</v>
      </c>
      <c r="D372" s="1" t="s">
        <v>1415</v>
      </c>
      <c r="E372" s="1" t="s">
        <v>1416</v>
      </c>
      <c r="F372" s="1" t="s">
        <v>1520</v>
      </c>
      <c r="G372" s="1" t="s">
        <v>46</v>
      </c>
      <c r="H372" s="1" t="s">
        <v>36</v>
      </c>
      <c r="I372" s="1" t="s">
        <v>27</v>
      </c>
      <c r="J372" s="1" t="s">
        <v>34</v>
      </c>
      <c r="K372" s="1" t="s">
        <v>1823</v>
      </c>
      <c r="L372" s="1" t="s">
        <v>1816</v>
      </c>
      <c r="M372" s="41">
        <v>46087</v>
      </c>
    </row>
    <row r="373" spans="1:13" x14ac:dyDescent="0.25">
      <c r="A373" s="1" t="s">
        <v>1814</v>
      </c>
      <c r="B373" s="1" t="s">
        <v>75</v>
      </c>
      <c r="C373" s="1" t="s">
        <v>7</v>
      </c>
      <c r="D373" s="1" t="s">
        <v>1415</v>
      </c>
      <c r="E373" s="1" t="s">
        <v>1416</v>
      </c>
      <c r="F373" s="1" t="s">
        <v>1520</v>
      </c>
      <c r="G373" s="1" t="s">
        <v>46</v>
      </c>
      <c r="H373" s="1" t="s">
        <v>36</v>
      </c>
      <c r="I373" s="1" t="s">
        <v>28</v>
      </c>
      <c r="J373" s="1" t="s">
        <v>34</v>
      </c>
      <c r="K373" s="1" t="s">
        <v>1824</v>
      </c>
      <c r="L373" s="1" t="s">
        <v>1816</v>
      </c>
      <c r="M373" s="41">
        <v>46087</v>
      </c>
    </row>
    <row r="374" spans="1:13" x14ac:dyDescent="0.25">
      <c r="A374" s="1" t="s">
        <v>1814</v>
      </c>
      <c r="B374" s="1" t="s">
        <v>75</v>
      </c>
      <c r="C374" s="1" t="s">
        <v>7</v>
      </c>
      <c r="D374" s="1" t="s">
        <v>1415</v>
      </c>
      <c r="E374" s="1" t="s">
        <v>1416</v>
      </c>
      <c r="F374" s="1" t="s">
        <v>1520</v>
      </c>
      <c r="G374" s="1" t="s">
        <v>46</v>
      </c>
      <c r="H374" s="1" t="s">
        <v>36</v>
      </c>
      <c r="I374" s="1" t="s">
        <v>56</v>
      </c>
      <c r="J374" s="1" t="s">
        <v>34</v>
      </c>
      <c r="K374" s="1" t="s">
        <v>1825</v>
      </c>
      <c r="L374" s="1" t="s">
        <v>1816</v>
      </c>
      <c r="M374" s="41" t="s">
        <v>9</v>
      </c>
    </row>
    <row r="375" spans="1:13" x14ac:dyDescent="0.25">
      <c r="A375" s="1" t="s">
        <v>1814</v>
      </c>
      <c r="B375" s="1" t="s">
        <v>75</v>
      </c>
      <c r="C375" s="1" t="s">
        <v>7</v>
      </c>
      <c r="D375" s="1" t="s">
        <v>1415</v>
      </c>
      <c r="E375" s="1" t="s">
        <v>1416</v>
      </c>
      <c r="F375" s="1" t="s">
        <v>1520</v>
      </c>
      <c r="G375" s="1" t="s">
        <v>46</v>
      </c>
      <c r="H375" s="1" t="s">
        <v>36</v>
      </c>
      <c r="I375" s="1" t="s">
        <v>29</v>
      </c>
      <c r="J375" s="1" t="s">
        <v>34</v>
      </c>
      <c r="K375" s="1" t="s">
        <v>1826</v>
      </c>
      <c r="L375" s="1" t="s">
        <v>1816</v>
      </c>
      <c r="M375" s="41">
        <v>46087</v>
      </c>
    </row>
    <row r="376" spans="1:13" x14ac:dyDescent="0.25">
      <c r="A376" s="1" t="s">
        <v>1814</v>
      </c>
      <c r="B376" s="1" t="s">
        <v>75</v>
      </c>
      <c r="C376" s="1" t="s">
        <v>7</v>
      </c>
      <c r="D376" s="1" t="s">
        <v>1415</v>
      </c>
      <c r="E376" s="1" t="s">
        <v>1416</v>
      </c>
      <c r="F376" s="1" t="s">
        <v>1520</v>
      </c>
      <c r="G376" s="1" t="s">
        <v>46</v>
      </c>
      <c r="H376" s="1" t="s">
        <v>36</v>
      </c>
      <c r="I376" s="1" t="s">
        <v>30</v>
      </c>
      <c r="J376" s="1" t="s">
        <v>34</v>
      </c>
      <c r="K376" s="1" t="s">
        <v>1827</v>
      </c>
      <c r="L376" s="1" t="s">
        <v>1816</v>
      </c>
      <c r="M376" s="41">
        <v>46087</v>
      </c>
    </row>
    <row r="377" spans="1:13" x14ac:dyDescent="0.25">
      <c r="A377" s="1" t="s">
        <v>1814</v>
      </c>
      <c r="B377" s="1" t="s">
        <v>75</v>
      </c>
      <c r="C377" s="1" t="s">
        <v>7</v>
      </c>
      <c r="D377" s="1" t="s">
        <v>1415</v>
      </c>
      <c r="E377" s="1" t="s">
        <v>1416</v>
      </c>
      <c r="F377" s="1" t="s">
        <v>1520</v>
      </c>
      <c r="G377" s="1" t="s">
        <v>46</v>
      </c>
      <c r="H377" s="1" t="s">
        <v>36</v>
      </c>
      <c r="I377" s="1" t="s">
        <v>31</v>
      </c>
      <c r="J377" s="1" t="s">
        <v>34</v>
      </c>
      <c r="K377" s="1" t="s">
        <v>1828</v>
      </c>
      <c r="L377" s="1" t="s">
        <v>1816</v>
      </c>
      <c r="M377" s="41">
        <v>46087</v>
      </c>
    </row>
    <row r="378" spans="1:13" x14ac:dyDescent="0.25">
      <c r="A378" s="1" t="s">
        <v>1814</v>
      </c>
      <c r="B378" s="1" t="s">
        <v>75</v>
      </c>
      <c r="C378" s="1" t="s">
        <v>7</v>
      </c>
      <c r="D378" s="1" t="s">
        <v>1415</v>
      </c>
      <c r="E378" s="1" t="s">
        <v>1416</v>
      </c>
      <c r="F378" s="1" t="s">
        <v>1520</v>
      </c>
      <c r="G378" s="1" t="s">
        <v>46</v>
      </c>
      <c r="H378" s="1" t="s">
        <v>36</v>
      </c>
      <c r="I378" s="1" t="s">
        <v>32</v>
      </c>
      <c r="J378" s="1" t="s">
        <v>34</v>
      </c>
      <c r="K378" s="1" t="s">
        <v>1829</v>
      </c>
      <c r="L378" s="1" t="s">
        <v>1816</v>
      </c>
      <c r="M378" s="41">
        <v>46188</v>
      </c>
    </row>
    <row r="379" spans="1:13" x14ac:dyDescent="0.25">
      <c r="A379" s="1" t="s">
        <v>1830</v>
      </c>
      <c r="B379" s="1" t="s">
        <v>75</v>
      </c>
      <c r="C379" s="1" t="s">
        <v>7</v>
      </c>
      <c r="D379" s="1" t="s">
        <v>1415</v>
      </c>
      <c r="E379" s="1" t="s">
        <v>1416</v>
      </c>
      <c r="F379" s="1" t="s">
        <v>1520</v>
      </c>
      <c r="G379" s="1" t="s">
        <v>68</v>
      </c>
      <c r="H379" s="1" t="s">
        <v>36</v>
      </c>
      <c r="I379" s="1" t="s">
        <v>20</v>
      </c>
      <c r="J379" s="1" t="s">
        <v>57</v>
      </c>
      <c r="K379" s="1" t="s">
        <v>1831</v>
      </c>
      <c r="L379" s="1" t="s">
        <v>1816</v>
      </c>
      <c r="M379" s="41" t="s">
        <v>9</v>
      </c>
    </row>
    <row r="380" spans="1:13" x14ac:dyDescent="0.25">
      <c r="A380" s="1" t="s">
        <v>1830</v>
      </c>
      <c r="B380" s="1" t="s">
        <v>75</v>
      </c>
      <c r="C380" s="1" t="s">
        <v>7</v>
      </c>
      <c r="D380" s="1" t="s">
        <v>1415</v>
      </c>
      <c r="E380" s="1" t="s">
        <v>1416</v>
      </c>
      <c r="F380" s="1" t="s">
        <v>1520</v>
      </c>
      <c r="G380" s="1" t="s">
        <v>68</v>
      </c>
      <c r="H380" s="1" t="s">
        <v>36</v>
      </c>
      <c r="I380" s="1" t="s">
        <v>21</v>
      </c>
      <c r="J380" s="1" t="s">
        <v>57</v>
      </c>
      <c r="K380" s="1" t="s">
        <v>1832</v>
      </c>
      <c r="L380" s="1" t="s">
        <v>1816</v>
      </c>
      <c r="M380" s="41" t="s">
        <v>9</v>
      </c>
    </row>
    <row r="381" spans="1:13" x14ac:dyDescent="0.25">
      <c r="A381" s="1" t="s">
        <v>1830</v>
      </c>
      <c r="B381" s="1" t="s">
        <v>75</v>
      </c>
      <c r="C381" s="1" t="s">
        <v>7</v>
      </c>
      <c r="D381" s="1" t="s">
        <v>1415</v>
      </c>
      <c r="E381" s="1" t="s">
        <v>1416</v>
      </c>
      <c r="F381" s="1" t="s">
        <v>1520</v>
      </c>
      <c r="G381" s="1" t="s">
        <v>68</v>
      </c>
      <c r="H381" s="1" t="s">
        <v>36</v>
      </c>
      <c r="I381" s="1" t="s">
        <v>22</v>
      </c>
      <c r="J381" s="1" t="s">
        <v>57</v>
      </c>
      <c r="K381" s="1" t="s">
        <v>1833</v>
      </c>
      <c r="L381" s="1" t="s">
        <v>1816</v>
      </c>
      <c r="M381" s="41" t="s">
        <v>9</v>
      </c>
    </row>
    <row r="382" spans="1:13" x14ac:dyDescent="0.25">
      <c r="A382" s="1" t="s">
        <v>1830</v>
      </c>
      <c r="B382" s="1" t="s">
        <v>75</v>
      </c>
      <c r="C382" s="1" t="s">
        <v>7</v>
      </c>
      <c r="D382" s="1" t="s">
        <v>1415</v>
      </c>
      <c r="E382" s="1" t="s">
        <v>1416</v>
      </c>
      <c r="F382" s="1" t="s">
        <v>1520</v>
      </c>
      <c r="G382" s="1" t="s">
        <v>68</v>
      </c>
      <c r="H382" s="1" t="s">
        <v>36</v>
      </c>
      <c r="I382" s="1" t="s">
        <v>23</v>
      </c>
      <c r="J382" s="1" t="s">
        <v>57</v>
      </c>
      <c r="K382" s="1" t="s">
        <v>1834</v>
      </c>
      <c r="L382" s="1" t="s">
        <v>1816</v>
      </c>
      <c r="M382" s="41" t="s">
        <v>9</v>
      </c>
    </row>
    <row r="383" spans="1:13" x14ac:dyDescent="0.25">
      <c r="A383" s="1" t="s">
        <v>1830</v>
      </c>
      <c r="B383" s="1" t="s">
        <v>75</v>
      </c>
      <c r="C383" s="1" t="s">
        <v>7</v>
      </c>
      <c r="D383" s="1" t="s">
        <v>1415</v>
      </c>
      <c r="E383" s="1" t="s">
        <v>1416</v>
      </c>
      <c r="F383" s="1" t="s">
        <v>1520</v>
      </c>
      <c r="G383" s="1" t="s">
        <v>68</v>
      </c>
      <c r="H383" s="1" t="s">
        <v>36</v>
      </c>
      <c r="I383" s="1" t="s">
        <v>24</v>
      </c>
      <c r="J383" s="1" t="s">
        <v>57</v>
      </c>
      <c r="K383" s="1" t="s">
        <v>1835</v>
      </c>
      <c r="L383" s="1" t="s">
        <v>1816</v>
      </c>
      <c r="M383" s="41" t="s">
        <v>9</v>
      </c>
    </row>
    <row r="384" spans="1:13" x14ac:dyDescent="0.25">
      <c r="A384" s="1" t="s">
        <v>1830</v>
      </c>
      <c r="B384" s="1" t="s">
        <v>75</v>
      </c>
      <c r="C384" s="1" t="s">
        <v>7</v>
      </c>
      <c r="D384" s="1" t="s">
        <v>1415</v>
      </c>
      <c r="E384" s="1" t="s">
        <v>1416</v>
      </c>
      <c r="F384" s="1" t="s">
        <v>1520</v>
      </c>
      <c r="G384" s="1" t="s">
        <v>68</v>
      </c>
      <c r="H384" s="1" t="s">
        <v>36</v>
      </c>
      <c r="I384" s="1" t="s">
        <v>25</v>
      </c>
      <c r="J384" s="1" t="s">
        <v>57</v>
      </c>
      <c r="K384" s="1" t="s">
        <v>1836</v>
      </c>
      <c r="L384" s="1" t="s">
        <v>1816</v>
      </c>
      <c r="M384" s="41" t="s">
        <v>9</v>
      </c>
    </row>
    <row r="385" spans="1:13" x14ac:dyDescent="0.25">
      <c r="A385" s="1" t="s">
        <v>1830</v>
      </c>
      <c r="B385" s="1" t="s">
        <v>75</v>
      </c>
      <c r="C385" s="1" t="s">
        <v>7</v>
      </c>
      <c r="D385" s="1" t="s">
        <v>1415</v>
      </c>
      <c r="E385" s="1" t="s">
        <v>1416</v>
      </c>
      <c r="F385" s="1" t="s">
        <v>1520</v>
      </c>
      <c r="G385" s="1" t="s">
        <v>68</v>
      </c>
      <c r="H385" s="1" t="s">
        <v>36</v>
      </c>
      <c r="I385" s="1" t="s">
        <v>26</v>
      </c>
      <c r="J385" s="1" t="s">
        <v>57</v>
      </c>
      <c r="K385" s="1" t="s">
        <v>1837</v>
      </c>
      <c r="L385" s="1" t="s">
        <v>1816</v>
      </c>
      <c r="M385" s="41" t="s">
        <v>9</v>
      </c>
    </row>
    <row r="386" spans="1:13" x14ac:dyDescent="0.25">
      <c r="A386" s="1" t="s">
        <v>1830</v>
      </c>
      <c r="B386" s="1" t="s">
        <v>75</v>
      </c>
      <c r="C386" s="1" t="s">
        <v>7</v>
      </c>
      <c r="D386" s="1" t="s">
        <v>1415</v>
      </c>
      <c r="E386" s="1" t="s">
        <v>1416</v>
      </c>
      <c r="F386" s="1" t="s">
        <v>1520</v>
      </c>
      <c r="G386" s="1" t="s">
        <v>68</v>
      </c>
      <c r="H386" s="1" t="s">
        <v>36</v>
      </c>
      <c r="I386" s="1" t="s">
        <v>27</v>
      </c>
      <c r="J386" s="1" t="s">
        <v>57</v>
      </c>
      <c r="K386" s="1" t="s">
        <v>1838</v>
      </c>
      <c r="L386" s="1" t="s">
        <v>1816</v>
      </c>
      <c r="M386" s="41" t="s">
        <v>9</v>
      </c>
    </row>
    <row r="387" spans="1:13" x14ac:dyDescent="0.25">
      <c r="A387" s="1" t="s">
        <v>1830</v>
      </c>
      <c r="B387" s="1" t="s">
        <v>75</v>
      </c>
      <c r="C387" s="1" t="s">
        <v>7</v>
      </c>
      <c r="D387" s="1" t="s">
        <v>1415</v>
      </c>
      <c r="E387" s="1" t="s">
        <v>1416</v>
      </c>
      <c r="F387" s="1" t="s">
        <v>1520</v>
      </c>
      <c r="G387" s="1" t="s">
        <v>68</v>
      </c>
      <c r="H387" s="1" t="s">
        <v>36</v>
      </c>
      <c r="I387" s="1" t="s">
        <v>28</v>
      </c>
      <c r="J387" s="1" t="s">
        <v>57</v>
      </c>
      <c r="K387" s="1" t="s">
        <v>1839</v>
      </c>
      <c r="L387" s="1" t="s">
        <v>1816</v>
      </c>
      <c r="M387" s="41" t="s">
        <v>9</v>
      </c>
    </row>
    <row r="388" spans="1:13" x14ac:dyDescent="0.25">
      <c r="A388" s="1" t="s">
        <v>1830</v>
      </c>
      <c r="B388" s="1" t="s">
        <v>75</v>
      </c>
      <c r="C388" s="1" t="s">
        <v>7</v>
      </c>
      <c r="D388" s="1" t="s">
        <v>1415</v>
      </c>
      <c r="E388" s="1" t="s">
        <v>1416</v>
      </c>
      <c r="F388" s="1" t="s">
        <v>1520</v>
      </c>
      <c r="G388" s="1" t="s">
        <v>68</v>
      </c>
      <c r="H388" s="1" t="s">
        <v>36</v>
      </c>
      <c r="I388" s="1" t="s">
        <v>56</v>
      </c>
      <c r="J388" s="1" t="s">
        <v>57</v>
      </c>
      <c r="K388" s="1" t="s">
        <v>1840</v>
      </c>
      <c r="L388" s="1" t="s">
        <v>1816</v>
      </c>
      <c r="M388" s="41" t="s">
        <v>9</v>
      </c>
    </row>
    <row r="389" spans="1:13" x14ac:dyDescent="0.25">
      <c r="A389" s="1" t="s">
        <v>1830</v>
      </c>
      <c r="B389" s="1" t="s">
        <v>75</v>
      </c>
      <c r="C389" s="1" t="s">
        <v>7</v>
      </c>
      <c r="D389" s="1" t="s">
        <v>1415</v>
      </c>
      <c r="E389" s="1" t="s">
        <v>1416</v>
      </c>
      <c r="F389" s="1" t="s">
        <v>1520</v>
      </c>
      <c r="G389" s="1" t="s">
        <v>68</v>
      </c>
      <c r="H389" s="1" t="s">
        <v>36</v>
      </c>
      <c r="I389" s="1" t="s">
        <v>29</v>
      </c>
      <c r="J389" s="1" t="s">
        <v>57</v>
      </c>
      <c r="K389" s="1" t="s">
        <v>1841</v>
      </c>
      <c r="L389" s="1" t="s">
        <v>1816</v>
      </c>
      <c r="M389" s="41" t="s">
        <v>9</v>
      </c>
    </row>
    <row r="390" spans="1:13" x14ac:dyDescent="0.25">
      <c r="A390" s="1" t="s">
        <v>1830</v>
      </c>
      <c r="B390" s="1" t="s">
        <v>75</v>
      </c>
      <c r="C390" s="1" t="s">
        <v>7</v>
      </c>
      <c r="D390" s="1" t="s">
        <v>1415</v>
      </c>
      <c r="E390" s="1" t="s">
        <v>1416</v>
      </c>
      <c r="F390" s="1" t="s">
        <v>1520</v>
      </c>
      <c r="G390" s="1" t="s">
        <v>68</v>
      </c>
      <c r="H390" s="1" t="s">
        <v>36</v>
      </c>
      <c r="I390" s="1" t="s">
        <v>30</v>
      </c>
      <c r="J390" s="1" t="s">
        <v>57</v>
      </c>
      <c r="K390" s="1" t="s">
        <v>1842</v>
      </c>
      <c r="L390" s="1" t="s">
        <v>1816</v>
      </c>
      <c r="M390" s="41" t="s">
        <v>9</v>
      </c>
    </row>
    <row r="391" spans="1:13" x14ac:dyDescent="0.25">
      <c r="A391" s="1" t="s">
        <v>1830</v>
      </c>
      <c r="B391" s="1" t="s">
        <v>75</v>
      </c>
      <c r="C391" s="1" t="s">
        <v>7</v>
      </c>
      <c r="D391" s="1" t="s">
        <v>1415</v>
      </c>
      <c r="E391" s="1" t="s">
        <v>1416</v>
      </c>
      <c r="F391" s="1" t="s">
        <v>1520</v>
      </c>
      <c r="G391" s="1" t="s">
        <v>68</v>
      </c>
      <c r="H391" s="1" t="s">
        <v>36</v>
      </c>
      <c r="I391" s="1" t="s">
        <v>31</v>
      </c>
      <c r="J391" s="1" t="s">
        <v>57</v>
      </c>
      <c r="K391" s="1" t="s">
        <v>1843</v>
      </c>
      <c r="L391" s="1" t="s">
        <v>1816</v>
      </c>
      <c r="M391" s="41" t="s">
        <v>9</v>
      </c>
    </row>
    <row r="392" spans="1:13" x14ac:dyDescent="0.25">
      <c r="A392" s="1" t="s">
        <v>1830</v>
      </c>
      <c r="B392" s="1" t="s">
        <v>75</v>
      </c>
      <c r="C392" s="1" t="s">
        <v>7</v>
      </c>
      <c r="D392" s="1" t="s">
        <v>1415</v>
      </c>
      <c r="E392" s="1" t="s">
        <v>1416</v>
      </c>
      <c r="F392" s="1" t="s">
        <v>1520</v>
      </c>
      <c r="G392" s="1" t="s">
        <v>68</v>
      </c>
      <c r="H392" s="1" t="s">
        <v>36</v>
      </c>
      <c r="I392" s="1" t="s">
        <v>32</v>
      </c>
      <c r="J392" s="1" t="s">
        <v>57</v>
      </c>
      <c r="K392" s="1" t="s">
        <v>1844</v>
      </c>
      <c r="L392" s="1" t="s">
        <v>1816</v>
      </c>
      <c r="M392" s="41" t="s">
        <v>9</v>
      </c>
    </row>
    <row r="393" spans="1:13" x14ac:dyDescent="0.25">
      <c r="A393" s="1" t="s">
        <v>1830</v>
      </c>
      <c r="B393" s="1" t="s">
        <v>75</v>
      </c>
      <c r="C393" s="1" t="s">
        <v>7</v>
      </c>
      <c r="D393" s="1" t="s">
        <v>1415</v>
      </c>
      <c r="E393" s="1" t="s">
        <v>1416</v>
      </c>
      <c r="F393" s="1" t="s">
        <v>1520</v>
      </c>
      <c r="G393" s="1" t="s">
        <v>68</v>
      </c>
      <c r="H393" s="1" t="s">
        <v>36</v>
      </c>
      <c r="I393" s="1" t="s">
        <v>20</v>
      </c>
      <c r="J393" s="1" t="s">
        <v>34</v>
      </c>
      <c r="K393" s="1" t="s">
        <v>1845</v>
      </c>
      <c r="L393" s="1" t="s">
        <v>1816</v>
      </c>
      <c r="M393" s="41">
        <v>46217</v>
      </c>
    </row>
    <row r="394" spans="1:13" x14ac:dyDescent="0.25">
      <c r="A394" s="1" t="s">
        <v>1830</v>
      </c>
      <c r="B394" s="1" t="s">
        <v>75</v>
      </c>
      <c r="C394" s="1" t="s">
        <v>7</v>
      </c>
      <c r="D394" s="1" t="s">
        <v>1415</v>
      </c>
      <c r="E394" s="1" t="s">
        <v>1416</v>
      </c>
      <c r="F394" s="1" t="s">
        <v>1520</v>
      </c>
      <c r="G394" s="1" t="s">
        <v>68</v>
      </c>
      <c r="H394" s="1" t="s">
        <v>36</v>
      </c>
      <c r="I394" s="1" t="s">
        <v>21</v>
      </c>
      <c r="J394" s="1" t="s">
        <v>34</v>
      </c>
      <c r="K394" s="1" t="s">
        <v>1846</v>
      </c>
      <c r="L394" s="1" t="s">
        <v>1816</v>
      </c>
      <c r="M394" s="41">
        <v>46217</v>
      </c>
    </row>
    <row r="395" spans="1:13" x14ac:dyDescent="0.25">
      <c r="A395" s="1" t="s">
        <v>1830</v>
      </c>
      <c r="B395" s="1" t="s">
        <v>75</v>
      </c>
      <c r="C395" s="1" t="s">
        <v>7</v>
      </c>
      <c r="D395" s="1" t="s">
        <v>1415</v>
      </c>
      <c r="E395" s="1" t="s">
        <v>1416</v>
      </c>
      <c r="F395" s="1" t="s">
        <v>1520</v>
      </c>
      <c r="G395" s="1" t="s">
        <v>68</v>
      </c>
      <c r="H395" s="1" t="s">
        <v>36</v>
      </c>
      <c r="I395" s="1" t="s">
        <v>22</v>
      </c>
      <c r="J395" s="1" t="s">
        <v>34</v>
      </c>
      <c r="K395" s="1" t="s">
        <v>1847</v>
      </c>
      <c r="L395" s="1" t="s">
        <v>1816</v>
      </c>
      <c r="M395" s="41">
        <v>46087</v>
      </c>
    </row>
    <row r="396" spans="1:13" x14ac:dyDescent="0.25">
      <c r="A396" s="1" t="s">
        <v>1830</v>
      </c>
      <c r="B396" s="1" t="s">
        <v>75</v>
      </c>
      <c r="C396" s="1" t="s">
        <v>7</v>
      </c>
      <c r="D396" s="1" t="s">
        <v>1415</v>
      </c>
      <c r="E396" s="1" t="s">
        <v>1416</v>
      </c>
      <c r="F396" s="1" t="s">
        <v>1520</v>
      </c>
      <c r="G396" s="1" t="s">
        <v>68</v>
      </c>
      <c r="H396" s="1" t="s">
        <v>36</v>
      </c>
      <c r="I396" s="1" t="s">
        <v>23</v>
      </c>
      <c r="J396" s="1" t="s">
        <v>34</v>
      </c>
      <c r="K396" s="1" t="s">
        <v>1848</v>
      </c>
      <c r="L396" s="1" t="s">
        <v>1816</v>
      </c>
      <c r="M396" s="41">
        <v>46087</v>
      </c>
    </row>
    <row r="397" spans="1:13" x14ac:dyDescent="0.25">
      <c r="A397" s="1" t="s">
        <v>1830</v>
      </c>
      <c r="B397" s="1" t="s">
        <v>75</v>
      </c>
      <c r="C397" s="1" t="s">
        <v>7</v>
      </c>
      <c r="D397" s="1" t="s">
        <v>1415</v>
      </c>
      <c r="E397" s="1" t="s">
        <v>1416</v>
      </c>
      <c r="F397" s="1" t="s">
        <v>1520</v>
      </c>
      <c r="G397" s="1" t="s">
        <v>68</v>
      </c>
      <c r="H397" s="1" t="s">
        <v>36</v>
      </c>
      <c r="I397" s="1" t="s">
        <v>24</v>
      </c>
      <c r="J397" s="1" t="s">
        <v>34</v>
      </c>
      <c r="K397" s="1" t="s">
        <v>1849</v>
      </c>
      <c r="L397" s="1" t="s">
        <v>1816</v>
      </c>
      <c r="M397" s="41">
        <v>46087</v>
      </c>
    </row>
    <row r="398" spans="1:13" x14ac:dyDescent="0.25">
      <c r="A398" s="1" t="s">
        <v>1830</v>
      </c>
      <c r="B398" s="1" t="s">
        <v>75</v>
      </c>
      <c r="C398" s="1" t="s">
        <v>7</v>
      </c>
      <c r="D398" s="1" t="s">
        <v>1415</v>
      </c>
      <c r="E398" s="1" t="s">
        <v>1416</v>
      </c>
      <c r="F398" s="1" t="s">
        <v>1520</v>
      </c>
      <c r="G398" s="1" t="s">
        <v>68</v>
      </c>
      <c r="H398" s="1" t="s">
        <v>36</v>
      </c>
      <c r="I398" s="1" t="s">
        <v>25</v>
      </c>
      <c r="J398" s="1" t="s">
        <v>34</v>
      </c>
      <c r="K398" s="1" t="s">
        <v>1850</v>
      </c>
      <c r="L398" s="1" t="s">
        <v>1816</v>
      </c>
      <c r="M398" s="41">
        <v>46087</v>
      </c>
    </row>
    <row r="399" spans="1:13" x14ac:dyDescent="0.25">
      <c r="A399" s="1" t="s">
        <v>1830</v>
      </c>
      <c r="B399" s="1" t="s">
        <v>75</v>
      </c>
      <c r="C399" s="1" t="s">
        <v>7</v>
      </c>
      <c r="D399" s="1" t="s">
        <v>1415</v>
      </c>
      <c r="E399" s="1" t="s">
        <v>1416</v>
      </c>
      <c r="F399" s="1" t="s">
        <v>1520</v>
      </c>
      <c r="G399" s="1" t="s">
        <v>68</v>
      </c>
      <c r="H399" s="1" t="s">
        <v>36</v>
      </c>
      <c r="I399" s="1" t="s">
        <v>26</v>
      </c>
      <c r="J399" s="1" t="s">
        <v>34</v>
      </c>
      <c r="K399" s="1" t="s">
        <v>1851</v>
      </c>
      <c r="L399" s="1" t="s">
        <v>1816</v>
      </c>
      <c r="M399" s="41">
        <v>46087</v>
      </c>
    </row>
    <row r="400" spans="1:13" x14ac:dyDescent="0.25">
      <c r="A400" s="1" t="s">
        <v>1830</v>
      </c>
      <c r="B400" s="1" t="s">
        <v>75</v>
      </c>
      <c r="C400" s="1" t="s">
        <v>7</v>
      </c>
      <c r="D400" s="1" t="s">
        <v>1415</v>
      </c>
      <c r="E400" s="1" t="s">
        <v>1416</v>
      </c>
      <c r="F400" s="1" t="s">
        <v>1520</v>
      </c>
      <c r="G400" s="1" t="s">
        <v>68</v>
      </c>
      <c r="H400" s="1" t="s">
        <v>36</v>
      </c>
      <c r="I400" s="1" t="s">
        <v>27</v>
      </c>
      <c r="J400" s="1" t="s">
        <v>34</v>
      </c>
      <c r="K400" s="1" t="s">
        <v>1852</v>
      </c>
      <c r="L400" s="1" t="s">
        <v>1816</v>
      </c>
      <c r="M400" s="41">
        <v>46087</v>
      </c>
    </row>
    <row r="401" spans="1:13" x14ac:dyDescent="0.25">
      <c r="A401" s="1" t="s">
        <v>1830</v>
      </c>
      <c r="B401" s="1" t="s">
        <v>75</v>
      </c>
      <c r="C401" s="1" t="s">
        <v>7</v>
      </c>
      <c r="D401" s="1" t="s">
        <v>1415</v>
      </c>
      <c r="E401" s="1" t="s">
        <v>1416</v>
      </c>
      <c r="F401" s="1" t="s">
        <v>1520</v>
      </c>
      <c r="G401" s="1" t="s">
        <v>68</v>
      </c>
      <c r="H401" s="1" t="s">
        <v>36</v>
      </c>
      <c r="I401" s="1" t="s">
        <v>28</v>
      </c>
      <c r="J401" s="1" t="s">
        <v>34</v>
      </c>
      <c r="K401" s="1" t="s">
        <v>1853</v>
      </c>
      <c r="L401" s="1" t="s">
        <v>1816</v>
      </c>
      <c r="M401" s="41">
        <v>46087</v>
      </c>
    </row>
    <row r="402" spans="1:13" x14ac:dyDescent="0.25">
      <c r="A402" s="1" t="s">
        <v>1830</v>
      </c>
      <c r="B402" s="1" t="s">
        <v>75</v>
      </c>
      <c r="C402" s="1" t="s">
        <v>7</v>
      </c>
      <c r="D402" s="1" t="s">
        <v>1415</v>
      </c>
      <c r="E402" s="1" t="s">
        <v>1416</v>
      </c>
      <c r="F402" s="1" t="s">
        <v>1520</v>
      </c>
      <c r="G402" s="1" t="s">
        <v>68</v>
      </c>
      <c r="H402" s="1" t="s">
        <v>36</v>
      </c>
      <c r="I402" s="1" t="s">
        <v>56</v>
      </c>
      <c r="J402" s="1" t="s">
        <v>34</v>
      </c>
      <c r="K402" s="1" t="s">
        <v>1854</v>
      </c>
      <c r="L402" s="1" t="s">
        <v>1816</v>
      </c>
      <c r="M402" s="41" t="s">
        <v>9</v>
      </c>
    </row>
    <row r="403" spans="1:13" x14ac:dyDescent="0.25">
      <c r="A403" s="1" t="s">
        <v>1830</v>
      </c>
      <c r="B403" s="1" t="s">
        <v>75</v>
      </c>
      <c r="C403" s="1" t="s">
        <v>7</v>
      </c>
      <c r="D403" s="1" t="s">
        <v>1415</v>
      </c>
      <c r="E403" s="1" t="s">
        <v>1416</v>
      </c>
      <c r="F403" s="1" t="s">
        <v>1520</v>
      </c>
      <c r="G403" s="1" t="s">
        <v>68</v>
      </c>
      <c r="H403" s="1" t="s">
        <v>36</v>
      </c>
      <c r="I403" s="1" t="s">
        <v>29</v>
      </c>
      <c r="J403" s="1" t="s">
        <v>34</v>
      </c>
      <c r="K403" s="1" t="s">
        <v>1855</v>
      </c>
      <c r="L403" s="1" t="s">
        <v>1816</v>
      </c>
      <c r="M403" s="41">
        <v>46309</v>
      </c>
    </row>
    <row r="404" spans="1:13" x14ac:dyDescent="0.25">
      <c r="A404" s="1" t="s">
        <v>1830</v>
      </c>
      <c r="B404" s="1" t="s">
        <v>75</v>
      </c>
      <c r="C404" s="1" t="s">
        <v>7</v>
      </c>
      <c r="D404" s="1" t="s">
        <v>1415</v>
      </c>
      <c r="E404" s="1" t="s">
        <v>1416</v>
      </c>
      <c r="F404" s="1" t="s">
        <v>1520</v>
      </c>
      <c r="G404" s="1" t="s">
        <v>68</v>
      </c>
      <c r="H404" s="1" t="s">
        <v>36</v>
      </c>
      <c r="I404" s="1" t="s">
        <v>30</v>
      </c>
      <c r="J404" s="1" t="s">
        <v>34</v>
      </c>
      <c r="K404" s="1" t="s">
        <v>1856</v>
      </c>
      <c r="L404" s="1" t="s">
        <v>1816</v>
      </c>
      <c r="M404" s="41">
        <v>46087</v>
      </c>
    </row>
    <row r="405" spans="1:13" x14ac:dyDescent="0.25">
      <c r="A405" s="1" t="s">
        <v>1830</v>
      </c>
      <c r="B405" s="1" t="s">
        <v>75</v>
      </c>
      <c r="C405" s="1" t="s">
        <v>7</v>
      </c>
      <c r="D405" s="1" t="s">
        <v>1415</v>
      </c>
      <c r="E405" s="1" t="s">
        <v>1416</v>
      </c>
      <c r="F405" s="1" t="s">
        <v>1520</v>
      </c>
      <c r="G405" s="1" t="s">
        <v>68</v>
      </c>
      <c r="H405" s="1" t="s">
        <v>36</v>
      </c>
      <c r="I405" s="1" t="s">
        <v>31</v>
      </c>
      <c r="J405" s="1" t="s">
        <v>34</v>
      </c>
      <c r="K405" s="1" t="s">
        <v>1857</v>
      </c>
      <c r="L405" s="1" t="s">
        <v>1816</v>
      </c>
      <c r="M405" s="41">
        <v>46217</v>
      </c>
    </row>
    <row r="406" spans="1:13" x14ac:dyDescent="0.25">
      <c r="A406" s="1" t="s">
        <v>1830</v>
      </c>
      <c r="B406" s="1" t="s">
        <v>75</v>
      </c>
      <c r="C406" s="1" t="s">
        <v>7</v>
      </c>
      <c r="D406" s="1" t="s">
        <v>1415</v>
      </c>
      <c r="E406" s="1" t="s">
        <v>1416</v>
      </c>
      <c r="F406" s="1" t="s">
        <v>1520</v>
      </c>
      <c r="G406" s="1" t="s">
        <v>68</v>
      </c>
      <c r="H406" s="1" t="s">
        <v>36</v>
      </c>
      <c r="I406" s="1" t="s">
        <v>32</v>
      </c>
      <c r="J406" s="1" t="s">
        <v>34</v>
      </c>
      <c r="K406" s="1" t="s">
        <v>1858</v>
      </c>
      <c r="L406" s="1" t="s">
        <v>1816</v>
      </c>
      <c r="M406" s="41">
        <v>46309</v>
      </c>
    </row>
    <row r="407" spans="1:13" x14ac:dyDescent="0.25">
      <c r="A407" s="1" t="s">
        <v>1859</v>
      </c>
      <c r="B407" s="1" t="s">
        <v>77</v>
      </c>
      <c r="C407" s="1" t="s">
        <v>7</v>
      </c>
      <c r="D407" s="1" t="s">
        <v>1415</v>
      </c>
      <c r="E407" s="1" t="s">
        <v>1416</v>
      </c>
      <c r="F407" s="1" t="s">
        <v>1520</v>
      </c>
      <c r="G407" s="1" t="s">
        <v>76</v>
      </c>
      <c r="H407" s="1" t="s">
        <v>36</v>
      </c>
      <c r="I407" s="1" t="s">
        <v>20</v>
      </c>
      <c r="J407" s="1" t="s">
        <v>34</v>
      </c>
      <c r="K407" s="1" t="s">
        <v>1860</v>
      </c>
      <c r="L407" s="1" t="s">
        <v>1816</v>
      </c>
      <c r="M407" s="41">
        <v>46297</v>
      </c>
    </row>
    <row r="408" spans="1:13" x14ac:dyDescent="0.25">
      <c r="A408" s="1" t="s">
        <v>1859</v>
      </c>
      <c r="B408" s="1" t="s">
        <v>77</v>
      </c>
      <c r="C408" s="1" t="s">
        <v>7</v>
      </c>
      <c r="D408" s="1" t="s">
        <v>1415</v>
      </c>
      <c r="E408" s="1" t="s">
        <v>1416</v>
      </c>
      <c r="F408" s="1" t="s">
        <v>1520</v>
      </c>
      <c r="G408" s="1" t="s">
        <v>76</v>
      </c>
      <c r="H408" s="1" t="s">
        <v>36</v>
      </c>
      <c r="I408" s="1" t="s">
        <v>21</v>
      </c>
      <c r="J408" s="1" t="s">
        <v>34</v>
      </c>
      <c r="K408" s="1" t="s">
        <v>1861</v>
      </c>
      <c r="L408" s="1" t="s">
        <v>1816</v>
      </c>
      <c r="M408" s="41">
        <v>46217</v>
      </c>
    </row>
    <row r="409" spans="1:13" x14ac:dyDescent="0.25">
      <c r="A409" s="1" t="s">
        <v>1859</v>
      </c>
      <c r="B409" s="1" t="s">
        <v>77</v>
      </c>
      <c r="C409" s="1" t="s">
        <v>7</v>
      </c>
      <c r="D409" s="1" t="s">
        <v>1415</v>
      </c>
      <c r="E409" s="1" t="s">
        <v>1416</v>
      </c>
      <c r="F409" s="1" t="s">
        <v>1520</v>
      </c>
      <c r="G409" s="1" t="s">
        <v>76</v>
      </c>
      <c r="H409" s="1" t="s">
        <v>36</v>
      </c>
      <c r="I409" s="1" t="s">
        <v>22</v>
      </c>
      <c r="J409" s="1" t="s">
        <v>34</v>
      </c>
      <c r="K409" s="1" t="s">
        <v>1862</v>
      </c>
      <c r="L409" s="1" t="s">
        <v>1816</v>
      </c>
      <c r="M409" s="41">
        <v>46087</v>
      </c>
    </row>
    <row r="410" spans="1:13" x14ac:dyDescent="0.25">
      <c r="A410" s="1" t="s">
        <v>1859</v>
      </c>
      <c r="B410" s="1" t="s">
        <v>77</v>
      </c>
      <c r="C410" s="1" t="s">
        <v>7</v>
      </c>
      <c r="D410" s="1" t="s">
        <v>1415</v>
      </c>
      <c r="E410" s="1" t="s">
        <v>1416</v>
      </c>
      <c r="F410" s="1" t="s">
        <v>1520</v>
      </c>
      <c r="G410" s="1" t="s">
        <v>76</v>
      </c>
      <c r="H410" s="1" t="s">
        <v>36</v>
      </c>
      <c r="I410" s="1" t="s">
        <v>23</v>
      </c>
      <c r="J410" s="1" t="s">
        <v>34</v>
      </c>
      <c r="K410" s="1" t="s">
        <v>1863</v>
      </c>
      <c r="L410" s="1" t="s">
        <v>1816</v>
      </c>
      <c r="M410" s="41">
        <v>46087</v>
      </c>
    </row>
    <row r="411" spans="1:13" x14ac:dyDescent="0.25">
      <c r="A411" s="1" t="s">
        <v>1859</v>
      </c>
      <c r="B411" s="1" t="s">
        <v>77</v>
      </c>
      <c r="C411" s="1" t="s">
        <v>7</v>
      </c>
      <c r="D411" s="1" t="s">
        <v>1415</v>
      </c>
      <c r="E411" s="1" t="s">
        <v>1416</v>
      </c>
      <c r="F411" s="1" t="s">
        <v>1520</v>
      </c>
      <c r="G411" s="1" t="s">
        <v>76</v>
      </c>
      <c r="H411" s="1" t="s">
        <v>36</v>
      </c>
      <c r="I411" s="1" t="s">
        <v>24</v>
      </c>
      <c r="J411" s="1" t="s">
        <v>34</v>
      </c>
      <c r="K411" s="1" t="s">
        <v>1864</v>
      </c>
      <c r="L411" s="1" t="s">
        <v>1816</v>
      </c>
      <c r="M411" s="41">
        <v>46087</v>
      </c>
    </row>
    <row r="412" spans="1:13" x14ac:dyDescent="0.25">
      <c r="A412" s="1" t="s">
        <v>1859</v>
      </c>
      <c r="B412" s="1" t="s">
        <v>77</v>
      </c>
      <c r="C412" s="1" t="s">
        <v>7</v>
      </c>
      <c r="D412" s="1" t="s">
        <v>1415</v>
      </c>
      <c r="E412" s="1" t="s">
        <v>1416</v>
      </c>
      <c r="F412" s="1" t="s">
        <v>1520</v>
      </c>
      <c r="G412" s="1" t="s">
        <v>76</v>
      </c>
      <c r="H412" s="1" t="s">
        <v>36</v>
      </c>
      <c r="I412" s="1" t="s">
        <v>25</v>
      </c>
      <c r="J412" s="1" t="s">
        <v>34</v>
      </c>
      <c r="K412" s="1" t="s">
        <v>1865</v>
      </c>
      <c r="L412" s="1" t="s">
        <v>1816</v>
      </c>
      <c r="M412" s="41">
        <v>46087</v>
      </c>
    </row>
    <row r="413" spans="1:13" x14ac:dyDescent="0.25">
      <c r="A413" s="1" t="s">
        <v>1859</v>
      </c>
      <c r="B413" s="1" t="s">
        <v>77</v>
      </c>
      <c r="C413" s="1" t="s">
        <v>7</v>
      </c>
      <c r="D413" s="1" t="s">
        <v>1415</v>
      </c>
      <c r="E413" s="1" t="s">
        <v>1416</v>
      </c>
      <c r="F413" s="1" t="s">
        <v>1520</v>
      </c>
      <c r="G413" s="1" t="s">
        <v>76</v>
      </c>
      <c r="H413" s="1" t="s">
        <v>36</v>
      </c>
      <c r="I413" s="1" t="s">
        <v>26</v>
      </c>
      <c r="J413" s="1" t="s">
        <v>34</v>
      </c>
      <c r="K413" s="1" t="s">
        <v>1866</v>
      </c>
      <c r="L413" s="1" t="s">
        <v>1816</v>
      </c>
      <c r="M413" s="41">
        <v>46087</v>
      </c>
    </row>
    <row r="414" spans="1:13" x14ac:dyDescent="0.25">
      <c r="A414" s="1" t="s">
        <v>1859</v>
      </c>
      <c r="B414" s="1" t="s">
        <v>77</v>
      </c>
      <c r="C414" s="1" t="s">
        <v>7</v>
      </c>
      <c r="D414" s="1" t="s">
        <v>1415</v>
      </c>
      <c r="E414" s="1" t="s">
        <v>1416</v>
      </c>
      <c r="F414" s="1" t="s">
        <v>1520</v>
      </c>
      <c r="G414" s="1" t="s">
        <v>76</v>
      </c>
      <c r="H414" s="1" t="s">
        <v>36</v>
      </c>
      <c r="I414" s="1" t="s">
        <v>27</v>
      </c>
      <c r="J414" s="1" t="s">
        <v>34</v>
      </c>
      <c r="K414" s="1" t="s">
        <v>1867</v>
      </c>
      <c r="L414" s="1" t="s">
        <v>1816</v>
      </c>
      <c r="M414" s="41">
        <v>46087</v>
      </c>
    </row>
    <row r="415" spans="1:13" x14ac:dyDescent="0.25">
      <c r="A415" s="1" t="s">
        <v>1859</v>
      </c>
      <c r="B415" s="1" t="s">
        <v>77</v>
      </c>
      <c r="C415" s="1" t="s">
        <v>7</v>
      </c>
      <c r="D415" s="1" t="s">
        <v>1415</v>
      </c>
      <c r="E415" s="1" t="s">
        <v>1416</v>
      </c>
      <c r="F415" s="1" t="s">
        <v>1520</v>
      </c>
      <c r="G415" s="1" t="s">
        <v>76</v>
      </c>
      <c r="H415" s="1" t="s">
        <v>36</v>
      </c>
      <c r="I415" s="1" t="s">
        <v>28</v>
      </c>
      <c r="J415" s="1" t="s">
        <v>34</v>
      </c>
      <c r="K415" s="1" t="s">
        <v>1868</v>
      </c>
      <c r="L415" s="1" t="s">
        <v>1816</v>
      </c>
      <c r="M415" s="41">
        <v>46087</v>
      </c>
    </row>
    <row r="416" spans="1:13" x14ac:dyDescent="0.25">
      <c r="A416" s="1" t="s">
        <v>1859</v>
      </c>
      <c r="B416" s="1" t="s">
        <v>77</v>
      </c>
      <c r="C416" s="1" t="s">
        <v>7</v>
      </c>
      <c r="D416" s="1" t="s">
        <v>1415</v>
      </c>
      <c r="E416" s="1" t="s">
        <v>1416</v>
      </c>
      <c r="F416" s="1" t="s">
        <v>1520</v>
      </c>
      <c r="G416" s="1" t="s">
        <v>76</v>
      </c>
      <c r="H416" s="1" t="s">
        <v>36</v>
      </c>
      <c r="I416" s="1" t="s">
        <v>29</v>
      </c>
      <c r="J416" s="1" t="s">
        <v>34</v>
      </c>
      <c r="K416" s="1" t="s">
        <v>1869</v>
      </c>
      <c r="L416" s="1" t="s">
        <v>1816</v>
      </c>
      <c r="M416" s="41">
        <v>46087</v>
      </c>
    </row>
    <row r="417" spans="1:13" x14ac:dyDescent="0.25">
      <c r="A417" s="1" t="s">
        <v>1859</v>
      </c>
      <c r="B417" s="1" t="s">
        <v>77</v>
      </c>
      <c r="C417" s="1" t="s">
        <v>7</v>
      </c>
      <c r="D417" s="1" t="s">
        <v>1415</v>
      </c>
      <c r="E417" s="1" t="s">
        <v>1416</v>
      </c>
      <c r="F417" s="1" t="s">
        <v>1520</v>
      </c>
      <c r="G417" s="1" t="s">
        <v>76</v>
      </c>
      <c r="H417" s="1" t="s">
        <v>36</v>
      </c>
      <c r="I417" s="1" t="s">
        <v>30</v>
      </c>
      <c r="J417" s="1" t="s">
        <v>34</v>
      </c>
      <c r="K417" s="1" t="s">
        <v>1870</v>
      </c>
      <c r="L417" s="1" t="s">
        <v>1816</v>
      </c>
      <c r="M417" s="41">
        <v>46087</v>
      </c>
    </row>
    <row r="418" spans="1:13" x14ac:dyDescent="0.25">
      <c r="A418" s="1" t="s">
        <v>1859</v>
      </c>
      <c r="B418" s="1" t="s">
        <v>77</v>
      </c>
      <c r="C418" s="1" t="s">
        <v>7</v>
      </c>
      <c r="D418" s="1" t="s">
        <v>1415</v>
      </c>
      <c r="E418" s="1" t="s">
        <v>1416</v>
      </c>
      <c r="F418" s="1" t="s">
        <v>1520</v>
      </c>
      <c r="G418" s="1" t="s">
        <v>76</v>
      </c>
      <c r="H418" s="1" t="s">
        <v>36</v>
      </c>
      <c r="I418" s="1" t="s">
        <v>31</v>
      </c>
      <c r="J418" s="1" t="s">
        <v>34</v>
      </c>
      <c r="K418" s="1" t="s">
        <v>1871</v>
      </c>
      <c r="L418" s="1" t="s">
        <v>1816</v>
      </c>
      <c r="M418" s="41">
        <v>46087</v>
      </c>
    </row>
    <row r="419" spans="1:13" x14ac:dyDescent="0.25">
      <c r="A419" s="1" t="s">
        <v>1859</v>
      </c>
      <c r="B419" s="1" t="s">
        <v>77</v>
      </c>
      <c r="C419" s="1" t="s">
        <v>7</v>
      </c>
      <c r="D419" s="1" t="s">
        <v>1415</v>
      </c>
      <c r="E419" s="1" t="s">
        <v>1416</v>
      </c>
      <c r="F419" s="1" t="s">
        <v>1520</v>
      </c>
      <c r="G419" s="1" t="s">
        <v>76</v>
      </c>
      <c r="H419" s="1" t="s">
        <v>36</v>
      </c>
      <c r="I419" s="1" t="s">
        <v>32</v>
      </c>
      <c r="J419" s="1" t="s">
        <v>34</v>
      </c>
      <c r="K419" s="1" t="s">
        <v>1872</v>
      </c>
      <c r="L419" s="1" t="s">
        <v>1816</v>
      </c>
      <c r="M419" s="41">
        <v>46087</v>
      </c>
    </row>
    <row r="420" spans="1:13" x14ac:dyDescent="0.25">
      <c r="A420" s="1" t="s">
        <v>1873</v>
      </c>
      <c r="B420" s="1" t="s">
        <v>79</v>
      </c>
      <c r="C420" s="1" t="s">
        <v>7</v>
      </c>
      <c r="D420" s="1" t="s">
        <v>1415</v>
      </c>
      <c r="E420" s="1" t="s">
        <v>1416</v>
      </c>
      <c r="F420" s="1" t="s">
        <v>1520</v>
      </c>
      <c r="G420" s="1" t="s">
        <v>78</v>
      </c>
      <c r="H420" s="1" t="s">
        <v>36</v>
      </c>
      <c r="I420" s="1" t="s">
        <v>20</v>
      </c>
      <c r="J420" s="1" t="s">
        <v>57</v>
      </c>
      <c r="K420" s="1" t="s">
        <v>1874</v>
      </c>
      <c r="L420" s="1" t="s">
        <v>1875</v>
      </c>
      <c r="M420" s="41" t="s">
        <v>9</v>
      </c>
    </row>
    <row r="421" spans="1:13" x14ac:dyDescent="0.25">
      <c r="A421" s="1" t="s">
        <v>1873</v>
      </c>
      <c r="B421" s="1" t="s">
        <v>79</v>
      </c>
      <c r="C421" s="1" t="s">
        <v>7</v>
      </c>
      <c r="D421" s="1" t="s">
        <v>1415</v>
      </c>
      <c r="E421" s="1" t="s">
        <v>1416</v>
      </c>
      <c r="F421" s="1" t="s">
        <v>1520</v>
      </c>
      <c r="G421" s="1" t="s">
        <v>78</v>
      </c>
      <c r="H421" s="1" t="s">
        <v>36</v>
      </c>
      <c r="I421" s="1" t="s">
        <v>21</v>
      </c>
      <c r="J421" s="1" t="s">
        <v>57</v>
      </c>
      <c r="K421" s="1" t="s">
        <v>1876</v>
      </c>
      <c r="L421" s="1" t="s">
        <v>1875</v>
      </c>
      <c r="M421" s="41" t="s">
        <v>9</v>
      </c>
    </row>
    <row r="422" spans="1:13" x14ac:dyDescent="0.25">
      <c r="A422" s="1" t="s">
        <v>1873</v>
      </c>
      <c r="B422" s="1" t="s">
        <v>79</v>
      </c>
      <c r="C422" s="1" t="s">
        <v>7</v>
      </c>
      <c r="D422" s="1" t="s">
        <v>1415</v>
      </c>
      <c r="E422" s="1" t="s">
        <v>1416</v>
      </c>
      <c r="F422" s="1" t="s">
        <v>1520</v>
      </c>
      <c r="G422" s="1" t="s">
        <v>78</v>
      </c>
      <c r="H422" s="1" t="s">
        <v>36</v>
      </c>
      <c r="I422" s="1" t="s">
        <v>22</v>
      </c>
      <c r="J422" s="1" t="s">
        <v>57</v>
      </c>
      <c r="K422" s="1" t="s">
        <v>1877</v>
      </c>
      <c r="L422" s="1" t="s">
        <v>1875</v>
      </c>
      <c r="M422" s="41" t="s">
        <v>9</v>
      </c>
    </row>
    <row r="423" spans="1:13" x14ac:dyDescent="0.25">
      <c r="A423" s="1" t="s">
        <v>1873</v>
      </c>
      <c r="B423" s="1" t="s">
        <v>79</v>
      </c>
      <c r="C423" s="1" t="s">
        <v>7</v>
      </c>
      <c r="D423" s="1" t="s">
        <v>1415</v>
      </c>
      <c r="E423" s="1" t="s">
        <v>1416</v>
      </c>
      <c r="F423" s="1" t="s">
        <v>1520</v>
      </c>
      <c r="G423" s="1" t="s">
        <v>78</v>
      </c>
      <c r="H423" s="1" t="s">
        <v>36</v>
      </c>
      <c r="I423" s="1" t="s">
        <v>23</v>
      </c>
      <c r="J423" s="1" t="s">
        <v>57</v>
      </c>
      <c r="K423" s="1" t="s">
        <v>1878</v>
      </c>
      <c r="L423" s="1" t="s">
        <v>1875</v>
      </c>
      <c r="M423" s="41" t="s">
        <v>9</v>
      </c>
    </row>
    <row r="424" spans="1:13" x14ac:dyDescent="0.25">
      <c r="A424" s="1" t="s">
        <v>1873</v>
      </c>
      <c r="B424" s="1" t="s">
        <v>79</v>
      </c>
      <c r="C424" s="1" t="s">
        <v>7</v>
      </c>
      <c r="D424" s="1" t="s">
        <v>1415</v>
      </c>
      <c r="E424" s="1" t="s">
        <v>1416</v>
      </c>
      <c r="F424" s="1" t="s">
        <v>1520</v>
      </c>
      <c r="G424" s="1" t="s">
        <v>78</v>
      </c>
      <c r="H424" s="1" t="s">
        <v>36</v>
      </c>
      <c r="I424" s="1" t="s">
        <v>24</v>
      </c>
      <c r="J424" s="1" t="s">
        <v>57</v>
      </c>
      <c r="K424" s="1" t="s">
        <v>1879</v>
      </c>
      <c r="L424" s="1" t="s">
        <v>1875</v>
      </c>
      <c r="M424" s="41" t="s">
        <v>9</v>
      </c>
    </row>
    <row r="425" spans="1:13" x14ac:dyDescent="0.25">
      <c r="A425" s="1" t="s">
        <v>1873</v>
      </c>
      <c r="B425" s="1" t="s">
        <v>79</v>
      </c>
      <c r="C425" s="1" t="s">
        <v>7</v>
      </c>
      <c r="D425" s="1" t="s">
        <v>1415</v>
      </c>
      <c r="E425" s="1" t="s">
        <v>1416</v>
      </c>
      <c r="F425" s="1" t="s">
        <v>1520</v>
      </c>
      <c r="G425" s="1" t="s">
        <v>78</v>
      </c>
      <c r="H425" s="1" t="s">
        <v>36</v>
      </c>
      <c r="I425" s="1" t="s">
        <v>25</v>
      </c>
      <c r="J425" s="1" t="s">
        <v>57</v>
      </c>
      <c r="K425" s="1" t="s">
        <v>1880</v>
      </c>
      <c r="L425" s="1" t="s">
        <v>1875</v>
      </c>
      <c r="M425" s="41" t="s">
        <v>9</v>
      </c>
    </row>
    <row r="426" spans="1:13" x14ac:dyDescent="0.25">
      <c r="A426" s="1" t="s">
        <v>1873</v>
      </c>
      <c r="B426" s="1" t="s">
        <v>79</v>
      </c>
      <c r="C426" s="1" t="s">
        <v>7</v>
      </c>
      <c r="D426" s="1" t="s">
        <v>1415</v>
      </c>
      <c r="E426" s="1" t="s">
        <v>1416</v>
      </c>
      <c r="F426" s="1" t="s">
        <v>1520</v>
      </c>
      <c r="G426" s="1" t="s">
        <v>78</v>
      </c>
      <c r="H426" s="1" t="s">
        <v>36</v>
      </c>
      <c r="I426" s="1" t="s">
        <v>26</v>
      </c>
      <c r="J426" s="1" t="s">
        <v>57</v>
      </c>
      <c r="K426" s="1" t="s">
        <v>1881</v>
      </c>
      <c r="L426" s="1" t="s">
        <v>1875</v>
      </c>
      <c r="M426" s="41" t="s">
        <v>9</v>
      </c>
    </row>
    <row r="427" spans="1:13" x14ac:dyDescent="0.25">
      <c r="A427" s="1" t="s">
        <v>1873</v>
      </c>
      <c r="B427" s="1" t="s">
        <v>79</v>
      </c>
      <c r="C427" s="1" t="s">
        <v>7</v>
      </c>
      <c r="D427" s="1" t="s">
        <v>1415</v>
      </c>
      <c r="E427" s="1" t="s">
        <v>1416</v>
      </c>
      <c r="F427" s="1" t="s">
        <v>1520</v>
      </c>
      <c r="G427" s="1" t="s">
        <v>78</v>
      </c>
      <c r="H427" s="1" t="s">
        <v>36</v>
      </c>
      <c r="I427" s="1" t="s">
        <v>27</v>
      </c>
      <c r="J427" s="1" t="s">
        <v>57</v>
      </c>
      <c r="K427" s="1" t="s">
        <v>1882</v>
      </c>
      <c r="L427" s="1" t="s">
        <v>1875</v>
      </c>
      <c r="M427" s="41" t="s">
        <v>9</v>
      </c>
    </row>
    <row r="428" spans="1:13" x14ac:dyDescent="0.25">
      <c r="A428" s="1" t="s">
        <v>1873</v>
      </c>
      <c r="B428" s="1" t="s">
        <v>79</v>
      </c>
      <c r="C428" s="1" t="s">
        <v>7</v>
      </c>
      <c r="D428" s="1" t="s">
        <v>1415</v>
      </c>
      <c r="E428" s="1" t="s">
        <v>1416</v>
      </c>
      <c r="F428" s="1" t="s">
        <v>1520</v>
      </c>
      <c r="G428" s="1" t="s">
        <v>78</v>
      </c>
      <c r="H428" s="1" t="s">
        <v>36</v>
      </c>
      <c r="I428" s="1" t="s">
        <v>28</v>
      </c>
      <c r="J428" s="1" t="s">
        <v>57</v>
      </c>
      <c r="K428" s="1" t="s">
        <v>1883</v>
      </c>
      <c r="L428" s="1" t="s">
        <v>1875</v>
      </c>
      <c r="M428" s="41" t="s">
        <v>9</v>
      </c>
    </row>
    <row r="429" spans="1:13" x14ac:dyDescent="0.25">
      <c r="A429" s="1" t="s">
        <v>1873</v>
      </c>
      <c r="B429" s="1" t="s">
        <v>79</v>
      </c>
      <c r="C429" s="1" t="s">
        <v>7</v>
      </c>
      <c r="D429" s="1" t="s">
        <v>1415</v>
      </c>
      <c r="E429" s="1" t="s">
        <v>1416</v>
      </c>
      <c r="F429" s="1" t="s">
        <v>1520</v>
      </c>
      <c r="G429" s="1" t="s">
        <v>78</v>
      </c>
      <c r="H429" s="1" t="s">
        <v>36</v>
      </c>
      <c r="I429" s="1" t="s">
        <v>56</v>
      </c>
      <c r="J429" s="1" t="s">
        <v>57</v>
      </c>
      <c r="K429" s="1" t="s">
        <v>1884</v>
      </c>
      <c r="L429" s="1" t="s">
        <v>1875</v>
      </c>
      <c r="M429" s="41" t="s">
        <v>9</v>
      </c>
    </row>
    <row r="430" spans="1:13" x14ac:dyDescent="0.25">
      <c r="A430" s="1" t="s">
        <v>1873</v>
      </c>
      <c r="B430" s="1" t="s">
        <v>79</v>
      </c>
      <c r="C430" s="1" t="s">
        <v>7</v>
      </c>
      <c r="D430" s="1" t="s">
        <v>1415</v>
      </c>
      <c r="E430" s="1" t="s">
        <v>1416</v>
      </c>
      <c r="F430" s="1" t="s">
        <v>1520</v>
      </c>
      <c r="G430" s="1" t="s">
        <v>78</v>
      </c>
      <c r="H430" s="1" t="s">
        <v>36</v>
      </c>
      <c r="I430" s="1" t="s">
        <v>29</v>
      </c>
      <c r="J430" s="1" t="s">
        <v>57</v>
      </c>
      <c r="K430" s="1" t="s">
        <v>1885</v>
      </c>
      <c r="L430" s="1" t="s">
        <v>1875</v>
      </c>
      <c r="M430" s="41" t="s">
        <v>9</v>
      </c>
    </row>
    <row r="431" spans="1:13" x14ac:dyDescent="0.25">
      <c r="A431" s="1" t="s">
        <v>1873</v>
      </c>
      <c r="B431" s="1" t="s">
        <v>79</v>
      </c>
      <c r="C431" s="1" t="s">
        <v>7</v>
      </c>
      <c r="D431" s="1" t="s">
        <v>1415</v>
      </c>
      <c r="E431" s="1" t="s">
        <v>1416</v>
      </c>
      <c r="F431" s="1" t="s">
        <v>1520</v>
      </c>
      <c r="G431" s="1" t="s">
        <v>78</v>
      </c>
      <c r="H431" s="1" t="s">
        <v>36</v>
      </c>
      <c r="I431" s="1" t="s">
        <v>30</v>
      </c>
      <c r="J431" s="1" t="s">
        <v>57</v>
      </c>
      <c r="K431" s="1" t="s">
        <v>1886</v>
      </c>
      <c r="L431" s="1" t="s">
        <v>1875</v>
      </c>
      <c r="M431" s="41" t="s">
        <v>9</v>
      </c>
    </row>
    <row r="432" spans="1:13" x14ac:dyDescent="0.25">
      <c r="A432" s="1" t="s">
        <v>1873</v>
      </c>
      <c r="B432" s="1" t="s">
        <v>79</v>
      </c>
      <c r="C432" s="1" t="s">
        <v>7</v>
      </c>
      <c r="D432" s="1" t="s">
        <v>1415</v>
      </c>
      <c r="E432" s="1" t="s">
        <v>1416</v>
      </c>
      <c r="F432" s="1" t="s">
        <v>1520</v>
      </c>
      <c r="G432" s="1" t="s">
        <v>78</v>
      </c>
      <c r="H432" s="1" t="s">
        <v>36</v>
      </c>
      <c r="I432" s="1" t="s">
        <v>31</v>
      </c>
      <c r="J432" s="1" t="s">
        <v>57</v>
      </c>
      <c r="K432" s="1" t="s">
        <v>1887</v>
      </c>
      <c r="L432" s="1" t="s">
        <v>1875</v>
      </c>
      <c r="M432" s="41" t="s">
        <v>9</v>
      </c>
    </row>
    <row r="433" spans="1:13" x14ac:dyDescent="0.25">
      <c r="A433" s="1" t="s">
        <v>1873</v>
      </c>
      <c r="B433" s="1" t="s">
        <v>79</v>
      </c>
      <c r="C433" s="1" t="s">
        <v>7</v>
      </c>
      <c r="D433" s="1" t="s">
        <v>1415</v>
      </c>
      <c r="E433" s="1" t="s">
        <v>1416</v>
      </c>
      <c r="F433" s="1" t="s">
        <v>1520</v>
      </c>
      <c r="G433" s="1" t="s">
        <v>78</v>
      </c>
      <c r="H433" s="1" t="s">
        <v>36</v>
      </c>
      <c r="I433" s="1" t="s">
        <v>32</v>
      </c>
      <c r="J433" s="1" t="s">
        <v>57</v>
      </c>
      <c r="K433" s="1" t="s">
        <v>1888</v>
      </c>
      <c r="L433" s="1" t="s">
        <v>1875</v>
      </c>
      <c r="M433" s="41" t="s">
        <v>9</v>
      </c>
    </row>
    <row r="434" spans="1:13" x14ac:dyDescent="0.25">
      <c r="A434" s="1" t="s">
        <v>1873</v>
      </c>
      <c r="B434" s="1" t="s">
        <v>79</v>
      </c>
      <c r="C434" s="1" t="s">
        <v>7</v>
      </c>
      <c r="D434" s="1" t="s">
        <v>1415</v>
      </c>
      <c r="E434" s="1" t="s">
        <v>1416</v>
      </c>
      <c r="F434" s="1" t="s">
        <v>1520</v>
      </c>
      <c r="G434" s="1" t="s">
        <v>78</v>
      </c>
      <c r="H434" s="1" t="s">
        <v>36</v>
      </c>
      <c r="I434" s="1" t="s">
        <v>20</v>
      </c>
      <c r="J434" s="1" t="s">
        <v>34</v>
      </c>
      <c r="K434" s="1" t="s">
        <v>1889</v>
      </c>
      <c r="L434" s="1" t="s">
        <v>1875</v>
      </c>
      <c r="M434" s="41">
        <v>46117</v>
      </c>
    </row>
    <row r="435" spans="1:13" x14ac:dyDescent="0.25">
      <c r="A435" s="1" t="s">
        <v>1873</v>
      </c>
      <c r="B435" s="1" t="s">
        <v>79</v>
      </c>
      <c r="C435" s="1" t="s">
        <v>7</v>
      </c>
      <c r="D435" s="1" t="s">
        <v>1415</v>
      </c>
      <c r="E435" s="1" t="s">
        <v>1416</v>
      </c>
      <c r="F435" s="1" t="s">
        <v>1520</v>
      </c>
      <c r="G435" s="1" t="s">
        <v>78</v>
      </c>
      <c r="H435" s="1" t="s">
        <v>36</v>
      </c>
      <c r="I435" s="1" t="s">
        <v>21</v>
      </c>
      <c r="J435" s="1" t="s">
        <v>34</v>
      </c>
      <c r="K435" s="1" t="s">
        <v>1890</v>
      </c>
      <c r="L435" s="1" t="s">
        <v>1875</v>
      </c>
      <c r="M435" s="41">
        <v>46117</v>
      </c>
    </row>
    <row r="436" spans="1:13" x14ac:dyDescent="0.25">
      <c r="A436" s="1" t="s">
        <v>1873</v>
      </c>
      <c r="B436" s="1" t="s">
        <v>79</v>
      </c>
      <c r="C436" s="1" t="s">
        <v>7</v>
      </c>
      <c r="D436" s="1" t="s">
        <v>1415</v>
      </c>
      <c r="E436" s="1" t="s">
        <v>1416</v>
      </c>
      <c r="F436" s="1" t="s">
        <v>1520</v>
      </c>
      <c r="G436" s="1" t="s">
        <v>78</v>
      </c>
      <c r="H436" s="1" t="s">
        <v>36</v>
      </c>
      <c r="I436" s="1" t="s">
        <v>22</v>
      </c>
      <c r="J436" s="1" t="s">
        <v>34</v>
      </c>
      <c r="K436" s="1" t="s">
        <v>1891</v>
      </c>
      <c r="L436" s="1" t="s">
        <v>1875</v>
      </c>
      <c r="M436" s="41">
        <v>46087</v>
      </c>
    </row>
    <row r="437" spans="1:13" x14ac:dyDescent="0.25">
      <c r="A437" s="1" t="s">
        <v>1873</v>
      </c>
      <c r="B437" s="1" t="s">
        <v>79</v>
      </c>
      <c r="C437" s="1" t="s">
        <v>7</v>
      </c>
      <c r="D437" s="1" t="s">
        <v>1415</v>
      </c>
      <c r="E437" s="1" t="s">
        <v>1416</v>
      </c>
      <c r="F437" s="1" t="s">
        <v>1520</v>
      </c>
      <c r="G437" s="1" t="s">
        <v>78</v>
      </c>
      <c r="H437" s="1" t="s">
        <v>36</v>
      </c>
      <c r="I437" s="1" t="s">
        <v>23</v>
      </c>
      <c r="J437" s="1" t="s">
        <v>34</v>
      </c>
      <c r="K437" s="1" t="s">
        <v>1892</v>
      </c>
      <c r="L437" s="1" t="s">
        <v>1875</v>
      </c>
      <c r="M437" s="41">
        <v>46087</v>
      </c>
    </row>
    <row r="438" spans="1:13" x14ac:dyDescent="0.25">
      <c r="A438" s="1" t="s">
        <v>1873</v>
      </c>
      <c r="B438" s="1" t="s">
        <v>79</v>
      </c>
      <c r="C438" s="1" t="s">
        <v>7</v>
      </c>
      <c r="D438" s="1" t="s">
        <v>1415</v>
      </c>
      <c r="E438" s="1" t="s">
        <v>1416</v>
      </c>
      <c r="F438" s="1" t="s">
        <v>1520</v>
      </c>
      <c r="G438" s="1" t="s">
        <v>78</v>
      </c>
      <c r="H438" s="1" t="s">
        <v>36</v>
      </c>
      <c r="I438" s="1" t="s">
        <v>24</v>
      </c>
      <c r="J438" s="1" t="s">
        <v>34</v>
      </c>
      <c r="K438" s="1" t="s">
        <v>1893</v>
      </c>
      <c r="L438" s="1" t="s">
        <v>1875</v>
      </c>
      <c r="M438" s="41">
        <v>46087</v>
      </c>
    </row>
    <row r="439" spans="1:13" x14ac:dyDescent="0.25">
      <c r="A439" s="1" t="s">
        <v>1873</v>
      </c>
      <c r="B439" s="1" t="s">
        <v>79</v>
      </c>
      <c r="C439" s="1" t="s">
        <v>7</v>
      </c>
      <c r="D439" s="1" t="s">
        <v>1415</v>
      </c>
      <c r="E439" s="1" t="s">
        <v>1416</v>
      </c>
      <c r="F439" s="1" t="s">
        <v>1520</v>
      </c>
      <c r="G439" s="1" t="s">
        <v>78</v>
      </c>
      <c r="H439" s="1" t="s">
        <v>36</v>
      </c>
      <c r="I439" s="1" t="s">
        <v>25</v>
      </c>
      <c r="J439" s="1" t="s">
        <v>34</v>
      </c>
      <c r="K439" s="1" t="s">
        <v>1894</v>
      </c>
      <c r="L439" s="1" t="s">
        <v>1875</v>
      </c>
      <c r="M439" s="41">
        <v>46087</v>
      </c>
    </row>
    <row r="440" spans="1:13" x14ac:dyDescent="0.25">
      <c r="A440" s="1" t="s">
        <v>1873</v>
      </c>
      <c r="B440" s="1" t="s">
        <v>79</v>
      </c>
      <c r="C440" s="1" t="s">
        <v>7</v>
      </c>
      <c r="D440" s="1" t="s">
        <v>1415</v>
      </c>
      <c r="E440" s="1" t="s">
        <v>1416</v>
      </c>
      <c r="F440" s="1" t="s">
        <v>1520</v>
      </c>
      <c r="G440" s="1" t="s">
        <v>78</v>
      </c>
      <c r="H440" s="1" t="s">
        <v>36</v>
      </c>
      <c r="I440" s="1" t="s">
        <v>26</v>
      </c>
      <c r="J440" s="1" t="s">
        <v>34</v>
      </c>
      <c r="K440" s="1" t="s">
        <v>1895</v>
      </c>
      <c r="L440" s="1" t="s">
        <v>1875</v>
      </c>
      <c r="M440" s="41">
        <v>46087</v>
      </c>
    </row>
    <row r="441" spans="1:13" x14ac:dyDescent="0.25">
      <c r="A441" s="1" t="s">
        <v>1873</v>
      </c>
      <c r="B441" s="1" t="s">
        <v>79</v>
      </c>
      <c r="C441" s="1" t="s">
        <v>7</v>
      </c>
      <c r="D441" s="1" t="s">
        <v>1415</v>
      </c>
      <c r="E441" s="1" t="s">
        <v>1416</v>
      </c>
      <c r="F441" s="1" t="s">
        <v>1520</v>
      </c>
      <c r="G441" s="1" t="s">
        <v>78</v>
      </c>
      <c r="H441" s="1" t="s">
        <v>36</v>
      </c>
      <c r="I441" s="1" t="s">
        <v>27</v>
      </c>
      <c r="J441" s="1" t="s">
        <v>34</v>
      </c>
      <c r="K441" s="1" t="s">
        <v>1896</v>
      </c>
      <c r="L441" s="1" t="s">
        <v>1875</v>
      </c>
      <c r="M441" s="41">
        <v>46087</v>
      </c>
    </row>
    <row r="442" spans="1:13" x14ac:dyDescent="0.25">
      <c r="A442" s="1" t="s">
        <v>1873</v>
      </c>
      <c r="B442" s="1" t="s">
        <v>79</v>
      </c>
      <c r="C442" s="1" t="s">
        <v>7</v>
      </c>
      <c r="D442" s="1" t="s">
        <v>1415</v>
      </c>
      <c r="E442" s="1" t="s">
        <v>1416</v>
      </c>
      <c r="F442" s="1" t="s">
        <v>1520</v>
      </c>
      <c r="G442" s="1" t="s">
        <v>78</v>
      </c>
      <c r="H442" s="1" t="s">
        <v>36</v>
      </c>
      <c r="I442" s="1" t="s">
        <v>28</v>
      </c>
      <c r="J442" s="1" t="s">
        <v>34</v>
      </c>
      <c r="K442" s="1" t="s">
        <v>1897</v>
      </c>
      <c r="L442" s="1" t="s">
        <v>1875</v>
      </c>
      <c r="M442" s="41">
        <v>46087</v>
      </c>
    </row>
    <row r="443" spans="1:13" x14ac:dyDescent="0.25">
      <c r="A443" s="1" t="s">
        <v>1873</v>
      </c>
      <c r="B443" s="1" t="s">
        <v>79</v>
      </c>
      <c r="C443" s="1" t="s">
        <v>7</v>
      </c>
      <c r="D443" s="1" t="s">
        <v>1415</v>
      </c>
      <c r="E443" s="1" t="s">
        <v>1416</v>
      </c>
      <c r="F443" s="1" t="s">
        <v>1520</v>
      </c>
      <c r="G443" s="1" t="s">
        <v>78</v>
      </c>
      <c r="H443" s="1" t="s">
        <v>36</v>
      </c>
      <c r="I443" s="1" t="s">
        <v>56</v>
      </c>
      <c r="J443" s="1" t="s">
        <v>34</v>
      </c>
      <c r="K443" s="1" t="s">
        <v>1898</v>
      </c>
      <c r="L443" s="1" t="s">
        <v>1875</v>
      </c>
      <c r="M443" s="41" t="s">
        <v>9</v>
      </c>
    </row>
    <row r="444" spans="1:13" x14ac:dyDescent="0.25">
      <c r="A444" s="1" t="s">
        <v>1873</v>
      </c>
      <c r="B444" s="1" t="s">
        <v>79</v>
      </c>
      <c r="C444" s="1" t="s">
        <v>7</v>
      </c>
      <c r="D444" s="1" t="s">
        <v>1415</v>
      </c>
      <c r="E444" s="1" t="s">
        <v>1416</v>
      </c>
      <c r="F444" s="1" t="s">
        <v>1520</v>
      </c>
      <c r="G444" s="1" t="s">
        <v>78</v>
      </c>
      <c r="H444" s="1" t="s">
        <v>36</v>
      </c>
      <c r="I444" s="1" t="s">
        <v>29</v>
      </c>
      <c r="J444" s="1" t="s">
        <v>34</v>
      </c>
      <c r="K444" s="1" t="s">
        <v>1899</v>
      </c>
      <c r="L444" s="1" t="s">
        <v>1875</v>
      </c>
      <c r="M444" s="41">
        <v>46087</v>
      </c>
    </row>
    <row r="445" spans="1:13" x14ac:dyDescent="0.25">
      <c r="A445" s="1" t="s">
        <v>1873</v>
      </c>
      <c r="B445" s="1" t="s">
        <v>79</v>
      </c>
      <c r="C445" s="1" t="s">
        <v>7</v>
      </c>
      <c r="D445" s="1" t="s">
        <v>1415</v>
      </c>
      <c r="E445" s="1" t="s">
        <v>1416</v>
      </c>
      <c r="F445" s="1" t="s">
        <v>1520</v>
      </c>
      <c r="G445" s="1" t="s">
        <v>78</v>
      </c>
      <c r="H445" s="1" t="s">
        <v>36</v>
      </c>
      <c r="I445" s="1" t="s">
        <v>30</v>
      </c>
      <c r="J445" s="1" t="s">
        <v>34</v>
      </c>
      <c r="K445" s="1" t="s">
        <v>1900</v>
      </c>
      <c r="L445" s="1" t="s">
        <v>1875</v>
      </c>
      <c r="M445" s="41">
        <v>46087</v>
      </c>
    </row>
    <row r="446" spans="1:13" x14ac:dyDescent="0.25">
      <c r="A446" s="1" t="s">
        <v>1873</v>
      </c>
      <c r="B446" s="1" t="s">
        <v>79</v>
      </c>
      <c r="C446" s="1" t="s">
        <v>7</v>
      </c>
      <c r="D446" s="1" t="s">
        <v>1415</v>
      </c>
      <c r="E446" s="1" t="s">
        <v>1416</v>
      </c>
      <c r="F446" s="1" t="s">
        <v>1520</v>
      </c>
      <c r="G446" s="1" t="s">
        <v>78</v>
      </c>
      <c r="H446" s="1" t="s">
        <v>36</v>
      </c>
      <c r="I446" s="1" t="s">
        <v>31</v>
      </c>
      <c r="J446" s="1" t="s">
        <v>34</v>
      </c>
      <c r="K446" s="1" t="s">
        <v>1901</v>
      </c>
      <c r="L446" s="1" t="s">
        <v>1875</v>
      </c>
      <c r="M446" s="41">
        <v>46087</v>
      </c>
    </row>
    <row r="447" spans="1:13" x14ac:dyDescent="0.25">
      <c r="A447" s="1" t="s">
        <v>1873</v>
      </c>
      <c r="B447" s="1" t="s">
        <v>79</v>
      </c>
      <c r="C447" s="1" t="s">
        <v>7</v>
      </c>
      <c r="D447" s="1" t="s">
        <v>1415</v>
      </c>
      <c r="E447" s="1" t="s">
        <v>1416</v>
      </c>
      <c r="F447" s="1" t="s">
        <v>1520</v>
      </c>
      <c r="G447" s="1" t="s">
        <v>78</v>
      </c>
      <c r="H447" s="1" t="s">
        <v>36</v>
      </c>
      <c r="I447" s="1" t="s">
        <v>32</v>
      </c>
      <c r="J447" s="1" t="s">
        <v>34</v>
      </c>
      <c r="K447" s="1" t="s">
        <v>1902</v>
      </c>
      <c r="L447" s="1" t="s">
        <v>1875</v>
      </c>
      <c r="M447" s="41">
        <v>46087</v>
      </c>
    </row>
    <row r="448" spans="1:13" x14ac:dyDescent="0.25">
      <c r="A448" s="1" t="s">
        <v>1903</v>
      </c>
      <c r="B448" s="1" t="s">
        <v>80</v>
      </c>
      <c r="C448" s="1" t="s">
        <v>7</v>
      </c>
      <c r="D448" s="1" t="s">
        <v>1415</v>
      </c>
      <c r="E448" s="1" t="s">
        <v>1416</v>
      </c>
      <c r="F448" s="1" t="s">
        <v>1520</v>
      </c>
      <c r="G448" s="1" t="s">
        <v>46</v>
      </c>
      <c r="H448" s="1" t="s">
        <v>36</v>
      </c>
      <c r="I448" s="1" t="s">
        <v>20</v>
      </c>
      <c r="J448" s="1" t="s">
        <v>34</v>
      </c>
      <c r="K448" s="1" t="s">
        <v>1904</v>
      </c>
      <c r="L448" s="1" t="s">
        <v>1905</v>
      </c>
      <c r="M448" s="41">
        <v>46297</v>
      </c>
    </row>
    <row r="449" spans="1:13" x14ac:dyDescent="0.25">
      <c r="A449" s="1" t="s">
        <v>1903</v>
      </c>
      <c r="B449" s="1" t="s">
        <v>80</v>
      </c>
      <c r="C449" s="1" t="s">
        <v>7</v>
      </c>
      <c r="D449" s="1" t="s">
        <v>1415</v>
      </c>
      <c r="E449" s="1" t="s">
        <v>1416</v>
      </c>
      <c r="F449" s="1" t="s">
        <v>1520</v>
      </c>
      <c r="G449" s="1" t="s">
        <v>46</v>
      </c>
      <c r="H449" s="1" t="s">
        <v>36</v>
      </c>
      <c r="I449" s="1" t="s">
        <v>21</v>
      </c>
      <c r="J449" s="1" t="s">
        <v>34</v>
      </c>
      <c r="K449" s="1" t="s">
        <v>1906</v>
      </c>
      <c r="L449" s="1" t="s">
        <v>1905</v>
      </c>
      <c r="M449" s="41">
        <v>46297</v>
      </c>
    </row>
    <row r="450" spans="1:13" x14ac:dyDescent="0.25">
      <c r="A450" s="1" t="s">
        <v>1903</v>
      </c>
      <c r="B450" s="1" t="s">
        <v>80</v>
      </c>
      <c r="C450" s="1" t="s">
        <v>7</v>
      </c>
      <c r="D450" s="1" t="s">
        <v>1415</v>
      </c>
      <c r="E450" s="1" t="s">
        <v>1416</v>
      </c>
      <c r="F450" s="1" t="s">
        <v>1520</v>
      </c>
      <c r="G450" s="1" t="s">
        <v>46</v>
      </c>
      <c r="H450" s="1" t="s">
        <v>36</v>
      </c>
      <c r="I450" s="1" t="s">
        <v>22</v>
      </c>
      <c r="J450" s="1" t="s">
        <v>34</v>
      </c>
      <c r="K450" s="1" t="s">
        <v>1907</v>
      </c>
      <c r="L450" s="1" t="s">
        <v>1905</v>
      </c>
      <c r="M450" s="41">
        <v>46087</v>
      </c>
    </row>
    <row r="451" spans="1:13" x14ac:dyDescent="0.25">
      <c r="A451" s="1" t="s">
        <v>1903</v>
      </c>
      <c r="B451" s="1" t="s">
        <v>80</v>
      </c>
      <c r="C451" s="1" t="s">
        <v>7</v>
      </c>
      <c r="D451" s="1" t="s">
        <v>1415</v>
      </c>
      <c r="E451" s="1" t="s">
        <v>1416</v>
      </c>
      <c r="F451" s="1" t="s">
        <v>1520</v>
      </c>
      <c r="G451" s="1" t="s">
        <v>46</v>
      </c>
      <c r="H451" s="1" t="s">
        <v>36</v>
      </c>
      <c r="I451" s="1" t="s">
        <v>23</v>
      </c>
      <c r="J451" s="1" t="s">
        <v>34</v>
      </c>
      <c r="K451" s="1" t="s">
        <v>1908</v>
      </c>
      <c r="L451" s="1" t="s">
        <v>1905</v>
      </c>
      <c r="M451" s="41">
        <v>46087</v>
      </c>
    </row>
    <row r="452" spans="1:13" x14ac:dyDescent="0.25">
      <c r="A452" s="1" t="s">
        <v>1903</v>
      </c>
      <c r="B452" s="1" t="s">
        <v>80</v>
      </c>
      <c r="C452" s="1" t="s">
        <v>7</v>
      </c>
      <c r="D452" s="1" t="s">
        <v>1415</v>
      </c>
      <c r="E452" s="1" t="s">
        <v>1416</v>
      </c>
      <c r="F452" s="1" t="s">
        <v>1520</v>
      </c>
      <c r="G452" s="1" t="s">
        <v>46</v>
      </c>
      <c r="H452" s="1" t="s">
        <v>36</v>
      </c>
      <c r="I452" s="1" t="s">
        <v>24</v>
      </c>
      <c r="J452" s="1" t="s">
        <v>34</v>
      </c>
      <c r="K452" s="1" t="s">
        <v>1909</v>
      </c>
      <c r="L452" s="1" t="s">
        <v>1905</v>
      </c>
      <c r="M452" s="41">
        <v>46297</v>
      </c>
    </row>
    <row r="453" spans="1:13" x14ac:dyDescent="0.25">
      <c r="A453" s="1" t="s">
        <v>1903</v>
      </c>
      <c r="B453" s="1" t="s">
        <v>80</v>
      </c>
      <c r="C453" s="1" t="s">
        <v>7</v>
      </c>
      <c r="D453" s="1" t="s">
        <v>1415</v>
      </c>
      <c r="E453" s="1" t="s">
        <v>1416</v>
      </c>
      <c r="F453" s="1" t="s">
        <v>1520</v>
      </c>
      <c r="G453" s="1" t="s">
        <v>46</v>
      </c>
      <c r="H453" s="1" t="s">
        <v>36</v>
      </c>
      <c r="I453" s="1" t="s">
        <v>25</v>
      </c>
      <c r="J453" s="1" t="s">
        <v>34</v>
      </c>
      <c r="K453" s="1" t="s">
        <v>1910</v>
      </c>
      <c r="L453" s="1" t="s">
        <v>1905</v>
      </c>
      <c r="M453" s="41">
        <v>46297</v>
      </c>
    </row>
    <row r="454" spans="1:13" x14ac:dyDescent="0.25">
      <c r="A454" s="1" t="s">
        <v>1903</v>
      </c>
      <c r="B454" s="1" t="s">
        <v>80</v>
      </c>
      <c r="C454" s="1" t="s">
        <v>7</v>
      </c>
      <c r="D454" s="1" t="s">
        <v>1415</v>
      </c>
      <c r="E454" s="1" t="s">
        <v>1416</v>
      </c>
      <c r="F454" s="1" t="s">
        <v>1520</v>
      </c>
      <c r="G454" s="1" t="s">
        <v>46</v>
      </c>
      <c r="H454" s="1" t="s">
        <v>36</v>
      </c>
      <c r="I454" s="1" t="s">
        <v>26</v>
      </c>
      <c r="J454" s="1" t="s">
        <v>34</v>
      </c>
      <c r="K454" s="1" t="s">
        <v>1911</v>
      </c>
      <c r="L454" s="1" t="s">
        <v>1905</v>
      </c>
      <c r="M454" s="41">
        <v>46297</v>
      </c>
    </row>
    <row r="455" spans="1:13" x14ac:dyDescent="0.25">
      <c r="A455" s="1" t="s">
        <v>1903</v>
      </c>
      <c r="B455" s="1" t="s">
        <v>80</v>
      </c>
      <c r="C455" s="1" t="s">
        <v>7</v>
      </c>
      <c r="D455" s="1" t="s">
        <v>1415</v>
      </c>
      <c r="E455" s="1" t="s">
        <v>1416</v>
      </c>
      <c r="F455" s="1" t="s">
        <v>1520</v>
      </c>
      <c r="G455" s="1" t="s">
        <v>46</v>
      </c>
      <c r="H455" s="1" t="s">
        <v>36</v>
      </c>
      <c r="I455" s="1" t="s">
        <v>27</v>
      </c>
      <c r="J455" s="1" t="s">
        <v>34</v>
      </c>
      <c r="K455" s="1" t="s">
        <v>1912</v>
      </c>
      <c r="L455" s="1" t="s">
        <v>1905</v>
      </c>
      <c r="M455" s="41">
        <v>46297</v>
      </c>
    </row>
    <row r="456" spans="1:13" x14ac:dyDescent="0.25">
      <c r="A456" s="1" t="s">
        <v>1903</v>
      </c>
      <c r="B456" s="1" t="s">
        <v>80</v>
      </c>
      <c r="C456" s="1" t="s">
        <v>7</v>
      </c>
      <c r="D456" s="1" t="s">
        <v>1415</v>
      </c>
      <c r="E456" s="1" t="s">
        <v>1416</v>
      </c>
      <c r="F456" s="1" t="s">
        <v>1520</v>
      </c>
      <c r="G456" s="1" t="s">
        <v>46</v>
      </c>
      <c r="H456" s="1" t="s">
        <v>36</v>
      </c>
      <c r="I456" s="1" t="s">
        <v>28</v>
      </c>
      <c r="J456" s="1" t="s">
        <v>34</v>
      </c>
      <c r="K456" s="1" t="s">
        <v>1913</v>
      </c>
      <c r="L456" s="1" t="s">
        <v>1905</v>
      </c>
      <c r="M456" s="41">
        <v>46297</v>
      </c>
    </row>
    <row r="457" spans="1:13" x14ac:dyDescent="0.25">
      <c r="A457" s="1" t="s">
        <v>1903</v>
      </c>
      <c r="B457" s="1" t="s">
        <v>80</v>
      </c>
      <c r="C457" s="1" t="s">
        <v>7</v>
      </c>
      <c r="D457" s="1" t="s">
        <v>1415</v>
      </c>
      <c r="E457" s="1" t="s">
        <v>1416</v>
      </c>
      <c r="F457" s="1" t="s">
        <v>1520</v>
      </c>
      <c r="G457" s="1" t="s">
        <v>46</v>
      </c>
      <c r="H457" s="1" t="s">
        <v>36</v>
      </c>
      <c r="I457" s="1" t="s">
        <v>29</v>
      </c>
      <c r="J457" s="1" t="s">
        <v>34</v>
      </c>
      <c r="K457" s="1" t="s">
        <v>1914</v>
      </c>
      <c r="L457" s="1" t="s">
        <v>1905</v>
      </c>
      <c r="M457" s="41">
        <v>46087</v>
      </c>
    </row>
    <row r="458" spans="1:13" x14ac:dyDescent="0.25">
      <c r="A458" s="1" t="s">
        <v>1903</v>
      </c>
      <c r="B458" s="1" t="s">
        <v>80</v>
      </c>
      <c r="C458" s="1" t="s">
        <v>7</v>
      </c>
      <c r="D458" s="1" t="s">
        <v>1415</v>
      </c>
      <c r="E458" s="1" t="s">
        <v>1416</v>
      </c>
      <c r="F458" s="1" t="s">
        <v>1520</v>
      </c>
      <c r="G458" s="1" t="s">
        <v>46</v>
      </c>
      <c r="H458" s="1" t="s">
        <v>36</v>
      </c>
      <c r="I458" s="1" t="s">
        <v>30</v>
      </c>
      <c r="J458" s="1" t="s">
        <v>34</v>
      </c>
      <c r="K458" s="1" t="s">
        <v>1915</v>
      </c>
      <c r="L458" s="1" t="s">
        <v>1905</v>
      </c>
      <c r="M458" s="41">
        <v>46297</v>
      </c>
    </row>
    <row r="459" spans="1:13" x14ac:dyDescent="0.25">
      <c r="A459" s="1" t="s">
        <v>1903</v>
      </c>
      <c r="B459" s="1" t="s">
        <v>80</v>
      </c>
      <c r="C459" s="1" t="s">
        <v>7</v>
      </c>
      <c r="D459" s="1" t="s">
        <v>1415</v>
      </c>
      <c r="E459" s="1" t="s">
        <v>1416</v>
      </c>
      <c r="F459" s="1" t="s">
        <v>1520</v>
      </c>
      <c r="G459" s="1" t="s">
        <v>46</v>
      </c>
      <c r="H459" s="1" t="s">
        <v>36</v>
      </c>
      <c r="I459" s="1" t="s">
        <v>31</v>
      </c>
      <c r="J459" s="1" t="s">
        <v>34</v>
      </c>
      <c r="K459" s="1" t="s">
        <v>1916</v>
      </c>
      <c r="L459" s="1" t="s">
        <v>1905</v>
      </c>
      <c r="M459" s="41">
        <v>46297</v>
      </c>
    </row>
    <row r="460" spans="1:13" x14ac:dyDescent="0.25">
      <c r="A460" s="1" t="s">
        <v>1903</v>
      </c>
      <c r="B460" s="1" t="s">
        <v>80</v>
      </c>
      <c r="C460" s="1" t="s">
        <v>7</v>
      </c>
      <c r="D460" s="1" t="s">
        <v>1415</v>
      </c>
      <c r="E460" s="1" t="s">
        <v>1416</v>
      </c>
      <c r="F460" s="1" t="s">
        <v>1520</v>
      </c>
      <c r="G460" s="1" t="s">
        <v>46</v>
      </c>
      <c r="H460" s="1" t="s">
        <v>36</v>
      </c>
      <c r="I460" s="1" t="s">
        <v>32</v>
      </c>
      <c r="J460" s="1" t="s">
        <v>34</v>
      </c>
      <c r="K460" s="1" t="s">
        <v>1917</v>
      </c>
      <c r="L460" s="1" t="s">
        <v>1905</v>
      </c>
      <c r="M460" s="41">
        <v>46297</v>
      </c>
    </row>
    <row r="461" spans="1:13" x14ac:dyDescent="0.25">
      <c r="A461" s="1" t="s">
        <v>1918</v>
      </c>
      <c r="B461" s="1" t="s">
        <v>81</v>
      </c>
      <c r="C461" s="1" t="s">
        <v>7</v>
      </c>
      <c r="D461" s="1" t="s">
        <v>1415</v>
      </c>
      <c r="E461" s="1" t="s">
        <v>1416</v>
      </c>
      <c r="F461" s="1" t="s">
        <v>1520</v>
      </c>
      <c r="G461" s="1" t="s">
        <v>46</v>
      </c>
      <c r="H461" s="1" t="s">
        <v>36</v>
      </c>
      <c r="I461" s="1" t="s">
        <v>20</v>
      </c>
      <c r="J461" s="1" t="s">
        <v>34</v>
      </c>
      <c r="K461" s="1" t="s">
        <v>1919</v>
      </c>
      <c r="L461" s="1" t="s">
        <v>1920</v>
      </c>
      <c r="M461" s="41">
        <v>46302</v>
      </c>
    </row>
    <row r="462" spans="1:13" x14ac:dyDescent="0.25">
      <c r="A462" s="1" t="s">
        <v>1918</v>
      </c>
      <c r="B462" s="1" t="s">
        <v>81</v>
      </c>
      <c r="C462" s="1" t="s">
        <v>7</v>
      </c>
      <c r="D462" s="1" t="s">
        <v>1415</v>
      </c>
      <c r="E462" s="1" t="s">
        <v>1416</v>
      </c>
      <c r="F462" s="1" t="s">
        <v>1520</v>
      </c>
      <c r="G462" s="1" t="s">
        <v>46</v>
      </c>
      <c r="H462" s="1" t="s">
        <v>36</v>
      </c>
      <c r="I462" s="1" t="s">
        <v>21</v>
      </c>
      <c r="J462" s="1" t="s">
        <v>34</v>
      </c>
      <c r="K462" s="1" t="s">
        <v>1921</v>
      </c>
      <c r="L462" s="1" t="s">
        <v>1920</v>
      </c>
      <c r="M462" s="41">
        <v>46302</v>
      </c>
    </row>
    <row r="463" spans="1:13" x14ac:dyDescent="0.25">
      <c r="A463" s="1" t="s">
        <v>1918</v>
      </c>
      <c r="B463" s="1" t="s">
        <v>81</v>
      </c>
      <c r="C463" s="1" t="s">
        <v>7</v>
      </c>
      <c r="D463" s="1" t="s">
        <v>1415</v>
      </c>
      <c r="E463" s="1" t="s">
        <v>1416</v>
      </c>
      <c r="F463" s="1" t="s">
        <v>1520</v>
      </c>
      <c r="G463" s="1" t="s">
        <v>46</v>
      </c>
      <c r="H463" s="1" t="s">
        <v>36</v>
      </c>
      <c r="I463" s="1" t="s">
        <v>22</v>
      </c>
      <c r="J463" s="1" t="s">
        <v>34</v>
      </c>
      <c r="K463" s="1" t="s">
        <v>1922</v>
      </c>
      <c r="L463" s="1" t="s">
        <v>1920</v>
      </c>
      <c r="M463" s="41">
        <v>46302</v>
      </c>
    </row>
    <row r="464" spans="1:13" x14ac:dyDescent="0.25">
      <c r="A464" s="1" t="s">
        <v>1918</v>
      </c>
      <c r="B464" s="1" t="s">
        <v>81</v>
      </c>
      <c r="C464" s="1" t="s">
        <v>7</v>
      </c>
      <c r="D464" s="1" t="s">
        <v>1415</v>
      </c>
      <c r="E464" s="1" t="s">
        <v>1416</v>
      </c>
      <c r="F464" s="1" t="s">
        <v>1520</v>
      </c>
      <c r="G464" s="1" t="s">
        <v>46</v>
      </c>
      <c r="H464" s="1" t="s">
        <v>36</v>
      </c>
      <c r="I464" s="1" t="s">
        <v>23</v>
      </c>
      <c r="J464" s="1" t="s">
        <v>34</v>
      </c>
      <c r="K464" s="1" t="s">
        <v>1923</v>
      </c>
      <c r="L464" s="1" t="s">
        <v>1920</v>
      </c>
      <c r="M464" s="41">
        <v>46302</v>
      </c>
    </row>
    <row r="465" spans="1:13" x14ac:dyDescent="0.25">
      <c r="A465" s="1" t="s">
        <v>1918</v>
      </c>
      <c r="B465" s="1" t="s">
        <v>81</v>
      </c>
      <c r="C465" s="1" t="s">
        <v>7</v>
      </c>
      <c r="D465" s="1" t="s">
        <v>1415</v>
      </c>
      <c r="E465" s="1" t="s">
        <v>1416</v>
      </c>
      <c r="F465" s="1" t="s">
        <v>1520</v>
      </c>
      <c r="G465" s="1" t="s">
        <v>46</v>
      </c>
      <c r="H465" s="1" t="s">
        <v>36</v>
      </c>
      <c r="I465" s="1" t="s">
        <v>24</v>
      </c>
      <c r="J465" s="1" t="s">
        <v>34</v>
      </c>
      <c r="K465" s="1" t="s">
        <v>1924</v>
      </c>
      <c r="L465" s="1" t="s">
        <v>1920</v>
      </c>
      <c r="M465" s="41">
        <v>46302</v>
      </c>
    </row>
    <row r="466" spans="1:13" x14ac:dyDescent="0.25">
      <c r="A466" s="1" t="s">
        <v>1918</v>
      </c>
      <c r="B466" s="1" t="s">
        <v>81</v>
      </c>
      <c r="C466" s="1" t="s">
        <v>7</v>
      </c>
      <c r="D466" s="1" t="s">
        <v>1415</v>
      </c>
      <c r="E466" s="1" t="s">
        <v>1416</v>
      </c>
      <c r="F466" s="1" t="s">
        <v>1520</v>
      </c>
      <c r="G466" s="1" t="s">
        <v>46</v>
      </c>
      <c r="H466" s="1" t="s">
        <v>36</v>
      </c>
      <c r="I466" s="1" t="s">
        <v>25</v>
      </c>
      <c r="J466" s="1" t="s">
        <v>34</v>
      </c>
      <c r="K466" s="1" t="s">
        <v>1925</v>
      </c>
      <c r="L466" s="1" t="s">
        <v>1920</v>
      </c>
      <c r="M466" s="41">
        <v>46302</v>
      </c>
    </row>
    <row r="467" spans="1:13" x14ac:dyDescent="0.25">
      <c r="A467" s="1" t="s">
        <v>1918</v>
      </c>
      <c r="B467" s="1" t="s">
        <v>81</v>
      </c>
      <c r="C467" s="1" t="s">
        <v>7</v>
      </c>
      <c r="D467" s="1" t="s">
        <v>1415</v>
      </c>
      <c r="E467" s="1" t="s">
        <v>1416</v>
      </c>
      <c r="F467" s="1" t="s">
        <v>1520</v>
      </c>
      <c r="G467" s="1" t="s">
        <v>46</v>
      </c>
      <c r="H467" s="1" t="s">
        <v>36</v>
      </c>
      <c r="I467" s="1" t="s">
        <v>26</v>
      </c>
      <c r="J467" s="1" t="s">
        <v>34</v>
      </c>
      <c r="K467" s="1" t="s">
        <v>1926</v>
      </c>
      <c r="L467" s="1" t="s">
        <v>1920</v>
      </c>
      <c r="M467" s="41">
        <v>46302</v>
      </c>
    </row>
    <row r="468" spans="1:13" x14ac:dyDescent="0.25">
      <c r="A468" s="1" t="s">
        <v>1918</v>
      </c>
      <c r="B468" s="1" t="s">
        <v>81</v>
      </c>
      <c r="C468" s="1" t="s">
        <v>7</v>
      </c>
      <c r="D468" s="1" t="s">
        <v>1415</v>
      </c>
      <c r="E468" s="1" t="s">
        <v>1416</v>
      </c>
      <c r="F468" s="1" t="s">
        <v>1520</v>
      </c>
      <c r="G468" s="1" t="s">
        <v>46</v>
      </c>
      <c r="H468" s="1" t="s">
        <v>36</v>
      </c>
      <c r="I468" s="1" t="s">
        <v>27</v>
      </c>
      <c r="J468" s="1" t="s">
        <v>34</v>
      </c>
      <c r="K468" s="1" t="s">
        <v>1927</v>
      </c>
      <c r="L468" s="1" t="s">
        <v>1920</v>
      </c>
      <c r="M468" s="41">
        <v>46302</v>
      </c>
    </row>
    <row r="469" spans="1:13" x14ac:dyDescent="0.25">
      <c r="A469" s="1" t="s">
        <v>1918</v>
      </c>
      <c r="B469" s="1" t="s">
        <v>81</v>
      </c>
      <c r="C469" s="1" t="s">
        <v>7</v>
      </c>
      <c r="D469" s="1" t="s">
        <v>1415</v>
      </c>
      <c r="E469" s="1" t="s">
        <v>1416</v>
      </c>
      <c r="F469" s="1" t="s">
        <v>1520</v>
      </c>
      <c r="G469" s="1" t="s">
        <v>46</v>
      </c>
      <c r="H469" s="1" t="s">
        <v>36</v>
      </c>
      <c r="I469" s="1" t="s">
        <v>28</v>
      </c>
      <c r="J469" s="1" t="s">
        <v>34</v>
      </c>
      <c r="K469" s="1" t="s">
        <v>1928</v>
      </c>
      <c r="L469" s="1" t="s">
        <v>1920</v>
      </c>
      <c r="M469" s="41">
        <v>46302</v>
      </c>
    </row>
    <row r="470" spans="1:13" x14ac:dyDescent="0.25">
      <c r="A470" s="1" t="s">
        <v>1918</v>
      </c>
      <c r="B470" s="1" t="s">
        <v>81</v>
      </c>
      <c r="C470" s="1" t="s">
        <v>7</v>
      </c>
      <c r="D470" s="1" t="s">
        <v>1415</v>
      </c>
      <c r="E470" s="1" t="s">
        <v>1416</v>
      </c>
      <c r="F470" s="1" t="s">
        <v>1520</v>
      </c>
      <c r="G470" s="1" t="s">
        <v>46</v>
      </c>
      <c r="H470" s="1" t="s">
        <v>36</v>
      </c>
      <c r="I470" s="1" t="s">
        <v>29</v>
      </c>
      <c r="J470" s="1" t="s">
        <v>34</v>
      </c>
      <c r="K470" s="1" t="s">
        <v>1929</v>
      </c>
      <c r="L470" s="1" t="s">
        <v>1920</v>
      </c>
      <c r="M470" s="41">
        <v>46302</v>
      </c>
    </row>
    <row r="471" spans="1:13" x14ac:dyDescent="0.25">
      <c r="A471" s="1" t="s">
        <v>1918</v>
      </c>
      <c r="B471" s="1" t="s">
        <v>81</v>
      </c>
      <c r="C471" s="1" t="s">
        <v>7</v>
      </c>
      <c r="D471" s="1" t="s">
        <v>1415</v>
      </c>
      <c r="E471" s="1" t="s">
        <v>1416</v>
      </c>
      <c r="F471" s="1" t="s">
        <v>1520</v>
      </c>
      <c r="G471" s="1" t="s">
        <v>46</v>
      </c>
      <c r="H471" s="1" t="s">
        <v>36</v>
      </c>
      <c r="I471" s="1" t="s">
        <v>30</v>
      </c>
      <c r="J471" s="1" t="s">
        <v>34</v>
      </c>
      <c r="K471" s="1" t="s">
        <v>1930</v>
      </c>
      <c r="L471" s="1" t="s">
        <v>1920</v>
      </c>
      <c r="M471" s="41">
        <v>46302</v>
      </c>
    </row>
    <row r="472" spans="1:13" x14ac:dyDescent="0.25">
      <c r="A472" s="1" t="s">
        <v>1918</v>
      </c>
      <c r="B472" s="1" t="s">
        <v>81</v>
      </c>
      <c r="C472" s="1" t="s">
        <v>7</v>
      </c>
      <c r="D472" s="1" t="s">
        <v>1415</v>
      </c>
      <c r="E472" s="1" t="s">
        <v>1416</v>
      </c>
      <c r="F472" s="1" t="s">
        <v>1520</v>
      </c>
      <c r="G472" s="1" t="s">
        <v>46</v>
      </c>
      <c r="H472" s="1" t="s">
        <v>36</v>
      </c>
      <c r="I472" s="1" t="s">
        <v>31</v>
      </c>
      <c r="J472" s="1" t="s">
        <v>34</v>
      </c>
      <c r="K472" s="1" t="s">
        <v>1931</v>
      </c>
      <c r="L472" s="1" t="s">
        <v>1920</v>
      </c>
      <c r="M472" s="41">
        <v>46087</v>
      </c>
    </row>
    <row r="473" spans="1:13" x14ac:dyDescent="0.25">
      <c r="A473" s="1" t="s">
        <v>1918</v>
      </c>
      <c r="B473" s="1" t="s">
        <v>81</v>
      </c>
      <c r="C473" s="1" t="s">
        <v>7</v>
      </c>
      <c r="D473" s="1" t="s">
        <v>1415</v>
      </c>
      <c r="E473" s="1" t="s">
        <v>1416</v>
      </c>
      <c r="F473" s="1" t="s">
        <v>1520</v>
      </c>
      <c r="G473" s="1" t="s">
        <v>46</v>
      </c>
      <c r="H473" s="1" t="s">
        <v>36</v>
      </c>
      <c r="I473" s="1" t="s">
        <v>32</v>
      </c>
      <c r="J473" s="1" t="s">
        <v>34</v>
      </c>
      <c r="K473" s="1" t="s">
        <v>1932</v>
      </c>
      <c r="L473" s="1" t="s">
        <v>1920</v>
      </c>
      <c r="M473" s="41">
        <v>46302</v>
      </c>
    </row>
    <row r="474" spans="1:13" x14ac:dyDescent="0.25">
      <c r="A474" s="1" t="s">
        <v>1933</v>
      </c>
      <c r="B474" s="1" t="s">
        <v>82</v>
      </c>
      <c r="C474" s="1" t="s">
        <v>7</v>
      </c>
      <c r="D474" s="1" t="s">
        <v>1415</v>
      </c>
      <c r="E474" s="1" t="s">
        <v>1416</v>
      </c>
      <c r="F474" s="1" t="s">
        <v>1520</v>
      </c>
      <c r="G474" s="1" t="s">
        <v>46</v>
      </c>
      <c r="H474" s="1" t="s">
        <v>36</v>
      </c>
      <c r="I474" s="1" t="s">
        <v>20</v>
      </c>
      <c r="J474" s="1" t="s">
        <v>34</v>
      </c>
      <c r="K474" s="1" t="s">
        <v>1934</v>
      </c>
      <c r="L474" s="1" t="s">
        <v>1816</v>
      </c>
      <c r="M474" s="41">
        <v>46302</v>
      </c>
    </row>
    <row r="475" spans="1:13" x14ac:dyDescent="0.25">
      <c r="A475" s="1" t="s">
        <v>1933</v>
      </c>
      <c r="B475" s="1" t="s">
        <v>82</v>
      </c>
      <c r="C475" s="1" t="s">
        <v>7</v>
      </c>
      <c r="D475" s="1" t="s">
        <v>1415</v>
      </c>
      <c r="E475" s="1" t="s">
        <v>1416</v>
      </c>
      <c r="F475" s="1" t="s">
        <v>1520</v>
      </c>
      <c r="G475" s="1" t="s">
        <v>46</v>
      </c>
      <c r="H475" s="1" t="s">
        <v>36</v>
      </c>
      <c r="I475" s="1" t="s">
        <v>21</v>
      </c>
      <c r="J475" s="1" t="s">
        <v>34</v>
      </c>
      <c r="K475" s="1" t="s">
        <v>1935</v>
      </c>
      <c r="L475" s="1" t="s">
        <v>1816</v>
      </c>
      <c r="M475" s="41">
        <v>46109</v>
      </c>
    </row>
    <row r="476" spans="1:13" x14ac:dyDescent="0.25">
      <c r="A476" s="1" t="s">
        <v>1933</v>
      </c>
      <c r="B476" s="1" t="s">
        <v>82</v>
      </c>
      <c r="C476" s="1" t="s">
        <v>7</v>
      </c>
      <c r="D476" s="1" t="s">
        <v>1415</v>
      </c>
      <c r="E476" s="1" t="s">
        <v>1416</v>
      </c>
      <c r="F476" s="1" t="s">
        <v>1520</v>
      </c>
      <c r="G476" s="1" t="s">
        <v>46</v>
      </c>
      <c r="H476" s="1" t="s">
        <v>36</v>
      </c>
      <c r="I476" s="1" t="s">
        <v>22</v>
      </c>
      <c r="J476" s="1" t="s">
        <v>34</v>
      </c>
      <c r="K476" s="1" t="s">
        <v>1936</v>
      </c>
      <c r="L476" s="1" t="s">
        <v>1816</v>
      </c>
      <c r="M476" s="41">
        <v>46087</v>
      </c>
    </row>
    <row r="477" spans="1:13" x14ac:dyDescent="0.25">
      <c r="A477" s="1" t="s">
        <v>1933</v>
      </c>
      <c r="B477" s="1" t="s">
        <v>82</v>
      </c>
      <c r="C477" s="1" t="s">
        <v>7</v>
      </c>
      <c r="D477" s="1" t="s">
        <v>1415</v>
      </c>
      <c r="E477" s="1" t="s">
        <v>1416</v>
      </c>
      <c r="F477" s="1" t="s">
        <v>1520</v>
      </c>
      <c r="G477" s="1" t="s">
        <v>46</v>
      </c>
      <c r="H477" s="1" t="s">
        <v>36</v>
      </c>
      <c r="I477" s="1" t="s">
        <v>23</v>
      </c>
      <c r="J477" s="1" t="s">
        <v>34</v>
      </c>
      <c r="K477" s="1" t="s">
        <v>1937</v>
      </c>
      <c r="L477" s="1" t="s">
        <v>1816</v>
      </c>
      <c r="M477" s="41">
        <v>46302</v>
      </c>
    </row>
    <row r="478" spans="1:13" x14ac:dyDescent="0.25">
      <c r="A478" s="1" t="s">
        <v>1933</v>
      </c>
      <c r="B478" s="1" t="s">
        <v>82</v>
      </c>
      <c r="C478" s="1" t="s">
        <v>7</v>
      </c>
      <c r="D478" s="1" t="s">
        <v>1415</v>
      </c>
      <c r="E478" s="1" t="s">
        <v>1416</v>
      </c>
      <c r="F478" s="1" t="s">
        <v>1520</v>
      </c>
      <c r="G478" s="1" t="s">
        <v>46</v>
      </c>
      <c r="H478" s="1" t="s">
        <v>36</v>
      </c>
      <c r="I478" s="1" t="s">
        <v>24</v>
      </c>
      <c r="J478" s="1" t="s">
        <v>34</v>
      </c>
      <c r="K478" s="1" t="s">
        <v>1938</v>
      </c>
      <c r="L478" s="1" t="s">
        <v>1816</v>
      </c>
      <c r="M478" s="41">
        <v>46302</v>
      </c>
    </row>
    <row r="479" spans="1:13" x14ac:dyDescent="0.25">
      <c r="A479" s="1" t="s">
        <v>1933</v>
      </c>
      <c r="B479" s="1" t="s">
        <v>82</v>
      </c>
      <c r="C479" s="1" t="s">
        <v>7</v>
      </c>
      <c r="D479" s="1" t="s">
        <v>1415</v>
      </c>
      <c r="E479" s="1" t="s">
        <v>1416</v>
      </c>
      <c r="F479" s="1" t="s">
        <v>1520</v>
      </c>
      <c r="G479" s="1" t="s">
        <v>46</v>
      </c>
      <c r="H479" s="1" t="s">
        <v>36</v>
      </c>
      <c r="I479" s="1" t="s">
        <v>25</v>
      </c>
      <c r="J479" s="1" t="s">
        <v>34</v>
      </c>
      <c r="K479" s="1" t="s">
        <v>1939</v>
      </c>
      <c r="L479" s="1" t="s">
        <v>1816</v>
      </c>
      <c r="M479" s="41">
        <v>46302</v>
      </c>
    </row>
    <row r="480" spans="1:13" x14ac:dyDescent="0.25">
      <c r="A480" s="1" t="s">
        <v>1933</v>
      </c>
      <c r="B480" s="1" t="s">
        <v>82</v>
      </c>
      <c r="C480" s="1" t="s">
        <v>7</v>
      </c>
      <c r="D480" s="1" t="s">
        <v>1415</v>
      </c>
      <c r="E480" s="1" t="s">
        <v>1416</v>
      </c>
      <c r="F480" s="1" t="s">
        <v>1520</v>
      </c>
      <c r="G480" s="1" t="s">
        <v>46</v>
      </c>
      <c r="H480" s="1" t="s">
        <v>36</v>
      </c>
      <c r="I480" s="1" t="s">
        <v>26</v>
      </c>
      <c r="J480" s="1" t="s">
        <v>34</v>
      </c>
      <c r="K480" s="1" t="s">
        <v>1940</v>
      </c>
      <c r="L480" s="1" t="s">
        <v>1816</v>
      </c>
      <c r="M480" s="41">
        <v>46302</v>
      </c>
    </row>
    <row r="481" spans="1:13" x14ac:dyDescent="0.25">
      <c r="A481" s="1" t="s">
        <v>1933</v>
      </c>
      <c r="B481" s="1" t="s">
        <v>82</v>
      </c>
      <c r="C481" s="1" t="s">
        <v>7</v>
      </c>
      <c r="D481" s="1" t="s">
        <v>1415</v>
      </c>
      <c r="E481" s="1" t="s">
        <v>1416</v>
      </c>
      <c r="F481" s="1" t="s">
        <v>1520</v>
      </c>
      <c r="G481" s="1" t="s">
        <v>46</v>
      </c>
      <c r="H481" s="1" t="s">
        <v>36</v>
      </c>
      <c r="I481" s="1" t="s">
        <v>27</v>
      </c>
      <c r="J481" s="1" t="s">
        <v>34</v>
      </c>
      <c r="K481" s="1" t="s">
        <v>1941</v>
      </c>
      <c r="L481" s="1" t="s">
        <v>1816</v>
      </c>
      <c r="M481" s="41">
        <v>46302</v>
      </c>
    </row>
    <row r="482" spans="1:13" x14ac:dyDescent="0.25">
      <c r="A482" s="1" t="s">
        <v>1933</v>
      </c>
      <c r="B482" s="1" t="s">
        <v>82</v>
      </c>
      <c r="C482" s="1" t="s">
        <v>7</v>
      </c>
      <c r="D482" s="1" t="s">
        <v>1415</v>
      </c>
      <c r="E482" s="1" t="s">
        <v>1416</v>
      </c>
      <c r="F482" s="1" t="s">
        <v>1520</v>
      </c>
      <c r="G482" s="1" t="s">
        <v>46</v>
      </c>
      <c r="H482" s="1" t="s">
        <v>36</v>
      </c>
      <c r="I482" s="1" t="s">
        <v>28</v>
      </c>
      <c r="J482" s="1" t="s">
        <v>34</v>
      </c>
      <c r="K482" s="1" t="s">
        <v>1942</v>
      </c>
      <c r="L482" s="1" t="s">
        <v>1816</v>
      </c>
      <c r="M482" s="41">
        <v>46302</v>
      </c>
    </row>
    <row r="483" spans="1:13" x14ac:dyDescent="0.25">
      <c r="A483" s="1" t="s">
        <v>1933</v>
      </c>
      <c r="B483" s="1" t="s">
        <v>82</v>
      </c>
      <c r="C483" s="1" t="s">
        <v>7</v>
      </c>
      <c r="D483" s="1" t="s">
        <v>1415</v>
      </c>
      <c r="E483" s="1" t="s">
        <v>1416</v>
      </c>
      <c r="F483" s="1" t="s">
        <v>1520</v>
      </c>
      <c r="G483" s="1" t="s">
        <v>46</v>
      </c>
      <c r="H483" s="1" t="s">
        <v>36</v>
      </c>
      <c r="I483" s="1" t="s">
        <v>29</v>
      </c>
      <c r="J483" s="1" t="s">
        <v>34</v>
      </c>
      <c r="K483" s="1" t="s">
        <v>1943</v>
      </c>
      <c r="L483" s="1" t="s">
        <v>1816</v>
      </c>
      <c r="M483" s="41">
        <v>46302</v>
      </c>
    </row>
    <row r="484" spans="1:13" x14ac:dyDescent="0.25">
      <c r="A484" s="1" t="s">
        <v>1933</v>
      </c>
      <c r="B484" s="1" t="s">
        <v>82</v>
      </c>
      <c r="C484" s="1" t="s">
        <v>7</v>
      </c>
      <c r="D484" s="1" t="s">
        <v>1415</v>
      </c>
      <c r="E484" s="1" t="s">
        <v>1416</v>
      </c>
      <c r="F484" s="1" t="s">
        <v>1520</v>
      </c>
      <c r="G484" s="1" t="s">
        <v>46</v>
      </c>
      <c r="H484" s="1" t="s">
        <v>36</v>
      </c>
      <c r="I484" s="1" t="s">
        <v>30</v>
      </c>
      <c r="J484" s="1" t="s">
        <v>34</v>
      </c>
      <c r="K484" s="1" t="s">
        <v>1944</v>
      </c>
      <c r="L484" s="1" t="s">
        <v>1816</v>
      </c>
      <c r="M484" s="41">
        <v>46302</v>
      </c>
    </row>
    <row r="485" spans="1:13" x14ac:dyDescent="0.25">
      <c r="A485" s="1" t="s">
        <v>1933</v>
      </c>
      <c r="B485" s="1" t="s">
        <v>82</v>
      </c>
      <c r="C485" s="1" t="s">
        <v>7</v>
      </c>
      <c r="D485" s="1" t="s">
        <v>1415</v>
      </c>
      <c r="E485" s="1" t="s">
        <v>1416</v>
      </c>
      <c r="F485" s="1" t="s">
        <v>1520</v>
      </c>
      <c r="G485" s="1" t="s">
        <v>46</v>
      </c>
      <c r="H485" s="1" t="s">
        <v>36</v>
      </c>
      <c r="I485" s="1" t="s">
        <v>31</v>
      </c>
      <c r="J485" s="1" t="s">
        <v>34</v>
      </c>
      <c r="K485" s="1" t="s">
        <v>1945</v>
      </c>
      <c r="L485" s="1" t="s">
        <v>1816</v>
      </c>
      <c r="M485" s="41">
        <v>46109</v>
      </c>
    </row>
    <row r="486" spans="1:13" x14ac:dyDescent="0.25">
      <c r="A486" s="1" t="s">
        <v>1933</v>
      </c>
      <c r="B486" s="1" t="s">
        <v>82</v>
      </c>
      <c r="C486" s="1" t="s">
        <v>7</v>
      </c>
      <c r="D486" s="1" t="s">
        <v>1415</v>
      </c>
      <c r="E486" s="1" t="s">
        <v>1416</v>
      </c>
      <c r="F486" s="1" t="s">
        <v>1520</v>
      </c>
      <c r="G486" s="1" t="s">
        <v>46</v>
      </c>
      <c r="H486" s="1" t="s">
        <v>36</v>
      </c>
      <c r="I486" s="1" t="s">
        <v>32</v>
      </c>
      <c r="J486" s="1" t="s">
        <v>34</v>
      </c>
      <c r="K486" s="1" t="s">
        <v>1946</v>
      </c>
      <c r="L486" s="1" t="s">
        <v>1816</v>
      </c>
      <c r="M486" s="41">
        <v>46136</v>
      </c>
    </row>
    <row r="487" spans="1:13" x14ac:dyDescent="0.25">
      <c r="A487" s="1" t="s">
        <v>1947</v>
      </c>
      <c r="B487" s="1" t="s">
        <v>83</v>
      </c>
      <c r="C487" s="1" t="s">
        <v>7</v>
      </c>
      <c r="D487" s="1" t="s">
        <v>1415</v>
      </c>
      <c r="E487" s="1" t="s">
        <v>1416</v>
      </c>
      <c r="F487" s="1" t="s">
        <v>1520</v>
      </c>
      <c r="G487" s="1" t="s">
        <v>58</v>
      </c>
      <c r="H487" s="1" t="s">
        <v>36</v>
      </c>
      <c r="I487" s="1" t="s">
        <v>20</v>
      </c>
      <c r="J487" s="1" t="s">
        <v>57</v>
      </c>
      <c r="K487" s="1" t="s">
        <v>1948</v>
      </c>
      <c r="L487" s="1" t="s">
        <v>1701</v>
      </c>
      <c r="M487" s="41" t="s">
        <v>9</v>
      </c>
    </row>
    <row r="488" spans="1:13" x14ac:dyDescent="0.25">
      <c r="A488" s="1" t="s">
        <v>1947</v>
      </c>
      <c r="B488" s="1" t="s">
        <v>83</v>
      </c>
      <c r="C488" s="1" t="s">
        <v>7</v>
      </c>
      <c r="D488" s="1" t="s">
        <v>1415</v>
      </c>
      <c r="E488" s="1" t="s">
        <v>1416</v>
      </c>
      <c r="F488" s="1" t="s">
        <v>1520</v>
      </c>
      <c r="G488" s="1" t="s">
        <v>58</v>
      </c>
      <c r="H488" s="1" t="s">
        <v>36</v>
      </c>
      <c r="I488" s="1" t="s">
        <v>21</v>
      </c>
      <c r="J488" s="1" t="s">
        <v>57</v>
      </c>
      <c r="K488" s="1" t="s">
        <v>1949</v>
      </c>
      <c r="L488" s="1" t="s">
        <v>1701</v>
      </c>
      <c r="M488" s="41" t="s">
        <v>9</v>
      </c>
    </row>
    <row r="489" spans="1:13" x14ac:dyDescent="0.25">
      <c r="A489" s="1" t="s">
        <v>1947</v>
      </c>
      <c r="B489" s="1" t="s">
        <v>83</v>
      </c>
      <c r="C489" s="1" t="s">
        <v>7</v>
      </c>
      <c r="D489" s="1" t="s">
        <v>1415</v>
      </c>
      <c r="E489" s="1" t="s">
        <v>1416</v>
      </c>
      <c r="F489" s="1" t="s">
        <v>1520</v>
      </c>
      <c r="G489" s="1" t="s">
        <v>58</v>
      </c>
      <c r="H489" s="1" t="s">
        <v>36</v>
      </c>
      <c r="I489" s="1" t="s">
        <v>22</v>
      </c>
      <c r="J489" s="1" t="s">
        <v>57</v>
      </c>
      <c r="K489" s="1" t="s">
        <v>1950</v>
      </c>
      <c r="L489" s="1" t="s">
        <v>1701</v>
      </c>
      <c r="M489" s="41" t="s">
        <v>9</v>
      </c>
    </row>
    <row r="490" spans="1:13" x14ac:dyDescent="0.25">
      <c r="A490" s="1" t="s">
        <v>1947</v>
      </c>
      <c r="B490" s="1" t="s">
        <v>83</v>
      </c>
      <c r="C490" s="1" t="s">
        <v>7</v>
      </c>
      <c r="D490" s="1" t="s">
        <v>1415</v>
      </c>
      <c r="E490" s="1" t="s">
        <v>1416</v>
      </c>
      <c r="F490" s="1" t="s">
        <v>1520</v>
      </c>
      <c r="G490" s="1" t="s">
        <v>58</v>
      </c>
      <c r="H490" s="1" t="s">
        <v>36</v>
      </c>
      <c r="I490" s="1" t="s">
        <v>23</v>
      </c>
      <c r="J490" s="1" t="s">
        <v>57</v>
      </c>
      <c r="K490" s="1" t="s">
        <v>1951</v>
      </c>
      <c r="L490" s="1" t="s">
        <v>1701</v>
      </c>
      <c r="M490" s="41" t="s">
        <v>9</v>
      </c>
    </row>
    <row r="491" spans="1:13" x14ac:dyDescent="0.25">
      <c r="A491" s="1" t="s">
        <v>1947</v>
      </c>
      <c r="B491" s="1" t="s">
        <v>83</v>
      </c>
      <c r="C491" s="1" t="s">
        <v>7</v>
      </c>
      <c r="D491" s="1" t="s">
        <v>1415</v>
      </c>
      <c r="E491" s="1" t="s">
        <v>1416</v>
      </c>
      <c r="F491" s="1" t="s">
        <v>1520</v>
      </c>
      <c r="G491" s="1" t="s">
        <v>58</v>
      </c>
      <c r="H491" s="1" t="s">
        <v>36</v>
      </c>
      <c r="I491" s="1" t="s">
        <v>24</v>
      </c>
      <c r="J491" s="1" t="s">
        <v>57</v>
      </c>
      <c r="K491" s="1" t="s">
        <v>1952</v>
      </c>
      <c r="L491" s="1" t="s">
        <v>1701</v>
      </c>
      <c r="M491" s="41" t="s">
        <v>9</v>
      </c>
    </row>
    <row r="492" spans="1:13" x14ac:dyDescent="0.25">
      <c r="A492" s="1" t="s">
        <v>1947</v>
      </c>
      <c r="B492" s="1" t="s">
        <v>83</v>
      </c>
      <c r="C492" s="1" t="s">
        <v>7</v>
      </c>
      <c r="D492" s="1" t="s">
        <v>1415</v>
      </c>
      <c r="E492" s="1" t="s">
        <v>1416</v>
      </c>
      <c r="F492" s="1" t="s">
        <v>1520</v>
      </c>
      <c r="G492" s="1" t="s">
        <v>58</v>
      </c>
      <c r="H492" s="1" t="s">
        <v>36</v>
      </c>
      <c r="I492" s="1" t="s">
        <v>25</v>
      </c>
      <c r="J492" s="1" t="s">
        <v>57</v>
      </c>
      <c r="K492" s="1" t="s">
        <v>1953</v>
      </c>
      <c r="L492" s="1" t="s">
        <v>1701</v>
      </c>
      <c r="M492" s="41" t="s">
        <v>9</v>
      </c>
    </row>
    <row r="493" spans="1:13" x14ac:dyDescent="0.25">
      <c r="A493" s="1" t="s">
        <v>1947</v>
      </c>
      <c r="B493" s="1" t="s">
        <v>83</v>
      </c>
      <c r="C493" s="1" t="s">
        <v>7</v>
      </c>
      <c r="D493" s="1" t="s">
        <v>1415</v>
      </c>
      <c r="E493" s="1" t="s">
        <v>1416</v>
      </c>
      <c r="F493" s="1" t="s">
        <v>1520</v>
      </c>
      <c r="G493" s="1" t="s">
        <v>58</v>
      </c>
      <c r="H493" s="1" t="s">
        <v>36</v>
      </c>
      <c r="I493" s="1" t="s">
        <v>26</v>
      </c>
      <c r="J493" s="1" t="s">
        <v>57</v>
      </c>
      <c r="K493" s="1" t="s">
        <v>1954</v>
      </c>
      <c r="L493" s="1" t="s">
        <v>1701</v>
      </c>
      <c r="M493" s="41" t="s">
        <v>9</v>
      </c>
    </row>
    <row r="494" spans="1:13" x14ac:dyDescent="0.25">
      <c r="A494" s="1" t="s">
        <v>1947</v>
      </c>
      <c r="B494" s="1" t="s">
        <v>83</v>
      </c>
      <c r="C494" s="1" t="s">
        <v>7</v>
      </c>
      <c r="D494" s="1" t="s">
        <v>1415</v>
      </c>
      <c r="E494" s="1" t="s">
        <v>1416</v>
      </c>
      <c r="F494" s="1" t="s">
        <v>1520</v>
      </c>
      <c r="G494" s="1" t="s">
        <v>58</v>
      </c>
      <c r="H494" s="1" t="s">
        <v>36</v>
      </c>
      <c r="I494" s="1" t="s">
        <v>27</v>
      </c>
      <c r="J494" s="1" t="s">
        <v>57</v>
      </c>
      <c r="K494" s="1" t="s">
        <v>1955</v>
      </c>
      <c r="L494" s="1" t="s">
        <v>1701</v>
      </c>
      <c r="M494" s="41" t="s">
        <v>9</v>
      </c>
    </row>
    <row r="495" spans="1:13" x14ac:dyDescent="0.25">
      <c r="A495" s="1" t="s">
        <v>1947</v>
      </c>
      <c r="B495" s="1" t="s">
        <v>83</v>
      </c>
      <c r="C495" s="1" t="s">
        <v>7</v>
      </c>
      <c r="D495" s="1" t="s">
        <v>1415</v>
      </c>
      <c r="E495" s="1" t="s">
        <v>1416</v>
      </c>
      <c r="F495" s="1" t="s">
        <v>1520</v>
      </c>
      <c r="G495" s="1" t="s">
        <v>58</v>
      </c>
      <c r="H495" s="1" t="s">
        <v>36</v>
      </c>
      <c r="I495" s="1" t="s">
        <v>28</v>
      </c>
      <c r="J495" s="1" t="s">
        <v>57</v>
      </c>
      <c r="K495" s="1" t="s">
        <v>1956</v>
      </c>
      <c r="L495" s="1" t="s">
        <v>1701</v>
      </c>
      <c r="M495" s="41" t="s">
        <v>9</v>
      </c>
    </row>
    <row r="496" spans="1:13" x14ac:dyDescent="0.25">
      <c r="A496" s="1" t="s">
        <v>1947</v>
      </c>
      <c r="B496" s="1" t="s">
        <v>83</v>
      </c>
      <c r="C496" s="1" t="s">
        <v>7</v>
      </c>
      <c r="D496" s="1" t="s">
        <v>1415</v>
      </c>
      <c r="E496" s="1" t="s">
        <v>1416</v>
      </c>
      <c r="F496" s="1" t="s">
        <v>1520</v>
      </c>
      <c r="G496" s="1" t="s">
        <v>58</v>
      </c>
      <c r="H496" s="1" t="s">
        <v>36</v>
      </c>
      <c r="I496" s="1" t="s">
        <v>56</v>
      </c>
      <c r="J496" s="1" t="s">
        <v>57</v>
      </c>
      <c r="K496" s="1" t="s">
        <v>1957</v>
      </c>
      <c r="L496" s="1" t="s">
        <v>1701</v>
      </c>
      <c r="M496" s="41" t="s">
        <v>9</v>
      </c>
    </row>
    <row r="497" spans="1:13" x14ac:dyDescent="0.25">
      <c r="A497" s="1" t="s">
        <v>1947</v>
      </c>
      <c r="B497" s="1" t="s">
        <v>83</v>
      </c>
      <c r="C497" s="1" t="s">
        <v>7</v>
      </c>
      <c r="D497" s="1" t="s">
        <v>1415</v>
      </c>
      <c r="E497" s="1" t="s">
        <v>1416</v>
      </c>
      <c r="F497" s="1" t="s">
        <v>1520</v>
      </c>
      <c r="G497" s="1" t="s">
        <v>58</v>
      </c>
      <c r="H497" s="1" t="s">
        <v>36</v>
      </c>
      <c r="I497" s="1" t="s">
        <v>29</v>
      </c>
      <c r="J497" s="1" t="s">
        <v>57</v>
      </c>
      <c r="K497" s="1" t="s">
        <v>1958</v>
      </c>
      <c r="L497" s="1" t="s">
        <v>1701</v>
      </c>
      <c r="M497" s="41" t="s">
        <v>9</v>
      </c>
    </row>
    <row r="498" spans="1:13" x14ac:dyDescent="0.25">
      <c r="A498" s="1" t="s">
        <v>1947</v>
      </c>
      <c r="B498" s="1" t="s">
        <v>83</v>
      </c>
      <c r="C498" s="1" t="s">
        <v>7</v>
      </c>
      <c r="D498" s="1" t="s">
        <v>1415</v>
      </c>
      <c r="E498" s="1" t="s">
        <v>1416</v>
      </c>
      <c r="F498" s="1" t="s">
        <v>1520</v>
      </c>
      <c r="G498" s="1" t="s">
        <v>58</v>
      </c>
      <c r="H498" s="1" t="s">
        <v>36</v>
      </c>
      <c r="I498" s="1" t="s">
        <v>30</v>
      </c>
      <c r="J498" s="1" t="s">
        <v>57</v>
      </c>
      <c r="K498" s="1" t="s">
        <v>1959</v>
      </c>
      <c r="L498" s="1" t="s">
        <v>1701</v>
      </c>
      <c r="M498" s="41" t="s">
        <v>9</v>
      </c>
    </row>
    <row r="499" spans="1:13" x14ac:dyDescent="0.25">
      <c r="A499" s="1" t="s">
        <v>1947</v>
      </c>
      <c r="B499" s="1" t="s">
        <v>83</v>
      </c>
      <c r="C499" s="1" t="s">
        <v>7</v>
      </c>
      <c r="D499" s="1" t="s">
        <v>1415</v>
      </c>
      <c r="E499" s="1" t="s">
        <v>1416</v>
      </c>
      <c r="F499" s="1" t="s">
        <v>1520</v>
      </c>
      <c r="G499" s="1" t="s">
        <v>58</v>
      </c>
      <c r="H499" s="1" t="s">
        <v>36</v>
      </c>
      <c r="I499" s="1" t="s">
        <v>31</v>
      </c>
      <c r="J499" s="1" t="s">
        <v>57</v>
      </c>
      <c r="K499" s="1" t="s">
        <v>1960</v>
      </c>
      <c r="L499" s="1" t="s">
        <v>1701</v>
      </c>
      <c r="M499" s="41" t="s">
        <v>9</v>
      </c>
    </row>
    <row r="500" spans="1:13" x14ac:dyDescent="0.25">
      <c r="A500" s="1" t="s">
        <v>1947</v>
      </c>
      <c r="B500" s="1" t="s">
        <v>83</v>
      </c>
      <c r="C500" s="1" t="s">
        <v>7</v>
      </c>
      <c r="D500" s="1" t="s">
        <v>1415</v>
      </c>
      <c r="E500" s="1" t="s">
        <v>1416</v>
      </c>
      <c r="F500" s="1" t="s">
        <v>1520</v>
      </c>
      <c r="G500" s="1" t="s">
        <v>58</v>
      </c>
      <c r="H500" s="1" t="s">
        <v>36</v>
      </c>
      <c r="I500" s="1" t="s">
        <v>32</v>
      </c>
      <c r="J500" s="1" t="s">
        <v>57</v>
      </c>
      <c r="K500" s="1" t="s">
        <v>1961</v>
      </c>
      <c r="L500" s="1" t="s">
        <v>1701</v>
      </c>
      <c r="M500" s="41" t="s">
        <v>9</v>
      </c>
    </row>
    <row r="501" spans="1:13" x14ac:dyDescent="0.25">
      <c r="A501" s="1" t="s">
        <v>1947</v>
      </c>
      <c r="B501" s="1" t="s">
        <v>83</v>
      </c>
      <c r="C501" s="1" t="s">
        <v>7</v>
      </c>
      <c r="D501" s="1" t="s">
        <v>1415</v>
      </c>
      <c r="E501" s="1" t="s">
        <v>1416</v>
      </c>
      <c r="F501" s="1" t="s">
        <v>1520</v>
      </c>
      <c r="G501" s="1" t="s">
        <v>58</v>
      </c>
      <c r="H501" s="1" t="s">
        <v>36</v>
      </c>
      <c r="I501" s="1" t="s">
        <v>20</v>
      </c>
      <c r="J501" s="1" t="s">
        <v>34</v>
      </c>
      <c r="K501" s="1" t="s">
        <v>1962</v>
      </c>
      <c r="L501" s="1" t="s">
        <v>1701</v>
      </c>
      <c r="M501" s="41">
        <v>46302</v>
      </c>
    </row>
    <row r="502" spans="1:13" x14ac:dyDescent="0.25">
      <c r="A502" s="1" t="s">
        <v>1947</v>
      </c>
      <c r="B502" s="1" t="s">
        <v>83</v>
      </c>
      <c r="C502" s="1" t="s">
        <v>7</v>
      </c>
      <c r="D502" s="1" t="s">
        <v>1415</v>
      </c>
      <c r="E502" s="1" t="s">
        <v>1416</v>
      </c>
      <c r="F502" s="1" t="s">
        <v>1520</v>
      </c>
      <c r="G502" s="1" t="s">
        <v>58</v>
      </c>
      <c r="H502" s="1" t="s">
        <v>36</v>
      </c>
      <c r="I502" s="1" t="s">
        <v>21</v>
      </c>
      <c r="J502" s="1" t="s">
        <v>34</v>
      </c>
      <c r="K502" s="1" t="s">
        <v>1963</v>
      </c>
      <c r="L502" s="1" t="s">
        <v>1701</v>
      </c>
      <c r="M502" s="41">
        <v>46302</v>
      </c>
    </row>
    <row r="503" spans="1:13" x14ac:dyDescent="0.25">
      <c r="A503" s="1" t="s">
        <v>1947</v>
      </c>
      <c r="B503" s="1" t="s">
        <v>83</v>
      </c>
      <c r="C503" s="1" t="s">
        <v>7</v>
      </c>
      <c r="D503" s="1" t="s">
        <v>1415</v>
      </c>
      <c r="E503" s="1" t="s">
        <v>1416</v>
      </c>
      <c r="F503" s="1" t="s">
        <v>1520</v>
      </c>
      <c r="G503" s="1" t="s">
        <v>58</v>
      </c>
      <c r="H503" s="1" t="s">
        <v>36</v>
      </c>
      <c r="I503" s="1" t="s">
        <v>22</v>
      </c>
      <c r="J503" s="1" t="s">
        <v>34</v>
      </c>
      <c r="K503" s="1" t="s">
        <v>1964</v>
      </c>
      <c r="L503" s="1" t="s">
        <v>1701</v>
      </c>
      <c r="M503" s="41">
        <v>46302</v>
      </c>
    </row>
    <row r="504" spans="1:13" x14ac:dyDescent="0.25">
      <c r="A504" s="1" t="s">
        <v>1947</v>
      </c>
      <c r="B504" s="1" t="s">
        <v>83</v>
      </c>
      <c r="C504" s="1" t="s">
        <v>7</v>
      </c>
      <c r="D504" s="1" t="s">
        <v>1415</v>
      </c>
      <c r="E504" s="1" t="s">
        <v>1416</v>
      </c>
      <c r="F504" s="1" t="s">
        <v>1520</v>
      </c>
      <c r="G504" s="1" t="s">
        <v>58</v>
      </c>
      <c r="H504" s="1" t="s">
        <v>36</v>
      </c>
      <c r="I504" s="1" t="s">
        <v>23</v>
      </c>
      <c r="J504" s="1" t="s">
        <v>34</v>
      </c>
      <c r="K504" s="1" t="s">
        <v>1965</v>
      </c>
      <c r="L504" s="1" t="s">
        <v>1701</v>
      </c>
      <c r="M504" s="41">
        <v>46087</v>
      </c>
    </row>
    <row r="505" spans="1:13" x14ac:dyDescent="0.25">
      <c r="A505" s="1" t="s">
        <v>1947</v>
      </c>
      <c r="B505" s="1" t="s">
        <v>83</v>
      </c>
      <c r="C505" s="1" t="s">
        <v>7</v>
      </c>
      <c r="D505" s="1" t="s">
        <v>1415</v>
      </c>
      <c r="E505" s="1" t="s">
        <v>1416</v>
      </c>
      <c r="F505" s="1" t="s">
        <v>1520</v>
      </c>
      <c r="G505" s="1" t="s">
        <v>58</v>
      </c>
      <c r="H505" s="1" t="s">
        <v>36</v>
      </c>
      <c r="I505" s="1" t="s">
        <v>24</v>
      </c>
      <c r="J505" s="1" t="s">
        <v>34</v>
      </c>
      <c r="K505" s="1" t="s">
        <v>1966</v>
      </c>
      <c r="L505" s="1" t="s">
        <v>1701</v>
      </c>
      <c r="M505" s="41">
        <v>46087</v>
      </c>
    </row>
    <row r="506" spans="1:13" x14ac:dyDescent="0.25">
      <c r="A506" s="1" t="s">
        <v>1947</v>
      </c>
      <c r="B506" s="1" t="s">
        <v>83</v>
      </c>
      <c r="C506" s="1" t="s">
        <v>7</v>
      </c>
      <c r="D506" s="1" t="s">
        <v>1415</v>
      </c>
      <c r="E506" s="1" t="s">
        <v>1416</v>
      </c>
      <c r="F506" s="1" t="s">
        <v>1520</v>
      </c>
      <c r="G506" s="1" t="s">
        <v>58</v>
      </c>
      <c r="H506" s="1" t="s">
        <v>36</v>
      </c>
      <c r="I506" s="1" t="s">
        <v>25</v>
      </c>
      <c r="J506" s="1" t="s">
        <v>34</v>
      </c>
      <c r="K506" s="1" t="s">
        <v>1967</v>
      </c>
      <c r="L506" s="1" t="s">
        <v>1701</v>
      </c>
      <c r="M506" s="41">
        <v>46087</v>
      </c>
    </row>
    <row r="507" spans="1:13" x14ac:dyDescent="0.25">
      <c r="A507" s="1" t="s">
        <v>1947</v>
      </c>
      <c r="B507" s="1" t="s">
        <v>83</v>
      </c>
      <c r="C507" s="1" t="s">
        <v>7</v>
      </c>
      <c r="D507" s="1" t="s">
        <v>1415</v>
      </c>
      <c r="E507" s="1" t="s">
        <v>1416</v>
      </c>
      <c r="F507" s="1" t="s">
        <v>1520</v>
      </c>
      <c r="G507" s="1" t="s">
        <v>58</v>
      </c>
      <c r="H507" s="1" t="s">
        <v>36</v>
      </c>
      <c r="I507" s="1" t="s">
        <v>26</v>
      </c>
      <c r="J507" s="1" t="s">
        <v>34</v>
      </c>
      <c r="K507" s="1" t="s">
        <v>1968</v>
      </c>
      <c r="L507" s="1" t="s">
        <v>1701</v>
      </c>
      <c r="M507" s="41">
        <v>46087</v>
      </c>
    </row>
    <row r="508" spans="1:13" x14ac:dyDescent="0.25">
      <c r="A508" s="1" t="s">
        <v>1947</v>
      </c>
      <c r="B508" s="1" t="s">
        <v>83</v>
      </c>
      <c r="C508" s="1" t="s">
        <v>7</v>
      </c>
      <c r="D508" s="1" t="s">
        <v>1415</v>
      </c>
      <c r="E508" s="1" t="s">
        <v>1416</v>
      </c>
      <c r="F508" s="1" t="s">
        <v>1520</v>
      </c>
      <c r="G508" s="1" t="s">
        <v>58</v>
      </c>
      <c r="H508" s="1" t="s">
        <v>36</v>
      </c>
      <c r="I508" s="1" t="s">
        <v>27</v>
      </c>
      <c r="J508" s="1" t="s">
        <v>34</v>
      </c>
      <c r="K508" s="1" t="s">
        <v>1969</v>
      </c>
      <c r="L508" s="1" t="s">
        <v>1701</v>
      </c>
      <c r="M508" s="41">
        <v>46087</v>
      </c>
    </row>
    <row r="509" spans="1:13" x14ac:dyDescent="0.25">
      <c r="A509" s="1" t="s">
        <v>1947</v>
      </c>
      <c r="B509" s="1" t="s">
        <v>83</v>
      </c>
      <c r="C509" s="1" t="s">
        <v>7</v>
      </c>
      <c r="D509" s="1" t="s">
        <v>1415</v>
      </c>
      <c r="E509" s="1" t="s">
        <v>1416</v>
      </c>
      <c r="F509" s="1" t="s">
        <v>1520</v>
      </c>
      <c r="G509" s="1" t="s">
        <v>58</v>
      </c>
      <c r="H509" s="1" t="s">
        <v>36</v>
      </c>
      <c r="I509" s="1" t="s">
        <v>28</v>
      </c>
      <c r="J509" s="1" t="s">
        <v>34</v>
      </c>
      <c r="K509" s="1" t="s">
        <v>1970</v>
      </c>
      <c r="L509" s="1" t="s">
        <v>1701</v>
      </c>
      <c r="M509" s="41">
        <v>46087</v>
      </c>
    </row>
    <row r="510" spans="1:13" x14ac:dyDescent="0.25">
      <c r="A510" s="1" t="s">
        <v>1947</v>
      </c>
      <c r="B510" s="1" t="s">
        <v>83</v>
      </c>
      <c r="C510" s="1" t="s">
        <v>7</v>
      </c>
      <c r="D510" s="1" t="s">
        <v>1415</v>
      </c>
      <c r="E510" s="1" t="s">
        <v>1416</v>
      </c>
      <c r="F510" s="1" t="s">
        <v>1520</v>
      </c>
      <c r="G510" s="1" t="s">
        <v>58</v>
      </c>
      <c r="H510" s="1" t="s">
        <v>36</v>
      </c>
      <c r="I510" s="1" t="s">
        <v>56</v>
      </c>
      <c r="J510" s="1" t="s">
        <v>34</v>
      </c>
      <c r="K510" s="1" t="s">
        <v>1971</v>
      </c>
      <c r="L510" s="1" t="s">
        <v>1701</v>
      </c>
      <c r="M510" s="41" t="s">
        <v>9</v>
      </c>
    </row>
    <row r="511" spans="1:13" x14ac:dyDescent="0.25">
      <c r="A511" s="1" t="s">
        <v>1947</v>
      </c>
      <c r="B511" s="1" t="s">
        <v>83</v>
      </c>
      <c r="C511" s="1" t="s">
        <v>7</v>
      </c>
      <c r="D511" s="1" t="s">
        <v>1415</v>
      </c>
      <c r="E511" s="1" t="s">
        <v>1416</v>
      </c>
      <c r="F511" s="1" t="s">
        <v>1520</v>
      </c>
      <c r="G511" s="1" t="s">
        <v>58</v>
      </c>
      <c r="H511" s="1" t="s">
        <v>36</v>
      </c>
      <c r="I511" s="1" t="s">
        <v>29</v>
      </c>
      <c r="J511" s="1" t="s">
        <v>34</v>
      </c>
      <c r="K511" s="1" t="s">
        <v>1972</v>
      </c>
      <c r="L511" s="1" t="s">
        <v>1701</v>
      </c>
      <c r="M511" s="41">
        <v>46087</v>
      </c>
    </row>
    <row r="512" spans="1:13" x14ac:dyDescent="0.25">
      <c r="A512" s="1" t="s">
        <v>1947</v>
      </c>
      <c r="B512" s="1" t="s">
        <v>83</v>
      </c>
      <c r="C512" s="1" t="s">
        <v>7</v>
      </c>
      <c r="D512" s="1" t="s">
        <v>1415</v>
      </c>
      <c r="E512" s="1" t="s">
        <v>1416</v>
      </c>
      <c r="F512" s="1" t="s">
        <v>1520</v>
      </c>
      <c r="G512" s="1" t="s">
        <v>58</v>
      </c>
      <c r="H512" s="1" t="s">
        <v>36</v>
      </c>
      <c r="I512" s="1" t="s">
        <v>30</v>
      </c>
      <c r="J512" s="1" t="s">
        <v>34</v>
      </c>
      <c r="K512" s="1" t="s">
        <v>1973</v>
      </c>
      <c r="L512" s="1" t="s">
        <v>1701</v>
      </c>
      <c r="M512" s="41">
        <v>46087</v>
      </c>
    </row>
    <row r="513" spans="1:13" x14ac:dyDescent="0.25">
      <c r="A513" s="1" t="s">
        <v>1947</v>
      </c>
      <c r="B513" s="1" t="s">
        <v>83</v>
      </c>
      <c r="C513" s="1" t="s">
        <v>7</v>
      </c>
      <c r="D513" s="1" t="s">
        <v>1415</v>
      </c>
      <c r="E513" s="1" t="s">
        <v>1416</v>
      </c>
      <c r="F513" s="1" t="s">
        <v>1520</v>
      </c>
      <c r="G513" s="1" t="s">
        <v>58</v>
      </c>
      <c r="H513" s="1" t="s">
        <v>36</v>
      </c>
      <c r="I513" s="1" t="s">
        <v>31</v>
      </c>
      <c r="J513" s="1" t="s">
        <v>34</v>
      </c>
      <c r="K513" s="1" t="s">
        <v>1974</v>
      </c>
      <c r="L513" s="1" t="s">
        <v>1701</v>
      </c>
      <c r="M513" s="41">
        <v>46302</v>
      </c>
    </row>
    <row r="514" spans="1:13" x14ac:dyDescent="0.25">
      <c r="A514" s="1" t="s">
        <v>1947</v>
      </c>
      <c r="B514" s="1" t="s">
        <v>83</v>
      </c>
      <c r="C514" s="1" t="s">
        <v>7</v>
      </c>
      <c r="D514" s="1" t="s">
        <v>1415</v>
      </c>
      <c r="E514" s="1" t="s">
        <v>1416</v>
      </c>
      <c r="F514" s="1" t="s">
        <v>1520</v>
      </c>
      <c r="G514" s="1" t="s">
        <v>58</v>
      </c>
      <c r="H514" s="1" t="s">
        <v>36</v>
      </c>
      <c r="I514" s="1" t="s">
        <v>32</v>
      </c>
      <c r="J514" s="1" t="s">
        <v>34</v>
      </c>
      <c r="K514" s="1" t="s">
        <v>1975</v>
      </c>
      <c r="L514" s="1" t="s">
        <v>1701</v>
      </c>
      <c r="M514" s="41">
        <v>46302</v>
      </c>
    </row>
    <row r="515" spans="1:13" x14ac:dyDescent="0.25">
      <c r="A515" s="1" t="s">
        <v>1976</v>
      </c>
      <c r="B515" s="1" t="s">
        <v>85</v>
      </c>
      <c r="C515" s="1" t="s">
        <v>7</v>
      </c>
      <c r="D515" s="1" t="s">
        <v>1415</v>
      </c>
      <c r="E515" s="1" t="s">
        <v>1416</v>
      </c>
      <c r="F515" s="1" t="s">
        <v>1520</v>
      </c>
      <c r="G515" s="1" t="s">
        <v>84</v>
      </c>
      <c r="H515" s="1" t="s">
        <v>36</v>
      </c>
      <c r="I515" s="1" t="s">
        <v>20</v>
      </c>
      <c r="J515" s="1" t="s">
        <v>57</v>
      </c>
      <c r="K515" s="1" t="s">
        <v>1977</v>
      </c>
      <c r="L515" s="1" t="s">
        <v>1978</v>
      </c>
      <c r="M515" s="41" t="s">
        <v>9</v>
      </c>
    </row>
    <row r="516" spans="1:13" x14ac:dyDescent="0.25">
      <c r="A516" s="1" t="s">
        <v>1976</v>
      </c>
      <c r="B516" s="1" t="s">
        <v>85</v>
      </c>
      <c r="C516" s="1" t="s">
        <v>7</v>
      </c>
      <c r="D516" s="1" t="s">
        <v>1415</v>
      </c>
      <c r="E516" s="1" t="s">
        <v>1416</v>
      </c>
      <c r="F516" s="1" t="s">
        <v>1520</v>
      </c>
      <c r="G516" s="1" t="s">
        <v>84</v>
      </c>
      <c r="H516" s="1" t="s">
        <v>36</v>
      </c>
      <c r="I516" s="1" t="s">
        <v>21</v>
      </c>
      <c r="J516" s="1" t="s">
        <v>57</v>
      </c>
      <c r="K516" s="1" t="s">
        <v>1979</v>
      </c>
      <c r="L516" s="1" t="s">
        <v>1978</v>
      </c>
      <c r="M516" s="41" t="s">
        <v>9</v>
      </c>
    </row>
    <row r="517" spans="1:13" x14ac:dyDescent="0.25">
      <c r="A517" s="1" t="s">
        <v>1976</v>
      </c>
      <c r="B517" s="1" t="s">
        <v>85</v>
      </c>
      <c r="C517" s="1" t="s">
        <v>7</v>
      </c>
      <c r="D517" s="1" t="s">
        <v>1415</v>
      </c>
      <c r="E517" s="1" t="s">
        <v>1416</v>
      </c>
      <c r="F517" s="1" t="s">
        <v>1520</v>
      </c>
      <c r="G517" s="1" t="s">
        <v>84</v>
      </c>
      <c r="H517" s="1" t="s">
        <v>36</v>
      </c>
      <c r="I517" s="1" t="s">
        <v>22</v>
      </c>
      <c r="J517" s="1" t="s">
        <v>57</v>
      </c>
      <c r="K517" s="1" t="s">
        <v>1980</v>
      </c>
      <c r="L517" s="1" t="s">
        <v>1978</v>
      </c>
      <c r="M517" s="41" t="s">
        <v>9</v>
      </c>
    </row>
    <row r="518" spans="1:13" x14ac:dyDescent="0.25">
      <c r="A518" s="1" t="s">
        <v>1976</v>
      </c>
      <c r="B518" s="1" t="s">
        <v>85</v>
      </c>
      <c r="C518" s="1" t="s">
        <v>7</v>
      </c>
      <c r="D518" s="1" t="s">
        <v>1415</v>
      </c>
      <c r="E518" s="1" t="s">
        <v>1416</v>
      </c>
      <c r="F518" s="1" t="s">
        <v>1520</v>
      </c>
      <c r="G518" s="1" t="s">
        <v>84</v>
      </c>
      <c r="H518" s="1" t="s">
        <v>36</v>
      </c>
      <c r="I518" s="1" t="s">
        <v>23</v>
      </c>
      <c r="J518" s="1" t="s">
        <v>57</v>
      </c>
      <c r="K518" s="1" t="s">
        <v>1981</v>
      </c>
      <c r="L518" s="1" t="s">
        <v>1978</v>
      </c>
      <c r="M518" s="41" t="s">
        <v>9</v>
      </c>
    </row>
    <row r="519" spans="1:13" x14ac:dyDescent="0.25">
      <c r="A519" s="1" t="s">
        <v>1976</v>
      </c>
      <c r="B519" s="1" t="s">
        <v>85</v>
      </c>
      <c r="C519" s="1" t="s">
        <v>7</v>
      </c>
      <c r="D519" s="1" t="s">
        <v>1415</v>
      </c>
      <c r="E519" s="1" t="s">
        <v>1416</v>
      </c>
      <c r="F519" s="1" t="s">
        <v>1520</v>
      </c>
      <c r="G519" s="1" t="s">
        <v>84</v>
      </c>
      <c r="H519" s="1" t="s">
        <v>36</v>
      </c>
      <c r="I519" s="1" t="s">
        <v>24</v>
      </c>
      <c r="J519" s="1" t="s">
        <v>57</v>
      </c>
      <c r="K519" s="1" t="s">
        <v>1982</v>
      </c>
      <c r="L519" s="1" t="s">
        <v>1978</v>
      </c>
      <c r="M519" s="41" t="s">
        <v>9</v>
      </c>
    </row>
    <row r="520" spans="1:13" x14ac:dyDescent="0.25">
      <c r="A520" s="1" t="s">
        <v>1976</v>
      </c>
      <c r="B520" s="1" t="s">
        <v>85</v>
      </c>
      <c r="C520" s="1" t="s">
        <v>7</v>
      </c>
      <c r="D520" s="1" t="s">
        <v>1415</v>
      </c>
      <c r="E520" s="1" t="s">
        <v>1416</v>
      </c>
      <c r="F520" s="1" t="s">
        <v>1520</v>
      </c>
      <c r="G520" s="1" t="s">
        <v>84</v>
      </c>
      <c r="H520" s="1" t="s">
        <v>36</v>
      </c>
      <c r="I520" s="1" t="s">
        <v>25</v>
      </c>
      <c r="J520" s="1" t="s">
        <v>57</v>
      </c>
      <c r="K520" s="1" t="s">
        <v>1983</v>
      </c>
      <c r="L520" s="1" t="s">
        <v>1978</v>
      </c>
      <c r="M520" s="41" t="s">
        <v>9</v>
      </c>
    </row>
    <row r="521" spans="1:13" x14ac:dyDescent="0.25">
      <c r="A521" s="1" t="s">
        <v>1976</v>
      </c>
      <c r="B521" s="1" t="s">
        <v>85</v>
      </c>
      <c r="C521" s="1" t="s">
        <v>7</v>
      </c>
      <c r="D521" s="1" t="s">
        <v>1415</v>
      </c>
      <c r="E521" s="1" t="s">
        <v>1416</v>
      </c>
      <c r="F521" s="1" t="s">
        <v>1520</v>
      </c>
      <c r="G521" s="1" t="s">
        <v>84</v>
      </c>
      <c r="H521" s="1" t="s">
        <v>36</v>
      </c>
      <c r="I521" s="1" t="s">
        <v>26</v>
      </c>
      <c r="J521" s="1" t="s">
        <v>57</v>
      </c>
      <c r="K521" s="1" t="s">
        <v>1984</v>
      </c>
      <c r="L521" s="1" t="s">
        <v>1978</v>
      </c>
      <c r="M521" s="41" t="s">
        <v>9</v>
      </c>
    </row>
    <row r="522" spans="1:13" x14ac:dyDescent="0.25">
      <c r="A522" s="1" t="s">
        <v>1976</v>
      </c>
      <c r="B522" s="1" t="s">
        <v>85</v>
      </c>
      <c r="C522" s="1" t="s">
        <v>7</v>
      </c>
      <c r="D522" s="1" t="s">
        <v>1415</v>
      </c>
      <c r="E522" s="1" t="s">
        <v>1416</v>
      </c>
      <c r="F522" s="1" t="s">
        <v>1520</v>
      </c>
      <c r="G522" s="1" t="s">
        <v>84</v>
      </c>
      <c r="H522" s="1" t="s">
        <v>36</v>
      </c>
      <c r="I522" s="1" t="s">
        <v>27</v>
      </c>
      <c r="J522" s="1" t="s">
        <v>57</v>
      </c>
      <c r="K522" s="1" t="s">
        <v>1985</v>
      </c>
      <c r="L522" s="1" t="s">
        <v>1978</v>
      </c>
      <c r="M522" s="41" t="s">
        <v>9</v>
      </c>
    </row>
    <row r="523" spans="1:13" x14ac:dyDescent="0.25">
      <c r="A523" s="1" t="s">
        <v>1976</v>
      </c>
      <c r="B523" s="1" t="s">
        <v>85</v>
      </c>
      <c r="C523" s="1" t="s">
        <v>7</v>
      </c>
      <c r="D523" s="1" t="s">
        <v>1415</v>
      </c>
      <c r="E523" s="1" t="s">
        <v>1416</v>
      </c>
      <c r="F523" s="1" t="s">
        <v>1520</v>
      </c>
      <c r="G523" s="1" t="s">
        <v>84</v>
      </c>
      <c r="H523" s="1" t="s">
        <v>36</v>
      </c>
      <c r="I523" s="1" t="s">
        <v>28</v>
      </c>
      <c r="J523" s="1" t="s">
        <v>57</v>
      </c>
      <c r="K523" s="1" t="s">
        <v>1986</v>
      </c>
      <c r="L523" s="1" t="s">
        <v>1978</v>
      </c>
      <c r="M523" s="41" t="s">
        <v>9</v>
      </c>
    </row>
    <row r="524" spans="1:13" x14ac:dyDescent="0.25">
      <c r="A524" s="1" t="s">
        <v>1976</v>
      </c>
      <c r="B524" s="1" t="s">
        <v>85</v>
      </c>
      <c r="C524" s="1" t="s">
        <v>7</v>
      </c>
      <c r="D524" s="1" t="s">
        <v>1415</v>
      </c>
      <c r="E524" s="1" t="s">
        <v>1416</v>
      </c>
      <c r="F524" s="1" t="s">
        <v>1520</v>
      </c>
      <c r="G524" s="1" t="s">
        <v>84</v>
      </c>
      <c r="H524" s="1" t="s">
        <v>36</v>
      </c>
      <c r="I524" s="1" t="s">
        <v>56</v>
      </c>
      <c r="J524" s="1" t="s">
        <v>57</v>
      </c>
      <c r="K524" s="1" t="s">
        <v>1987</v>
      </c>
      <c r="L524" s="1" t="s">
        <v>1978</v>
      </c>
      <c r="M524" s="41" t="s">
        <v>9</v>
      </c>
    </row>
    <row r="525" spans="1:13" x14ac:dyDescent="0.25">
      <c r="A525" s="1" t="s">
        <v>1976</v>
      </c>
      <c r="B525" s="1" t="s">
        <v>85</v>
      </c>
      <c r="C525" s="1" t="s">
        <v>7</v>
      </c>
      <c r="D525" s="1" t="s">
        <v>1415</v>
      </c>
      <c r="E525" s="1" t="s">
        <v>1416</v>
      </c>
      <c r="F525" s="1" t="s">
        <v>1520</v>
      </c>
      <c r="G525" s="1" t="s">
        <v>84</v>
      </c>
      <c r="H525" s="1" t="s">
        <v>36</v>
      </c>
      <c r="I525" s="1" t="s">
        <v>29</v>
      </c>
      <c r="J525" s="1" t="s">
        <v>57</v>
      </c>
      <c r="K525" s="1" t="s">
        <v>1988</v>
      </c>
      <c r="L525" s="1" t="s">
        <v>1978</v>
      </c>
      <c r="M525" s="41" t="s">
        <v>9</v>
      </c>
    </row>
    <row r="526" spans="1:13" x14ac:dyDescent="0.25">
      <c r="A526" s="1" t="s">
        <v>1976</v>
      </c>
      <c r="B526" s="1" t="s">
        <v>85</v>
      </c>
      <c r="C526" s="1" t="s">
        <v>7</v>
      </c>
      <c r="D526" s="1" t="s">
        <v>1415</v>
      </c>
      <c r="E526" s="1" t="s">
        <v>1416</v>
      </c>
      <c r="F526" s="1" t="s">
        <v>1520</v>
      </c>
      <c r="G526" s="1" t="s">
        <v>84</v>
      </c>
      <c r="H526" s="1" t="s">
        <v>36</v>
      </c>
      <c r="I526" s="1" t="s">
        <v>30</v>
      </c>
      <c r="J526" s="1" t="s">
        <v>57</v>
      </c>
      <c r="K526" s="1" t="s">
        <v>1989</v>
      </c>
      <c r="L526" s="1" t="s">
        <v>1978</v>
      </c>
      <c r="M526" s="41" t="s">
        <v>9</v>
      </c>
    </row>
    <row r="527" spans="1:13" x14ac:dyDescent="0.25">
      <c r="A527" s="1" t="s">
        <v>1976</v>
      </c>
      <c r="B527" s="1" t="s">
        <v>85</v>
      </c>
      <c r="C527" s="1" t="s">
        <v>7</v>
      </c>
      <c r="D527" s="1" t="s">
        <v>1415</v>
      </c>
      <c r="E527" s="1" t="s">
        <v>1416</v>
      </c>
      <c r="F527" s="1" t="s">
        <v>1520</v>
      </c>
      <c r="G527" s="1" t="s">
        <v>84</v>
      </c>
      <c r="H527" s="1" t="s">
        <v>36</v>
      </c>
      <c r="I527" s="1" t="s">
        <v>31</v>
      </c>
      <c r="J527" s="1" t="s">
        <v>57</v>
      </c>
      <c r="K527" s="1" t="s">
        <v>1990</v>
      </c>
      <c r="L527" s="1" t="s">
        <v>1978</v>
      </c>
      <c r="M527" s="41" t="s">
        <v>9</v>
      </c>
    </row>
    <row r="528" spans="1:13" x14ac:dyDescent="0.25">
      <c r="A528" s="1" t="s">
        <v>1976</v>
      </c>
      <c r="B528" s="1" t="s">
        <v>85</v>
      </c>
      <c r="C528" s="1" t="s">
        <v>7</v>
      </c>
      <c r="D528" s="1" t="s">
        <v>1415</v>
      </c>
      <c r="E528" s="1" t="s">
        <v>1416</v>
      </c>
      <c r="F528" s="1" t="s">
        <v>1520</v>
      </c>
      <c r="G528" s="1" t="s">
        <v>84</v>
      </c>
      <c r="H528" s="1" t="s">
        <v>36</v>
      </c>
      <c r="I528" s="1" t="s">
        <v>32</v>
      </c>
      <c r="J528" s="1" t="s">
        <v>57</v>
      </c>
      <c r="K528" s="1" t="s">
        <v>1991</v>
      </c>
      <c r="L528" s="1" t="s">
        <v>1978</v>
      </c>
      <c r="M528" s="41" t="s">
        <v>9</v>
      </c>
    </row>
    <row r="529" spans="1:13" x14ac:dyDescent="0.25">
      <c r="A529" s="1" t="s">
        <v>1976</v>
      </c>
      <c r="B529" s="1" t="s">
        <v>85</v>
      </c>
      <c r="C529" s="1" t="s">
        <v>7</v>
      </c>
      <c r="D529" s="1" t="s">
        <v>1415</v>
      </c>
      <c r="E529" s="1" t="s">
        <v>1416</v>
      </c>
      <c r="F529" s="1" t="s">
        <v>1520</v>
      </c>
      <c r="G529" s="1" t="s">
        <v>84</v>
      </c>
      <c r="H529" s="1" t="s">
        <v>36</v>
      </c>
      <c r="I529" s="1" t="s">
        <v>20</v>
      </c>
      <c r="J529" s="1" t="s">
        <v>34</v>
      </c>
      <c r="K529" s="1" t="s">
        <v>1992</v>
      </c>
      <c r="L529" s="1" t="s">
        <v>1978</v>
      </c>
      <c r="M529" s="41">
        <v>46294</v>
      </c>
    </row>
    <row r="530" spans="1:13" x14ac:dyDescent="0.25">
      <c r="A530" s="1" t="s">
        <v>1976</v>
      </c>
      <c r="B530" s="1" t="s">
        <v>85</v>
      </c>
      <c r="C530" s="1" t="s">
        <v>7</v>
      </c>
      <c r="D530" s="1" t="s">
        <v>1415</v>
      </c>
      <c r="E530" s="1" t="s">
        <v>1416</v>
      </c>
      <c r="F530" s="1" t="s">
        <v>1520</v>
      </c>
      <c r="G530" s="1" t="s">
        <v>84</v>
      </c>
      <c r="H530" s="1" t="s">
        <v>36</v>
      </c>
      <c r="I530" s="1" t="s">
        <v>21</v>
      </c>
      <c r="J530" s="1" t="s">
        <v>34</v>
      </c>
      <c r="K530" s="1" t="s">
        <v>1993</v>
      </c>
      <c r="L530" s="1" t="s">
        <v>1978</v>
      </c>
      <c r="M530" s="41">
        <v>46295</v>
      </c>
    </row>
    <row r="531" spans="1:13" x14ac:dyDescent="0.25">
      <c r="A531" s="1" t="s">
        <v>1976</v>
      </c>
      <c r="B531" s="1" t="s">
        <v>85</v>
      </c>
      <c r="C531" s="1" t="s">
        <v>7</v>
      </c>
      <c r="D531" s="1" t="s">
        <v>1415</v>
      </c>
      <c r="E531" s="1" t="s">
        <v>1416</v>
      </c>
      <c r="F531" s="1" t="s">
        <v>1520</v>
      </c>
      <c r="G531" s="1" t="s">
        <v>84</v>
      </c>
      <c r="H531" s="1" t="s">
        <v>36</v>
      </c>
      <c r="I531" s="1" t="s">
        <v>22</v>
      </c>
      <c r="J531" s="1" t="s">
        <v>34</v>
      </c>
      <c r="K531" s="1" t="s">
        <v>1994</v>
      </c>
      <c r="L531" s="1" t="s">
        <v>1978</v>
      </c>
      <c r="M531" s="41">
        <v>46294</v>
      </c>
    </row>
    <row r="532" spans="1:13" x14ac:dyDescent="0.25">
      <c r="A532" s="1" t="s">
        <v>1976</v>
      </c>
      <c r="B532" s="1" t="s">
        <v>85</v>
      </c>
      <c r="C532" s="1" t="s">
        <v>7</v>
      </c>
      <c r="D532" s="1" t="s">
        <v>1415</v>
      </c>
      <c r="E532" s="1" t="s">
        <v>1416</v>
      </c>
      <c r="F532" s="1" t="s">
        <v>1520</v>
      </c>
      <c r="G532" s="1" t="s">
        <v>84</v>
      </c>
      <c r="H532" s="1" t="s">
        <v>36</v>
      </c>
      <c r="I532" s="1" t="s">
        <v>23</v>
      </c>
      <c r="J532" s="1" t="s">
        <v>34</v>
      </c>
      <c r="K532" s="1" t="s">
        <v>1995</v>
      </c>
      <c r="L532" s="1" t="s">
        <v>1978</v>
      </c>
      <c r="M532" s="41">
        <v>46294</v>
      </c>
    </row>
    <row r="533" spans="1:13" x14ac:dyDescent="0.25">
      <c r="A533" s="1" t="s">
        <v>1976</v>
      </c>
      <c r="B533" s="1" t="s">
        <v>85</v>
      </c>
      <c r="C533" s="1" t="s">
        <v>7</v>
      </c>
      <c r="D533" s="1" t="s">
        <v>1415</v>
      </c>
      <c r="E533" s="1" t="s">
        <v>1416</v>
      </c>
      <c r="F533" s="1" t="s">
        <v>1520</v>
      </c>
      <c r="G533" s="1" t="s">
        <v>84</v>
      </c>
      <c r="H533" s="1" t="s">
        <v>36</v>
      </c>
      <c r="I533" s="1" t="s">
        <v>24</v>
      </c>
      <c r="J533" s="1" t="s">
        <v>34</v>
      </c>
      <c r="K533" s="1" t="s">
        <v>1996</v>
      </c>
      <c r="L533" s="1" t="s">
        <v>1978</v>
      </c>
      <c r="M533" s="41">
        <v>46294</v>
      </c>
    </row>
    <row r="534" spans="1:13" x14ac:dyDescent="0.25">
      <c r="A534" s="1" t="s">
        <v>1976</v>
      </c>
      <c r="B534" s="1" t="s">
        <v>85</v>
      </c>
      <c r="C534" s="1" t="s">
        <v>7</v>
      </c>
      <c r="D534" s="1" t="s">
        <v>1415</v>
      </c>
      <c r="E534" s="1" t="s">
        <v>1416</v>
      </c>
      <c r="F534" s="1" t="s">
        <v>1520</v>
      </c>
      <c r="G534" s="1" t="s">
        <v>84</v>
      </c>
      <c r="H534" s="1" t="s">
        <v>36</v>
      </c>
      <c r="I534" s="1" t="s">
        <v>25</v>
      </c>
      <c r="J534" s="1" t="s">
        <v>34</v>
      </c>
      <c r="K534" s="1" t="s">
        <v>1997</v>
      </c>
      <c r="L534" s="1" t="s">
        <v>1978</v>
      </c>
      <c r="M534" s="41">
        <v>46294</v>
      </c>
    </row>
    <row r="535" spans="1:13" x14ac:dyDescent="0.25">
      <c r="A535" s="1" t="s">
        <v>1976</v>
      </c>
      <c r="B535" s="1" t="s">
        <v>85</v>
      </c>
      <c r="C535" s="1" t="s">
        <v>7</v>
      </c>
      <c r="D535" s="1" t="s">
        <v>1415</v>
      </c>
      <c r="E535" s="1" t="s">
        <v>1416</v>
      </c>
      <c r="F535" s="1" t="s">
        <v>1520</v>
      </c>
      <c r="G535" s="1" t="s">
        <v>84</v>
      </c>
      <c r="H535" s="1" t="s">
        <v>36</v>
      </c>
      <c r="I535" s="1" t="s">
        <v>26</v>
      </c>
      <c r="J535" s="1" t="s">
        <v>34</v>
      </c>
      <c r="K535" s="1" t="s">
        <v>1998</v>
      </c>
      <c r="L535" s="1" t="s">
        <v>1978</v>
      </c>
      <c r="M535" s="41">
        <v>46294</v>
      </c>
    </row>
    <row r="536" spans="1:13" x14ac:dyDescent="0.25">
      <c r="A536" s="1" t="s">
        <v>1976</v>
      </c>
      <c r="B536" s="1" t="s">
        <v>85</v>
      </c>
      <c r="C536" s="1" t="s">
        <v>7</v>
      </c>
      <c r="D536" s="1" t="s">
        <v>1415</v>
      </c>
      <c r="E536" s="1" t="s">
        <v>1416</v>
      </c>
      <c r="F536" s="1" t="s">
        <v>1520</v>
      </c>
      <c r="G536" s="1" t="s">
        <v>84</v>
      </c>
      <c r="H536" s="1" t="s">
        <v>36</v>
      </c>
      <c r="I536" s="1" t="s">
        <v>27</v>
      </c>
      <c r="J536" s="1" t="s">
        <v>34</v>
      </c>
      <c r="K536" s="1" t="s">
        <v>1999</v>
      </c>
      <c r="L536" s="1" t="s">
        <v>1978</v>
      </c>
      <c r="M536" s="41">
        <v>46294</v>
      </c>
    </row>
    <row r="537" spans="1:13" x14ac:dyDescent="0.25">
      <c r="A537" s="1" t="s">
        <v>1976</v>
      </c>
      <c r="B537" s="1" t="s">
        <v>85</v>
      </c>
      <c r="C537" s="1" t="s">
        <v>7</v>
      </c>
      <c r="D537" s="1" t="s">
        <v>1415</v>
      </c>
      <c r="E537" s="1" t="s">
        <v>1416</v>
      </c>
      <c r="F537" s="1" t="s">
        <v>1520</v>
      </c>
      <c r="G537" s="1" t="s">
        <v>84</v>
      </c>
      <c r="H537" s="1" t="s">
        <v>36</v>
      </c>
      <c r="I537" s="1" t="s">
        <v>28</v>
      </c>
      <c r="J537" s="1" t="s">
        <v>34</v>
      </c>
      <c r="K537" s="1" t="s">
        <v>2000</v>
      </c>
      <c r="L537" s="1" t="s">
        <v>1978</v>
      </c>
      <c r="M537" s="41">
        <v>46294</v>
      </c>
    </row>
    <row r="538" spans="1:13" x14ac:dyDescent="0.25">
      <c r="A538" s="1" t="s">
        <v>1976</v>
      </c>
      <c r="B538" s="1" t="s">
        <v>85</v>
      </c>
      <c r="C538" s="1" t="s">
        <v>7</v>
      </c>
      <c r="D538" s="1" t="s">
        <v>1415</v>
      </c>
      <c r="E538" s="1" t="s">
        <v>1416</v>
      </c>
      <c r="F538" s="1" t="s">
        <v>1520</v>
      </c>
      <c r="G538" s="1" t="s">
        <v>84</v>
      </c>
      <c r="H538" s="1" t="s">
        <v>36</v>
      </c>
      <c r="I538" s="1" t="s">
        <v>56</v>
      </c>
      <c r="J538" s="1" t="s">
        <v>34</v>
      </c>
      <c r="K538" s="1" t="s">
        <v>2001</v>
      </c>
      <c r="L538" s="1" t="s">
        <v>1978</v>
      </c>
      <c r="M538" s="41" t="s">
        <v>9</v>
      </c>
    </row>
    <row r="539" spans="1:13" x14ac:dyDescent="0.25">
      <c r="A539" s="1" t="s">
        <v>1976</v>
      </c>
      <c r="B539" s="1" t="s">
        <v>85</v>
      </c>
      <c r="C539" s="1" t="s">
        <v>7</v>
      </c>
      <c r="D539" s="1" t="s">
        <v>1415</v>
      </c>
      <c r="E539" s="1" t="s">
        <v>1416</v>
      </c>
      <c r="F539" s="1" t="s">
        <v>1520</v>
      </c>
      <c r="G539" s="1" t="s">
        <v>84</v>
      </c>
      <c r="H539" s="1" t="s">
        <v>36</v>
      </c>
      <c r="I539" s="1" t="s">
        <v>29</v>
      </c>
      <c r="J539" s="1" t="s">
        <v>34</v>
      </c>
      <c r="K539" s="1" t="s">
        <v>2002</v>
      </c>
      <c r="L539" s="1" t="s">
        <v>1978</v>
      </c>
      <c r="M539" s="41">
        <v>46294</v>
      </c>
    </row>
    <row r="540" spans="1:13" x14ac:dyDescent="0.25">
      <c r="A540" s="1" t="s">
        <v>1976</v>
      </c>
      <c r="B540" s="1" t="s">
        <v>85</v>
      </c>
      <c r="C540" s="1" t="s">
        <v>7</v>
      </c>
      <c r="D540" s="1" t="s">
        <v>1415</v>
      </c>
      <c r="E540" s="1" t="s">
        <v>1416</v>
      </c>
      <c r="F540" s="1" t="s">
        <v>1520</v>
      </c>
      <c r="G540" s="1" t="s">
        <v>84</v>
      </c>
      <c r="H540" s="1" t="s">
        <v>36</v>
      </c>
      <c r="I540" s="1" t="s">
        <v>30</v>
      </c>
      <c r="J540" s="1" t="s">
        <v>34</v>
      </c>
      <c r="K540" s="1" t="s">
        <v>2003</v>
      </c>
      <c r="L540" s="1" t="s">
        <v>1978</v>
      </c>
      <c r="M540" s="41">
        <v>46294</v>
      </c>
    </row>
    <row r="541" spans="1:13" x14ac:dyDescent="0.25">
      <c r="A541" s="1" t="s">
        <v>1976</v>
      </c>
      <c r="B541" s="1" t="s">
        <v>85</v>
      </c>
      <c r="C541" s="1" t="s">
        <v>7</v>
      </c>
      <c r="D541" s="1" t="s">
        <v>1415</v>
      </c>
      <c r="E541" s="1" t="s">
        <v>1416</v>
      </c>
      <c r="F541" s="1" t="s">
        <v>1520</v>
      </c>
      <c r="G541" s="1" t="s">
        <v>84</v>
      </c>
      <c r="H541" s="1" t="s">
        <v>36</v>
      </c>
      <c r="I541" s="1" t="s">
        <v>31</v>
      </c>
      <c r="J541" s="1" t="s">
        <v>34</v>
      </c>
      <c r="K541" s="1" t="s">
        <v>2004</v>
      </c>
      <c r="L541" s="1" t="s">
        <v>1978</v>
      </c>
      <c r="M541" s="41">
        <v>46087</v>
      </c>
    </row>
    <row r="542" spans="1:13" x14ac:dyDescent="0.25">
      <c r="A542" s="1" t="s">
        <v>1976</v>
      </c>
      <c r="B542" s="1" t="s">
        <v>85</v>
      </c>
      <c r="C542" s="1" t="s">
        <v>7</v>
      </c>
      <c r="D542" s="1" t="s">
        <v>1415</v>
      </c>
      <c r="E542" s="1" t="s">
        <v>1416</v>
      </c>
      <c r="F542" s="1" t="s">
        <v>1520</v>
      </c>
      <c r="G542" s="1" t="s">
        <v>84</v>
      </c>
      <c r="H542" s="1" t="s">
        <v>36</v>
      </c>
      <c r="I542" s="1" t="s">
        <v>32</v>
      </c>
      <c r="J542" s="1" t="s">
        <v>34</v>
      </c>
      <c r="K542" s="1" t="s">
        <v>2005</v>
      </c>
      <c r="L542" s="1" t="s">
        <v>1978</v>
      </c>
      <c r="M542" s="41">
        <v>46129</v>
      </c>
    </row>
    <row r="543" spans="1:13" x14ac:dyDescent="0.25">
      <c r="A543" s="1" t="s">
        <v>2006</v>
      </c>
      <c r="B543" s="1" t="s">
        <v>86</v>
      </c>
      <c r="C543" s="1" t="s">
        <v>7</v>
      </c>
      <c r="D543" s="1" t="s">
        <v>1415</v>
      </c>
      <c r="E543" s="1" t="s">
        <v>1416</v>
      </c>
      <c r="F543" s="1" t="s">
        <v>1520</v>
      </c>
      <c r="G543" s="1" t="s">
        <v>46</v>
      </c>
      <c r="H543" s="1" t="s">
        <v>36</v>
      </c>
      <c r="I543" s="1" t="s">
        <v>49</v>
      </c>
      <c r="J543" s="1" t="s">
        <v>34</v>
      </c>
      <c r="K543" s="1" t="s">
        <v>2007</v>
      </c>
      <c r="L543" s="1" t="s">
        <v>1978</v>
      </c>
      <c r="M543" s="41">
        <v>46087</v>
      </c>
    </row>
    <row r="544" spans="1:13" x14ac:dyDescent="0.25">
      <c r="A544" s="1" t="s">
        <v>2006</v>
      </c>
      <c r="B544" s="1" t="s">
        <v>86</v>
      </c>
      <c r="C544" s="1" t="s">
        <v>7</v>
      </c>
      <c r="D544" s="1" t="s">
        <v>1415</v>
      </c>
      <c r="E544" s="1" t="s">
        <v>1416</v>
      </c>
      <c r="F544" s="1" t="s">
        <v>1520</v>
      </c>
      <c r="G544" s="1" t="s">
        <v>46</v>
      </c>
      <c r="H544" s="1" t="s">
        <v>36</v>
      </c>
      <c r="I544" s="1" t="s">
        <v>50</v>
      </c>
      <c r="J544" s="1" t="s">
        <v>34</v>
      </c>
      <c r="K544" s="1" t="s">
        <v>2008</v>
      </c>
      <c r="L544" s="1" t="s">
        <v>1978</v>
      </c>
      <c r="M544" s="41">
        <v>46087</v>
      </c>
    </row>
    <row r="545" spans="1:13" x14ac:dyDescent="0.25">
      <c r="A545" s="1" t="s">
        <v>2006</v>
      </c>
      <c r="B545" s="1" t="s">
        <v>86</v>
      </c>
      <c r="C545" s="1" t="s">
        <v>7</v>
      </c>
      <c r="D545" s="1" t="s">
        <v>1415</v>
      </c>
      <c r="E545" s="1" t="s">
        <v>1416</v>
      </c>
      <c r="F545" s="1" t="s">
        <v>1520</v>
      </c>
      <c r="G545" s="1" t="s">
        <v>46</v>
      </c>
      <c r="H545" s="1" t="s">
        <v>36</v>
      </c>
      <c r="I545" s="1" t="s">
        <v>51</v>
      </c>
      <c r="J545" s="1" t="s">
        <v>34</v>
      </c>
      <c r="K545" s="1" t="s">
        <v>2009</v>
      </c>
      <c r="L545" s="1" t="s">
        <v>1978</v>
      </c>
      <c r="M545" s="41">
        <v>46087</v>
      </c>
    </row>
    <row r="546" spans="1:13" x14ac:dyDescent="0.25">
      <c r="A546" s="1" t="s">
        <v>2006</v>
      </c>
      <c r="B546" s="1" t="s">
        <v>86</v>
      </c>
      <c r="C546" s="1" t="s">
        <v>7</v>
      </c>
      <c r="D546" s="1" t="s">
        <v>1415</v>
      </c>
      <c r="E546" s="1" t="s">
        <v>1416</v>
      </c>
      <c r="F546" s="1" t="s">
        <v>1520</v>
      </c>
      <c r="G546" s="1" t="s">
        <v>46</v>
      </c>
      <c r="H546" s="1" t="s">
        <v>36</v>
      </c>
      <c r="I546" s="1" t="s">
        <v>52</v>
      </c>
      <c r="J546" s="1" t="s">
        <v>34</v>
      </c>
      <c r="K546" s="1" t="s">
        <v>2010</v>
      </c>
      <c r="L546" s="1" t="s">
        <v>1978</v>
      </c>
      <c r="M546" s="41">
        <v>46087</v>
      </c>
    </row>
    <row r="547" spans="1:13" x14ac:dyDescent="0.25">
      <c r="A547" s="1" t="s">
        <v>2006</v>
      </c>
      <c r="B547" s="1" t="s">
        <v>86</v>
      </c>
      <c r="C547" s="1" t="s">
        <v>7</v>
      </c>
      <c r="D547" s="1" t="s">
        <v>1415</v>
      </c>
      <c r="E547" s="1" t="s">
        <v>1416</v>
      </c>
      <c r="F547" s="1" t="s">
        <v>1520</v>
      </c>
      <c r="G547" s="1" t="s">
        <v>46</v>
      </c>
      <c r="H547" s="1" t="s">
        <v>36</v>
      </c>
      <c r="I547" s="1" t="s">
        <v>53</v>
      </c>
      <c r="J547" s="1" t="s">
        <v>34</v>
      </c>
      <c r="K547" s="1" t="s">
        <v>2011</v>
      </c>
      <c r="L547" s="1" t="s">
        <v>1978</v>
      </c>
      <c r="M547" s="41">
        <v>46087</v>
      </c>
    </row>
    <row r="548" spans="1:13" x14ac:dyDescent="0.25">
      <c r="A548" s="1" t="s">
        <v>2006</v>
      </c>
      <c r="B548" s="1" t="s">
        <v>86</v>
      </c>
      <c r="C548" s="1" t="s">
        <v>7</v>
      </c>
      <c r="D548" s="1" t="s">
        <v>1415</v>
      </c>
      <c r="E548" s="1" t="s">
        <v>1416</v>
      </c>
      <c r="F548" s="1" t="s">
        <v>1520</v>
      </c>
      <c r="G548" s="1" t="s">
        <v>46</v>
      </c>
      <c r="H548" s="1" t="s">
        <v>36</v>
      </c>
      <c r="I548" s="1" t="s">
        <v>54</v>
      </c>
      <c r="J548" s="1" t="s">
        <v>34</v>
      </c>
      <c r="K548" s="1" t="s">
        <v>2012</v>
      </c>
      <c r="L548" s="1" t="s">
        <v>1978</v>
      </c>
      <c r="M548" s="41">
        <v>46110</v>
      </c>
    </row>
    <row r="549" spans="1:13" x14ac:dyDescent="0.25">
      <c r="A549" s="1" t="s">
        <v>2006</v>
      </c>
      <c r="B549" s="1" t="s">
        <v>86</v>
      </c>
      <c r="C549" s="1" t="s">
        <v>7</v>
      </c>
      <c r="D549" s="1" t="s">
        <v>1415</v>
      </c>
      <c r="E549" s="1" t="s">
        <v>1416</v>
      </c>
      <c r="F549" s="1" t="s">
        <v>1520</v>
      </c>
      <c r="G549" s="1" t="s">
        <v>46</v>
      </c>
      <c r="H549" s="1" t="s">
        <v>36</v>
      </c>
      <c r="I549" s="1" t="s">
        <v>55</v>
      </c>
      <c r="J549" s="1" t="s">
        <v>34</v>
      </c>
      <c r="K549" s="1" t="s">
        <v>2013</v>
      </c>
      <c r="L549" s="1" t="s">
        <v>1978</v>
      </c>
      <c r="M549" s="41">
        <v>46087</v>
      </c>
    </row>
    <row r="550" spans="1:13" x14ac:dyDescent="0.25">
      <c r="A550" s="1" t="s">
        <v>2006</v>
      </c>
      <c r="B550" s="1" t="s">
        <v>86</v>
      </c>
      <c r="C550" s="1" t="s">
        <v>7</v>
      </c>
      <c r="D550" s="1" t="s">
        <v>1415</v>
      </c>
      <c r="E550" s="1" t="s">
        <v>1416</v>
      </c>
      <c r="F550" s="1" t="s">
        <v>1520</v>
      </c>
      <c r="G550" s="1" t="s">
        <v>46</v>
      </c>
      <c r="H550" s="1" t="s">
        <v>36</v>
      </c>
      <c r="I550" s="1" t="s">
        <v>20</v>
      </c>
      <c r="J550" s="1" t="s">
        <v>34</v>
      </c>
      <c r="K550" s="1" t="s">
        <v>2014</v>
      </c>
      <c r="L550" s="1" t="s">
        <v>1978</v>
      </c>
      <c r="M550" s="41">
        <v>46251</v>
      </c>
    </row>
    <row r="551" spans="1:13" x14ac:dyDescent="0.25">
      <c r="A551" s="1" t="s">
        <v>2006</v>
      </c>
      <c r="B551" s="1" t="s">
        <v>86</v>
      </c>
      <c r="C551" s="1" t="s">
        <v>7</v>
      </c>
      <c r="D551" s="1" t="s">
        <v>1415</v>
      </c>
      <c r="E551" s="1" t="s">
        <v>1416</v>
      </c>
      <c r="F551" s="1" t="s">
        <v>1520</v>
      </c>
      <c r="G551" s="1" t="s">
        <v>46</v>
      </c>
      <c r="H551" s="1" t="s">
        <v>36</v>
      </c>
      <c r="I551" s="1" t="s">
        <v>21</v>
      </c>
      <c r="J551" s="1" t="s">
        <v>34</v>
      </c>
      <c r="K551" s="1" t="s">
        <v>2015</v>
      </c>
      <c r="L551" s="1" t="s">
        <v>1978</v>
      </c>
      <c r="M551" s="41">
        <v>46251</v>
      </c>
    </row>
    <row r="552" spans="1:13" x14ac:dyDescent="0.25">
      <c r="A552" s="1" t="s">
        <v>2006</v>
      </c>
      <c r="B552" s="1" t="s">
        <v>86</v>
      </c>
      <c r="C552" s="1" t="s">
        <v>7</v>
      </c>
      <c r="D552" s="1" t="s">
        <v>1415</v>
      </c>
      <c r="E552" s="1" t="s">
        <v>1416</v>
      </c>
      <c r="F552" s="1" t="s">
        <v>1520</v>
      </c>
      <c r="G552" s="1" t="s">
        <v>46</v>
      </c>
      <c r="H552" s="1" t="s">
        <v>36</v>
      </c>
      <c r="I552" s="1" t="s">
        <v>22</v>
      </c>
      <c r="J552" s="1" t="s">
        <v>34</v>
      </c>
      <c r="K552" s="1" t="s">
        <v>2016</v>
      </c>
      <c r="L552" s="1" t="s">
        <v>1978</v>
      </c>
      <c r="M552" s="41">
        <v>46110</v>
      </c>
    </row>
    <row r="553" spans="1:13" x14ac:dyDescent="0.25">
      <c r="A553" s="1" t="s">
        <v>2006</v>
      </c>
      <c r="B553" s="1" t="s">
        <v>86</v>
      </c>
      <c r="C553" s="1" t="s">
        <v>7</v>
      </c>
      <c r="D553" s="1" t="s">
        <v>1415</v>
      </c>
      <c r="E553" s="1" t="s">
        <v>1416</v>
      </c>
      <c r="F553" s="1" t="s">
        <v>1520</v>
      </c>
      <c r="G553" s="1" t="s">
        <v>46</v>
      </c>
      <c r="H553" s="1" t="s">
        <v>36</v>
      </c>
      <c r="I553" s="1" t="s">
        <v>23</v>
      </c>
      <c r="J553" s="1" t="s">
        <v>34</v>
      </c>
      <c r="K553" s="1" t="s">
        <v>2017</v>
      </c>
      <c r="L553" s="1" t="s">
        <v>1978</v>
      </c>
      <c r="M553" s="41">
        <v>46110</v>
      </c>
    </row>
    <row r="554" spans="1:13" x14ac:dyDescent="0.25">
      <c r="A554" s="1" t="s">
        <v>2006</v>
      </c>
      <c r="B554" s="1" t="s">
        <v>86</v>
      </c>
      <c r="C554" s="1" t="s">
        <v>7</v>
      </c>
      <c r="D554" s="1" t="s">
        <v>1415</v>
      </c>
      <c r="E554" s="1" t="s">
        <v>1416</v>
      </c>
      <c r="F554" s="1" t="s">
        <v>1520</v>
      </c>
      <c r="G554" s="1" t="s">
        <v>46</v>
      </c>
      <c r="H554" s="1" t="s">
        <v>36</v>
      </c>
      <c r="I554" s="1" t="s">
        <v>24</v>
      </c>
      <c r="J554" s="1" t="s">
        <v>34</v>
      </c>
      <c r="K554" s="1" t="s">
        <v>2018</v>
      </c>
      <c r="L554" s="1" t="s">
        <v>1978</v>
      </c>
      <c r="M554" s="41">
        <v>46110</v>
      </c>
    </row>
    <row r="555" spans="1:13" x14ac:dyDescent="0.25">
      <c r="A555" s="1" t="s">
        <v>2006</v>
      </c>
      <c r="B555" s="1" t="s">
        <v>86</v>
      </c>
      <c r="C555" s="1" t="s">
        <v>7</v>
      </c>
      <c r="D555" s="1" t="s">
        <v>1415</v>
      </c>
      <c r="E555" s="1" t="s">
        <v>1416</v>
      </c>
      <c r="F555" s="1" t="s">
        <v>1520</v>
      </c>
      <c r="G555" s="1" t="s">
        <v>46</v>
      </c>
      <c r="H555" s="1" t="s">
        <v>36</v>
      </c>
      <c r="I555" s="1" t="s">
        <v>25</v>
      </c>
      <c r="J555" s="1" t="s">
        <v>34</v>
      </c>
      <c r="K555" s="1" t="s">
        <v>2019</v>
      </c>
      <c r="L555" s="1" t="s">
        <v>1978</v>
      </c>
      <c r="M555" s="41">
        <v>46110</v>
      </c>
    </row>
    <row r="556" spans="1:13" x14ac:dyDescent="0.25">
      <c r="A556" s="1" t="s">
        <v>2006</v>
      </c>
      <c r="B556" s="1" t="s">
        <v>86</v>
      </c>
      <c r="C556" s="1" t="s">
        <v>7</v>
      </c>
      <c r="D556" s="1" t="s">
        <v>1415</v>
      </c>
      <c r="E556" s="1" t="s">
        <v>1416</v>
      </c>
      <c r="F556" s="1" t="s">
        <v>1520</v>
      </c>
      <c r="G556" s="1" t="s">
        <v>46</v>
      </c>
      <c r="H556" s="1" t="s">
        <v>36</v>
      </c>
      <c r="I556" s="1" t="s">
        <v>26</v>
      </c>
      <c r="J556" s="1" t="s">
        <v>34</v>
      </c>
      <c r="K556" s="1" t="s">
        <v>2020</v>
      </c>
      <c r="L556" s="1" t="s">
        <v>1978</v>
      </c>
      <c r="M556" s="41">
        <v>46110</v>
      </c>
    </row>
    <row r="557" spans="1:13" x14ac:dyDescent="0.25">
      <c r="A557" s="1" t="s">
        <v>2006</v>
      </c>
      <c r="B557" s="1" t="s">
        <v>86</v>
      </c>
      <c r="C557" s="1" t="s">
        <v>7</v>
      </c>
      <c r="D557" s="1" t="s">
        <v>1415</v>
      </c>
      <c r="E557" s="1" t="s">
        <v>1416</v>
      </c>
      <c r="F557" s="1" t="s">
        <v>1520</v>
      </c>
      <c r="G557" s="1" t="s">
        <v>46</v>
      </c>
      <c r="H557" s="1" t="s">
        <v>36</v>
      </c>
      <c r="I557" s="1" t="s">
        <v>27</v>
      </c>
      <c r="J557" s="1" t="s">
        <v>34</v>
      </c>
      <c r="K557" s="1" t="s">
        <v>2021</v>
      </c>
      <c r="L557" s="1" t="s">
        <v>1978</v>
      </c>
      <c r="M557" s="41">
        <v>46087</v>
      </c>
    </row>
    <row r="558" spans="1:13" x14ac:dyDescent="0.25">
      <c r="A558" s="1" t="s">
        <v>2006</v>
      </c>
      <c r="B558" s="1" t="s">
        <v>86</v>
      </c>
      <c r="C558" s="1" t="s">
        <v>7</v>
      </c>
      <c r="D558" s="1" t="s">
        <v>1415</v>
      </c>
      <c r="E558" s="1" t="s">
        <v>1416</v>
      </c>
      <c r="F558" s="1" t="s">
        <v>1520</v>
      </c>
      <c r="G558" s="1" t="s">
        <v>46</v>
      </c>
      <c r="H558" s="1" t="s">
        <v>36</v>
      </c>
      <c r="I558" s="1" t="s">
        <v>28</v>
      </c>
      <c r="J558" s="1" t="s">
        <v>34</v>
      </c>
      <c r="K558" s="1" t="s">
        <v>2022</v>
      </c>
      <c r="L558" s="1" t="s">
        <v>1978</v>
      </c>
      <c r="M558" s="41">
        <v>46110</v>
      </c>
    </row>
    <row r="559" spans="1:13" x14ac:dyDescent="0.25">
      <c r="A559" s="1" t="s">
        <v>2006</v>
      </c>
      <c r="B559" s="1" t="s">
        <v>86</v>
      </c>
      <c r="C559" s="1" t="s">
        <v>7</v>
      </c>
      <c r="D559" s="1" t="s">
        <v>1415</v>
      </c>
      <c r="E559" s="1" t="s">
        <v>1416</v>
      </c>
      <c r="F559" s="1" t="s">
        <v>1520</v>
      </c>
      <c r="G559" s="1" t="s">
        <v>46</v>
      </c>
      <c r="H559" s="1" t="s">
        <v>36</v>
      </c>
      <c r="I559" s="1" t="s">
        <v>29</v>
      </c>
      <c r="J559" s="1" t="s">
        <v>34</v>
      </c>
      <c r="K559" s="1" t="s">
        <v>2023</v>
      </c>
      <c r="L559" s="1" t="s">
        <v>1978</v>
      </c>
      <c r="M559" s="41">
        <v>46251</v>
      </c>
    </row>
    <row r="560" spans="1:13" x14ac:dyDescent="0.25">
      <c r="A560" s="1" t="s">
        <v>2006</v>
      </c>
      <c r="B560" s="1" t="s">
        <v>86</v>
      </c>
      <c r="C560" s="1" t="s">
        <v>7</v>
      </c>
      <c r="D560" s="1" t="s">
        <v>1415</v>
      </c>
      <c r="E560" s="1" t="s">
        <v>1416</v>
      </c>
      <c r="F560" s="1" t="s">
        <v>1520</v>
      </c>
      <c r="G560" s="1" t="s">
        <v>46</v>
      </c>
      <c r="H560" s="1" t="s">
        <v>36</v>
      </c>
      <c r="I560" s="1" t="s">
        <v>30</v>
      </c>
      <c r="J560" s="1" t="s">
        <v>34</v>
      </c>
      <c r="K560" s="1" t="s">
        <v>2024</v>
      </c>
      <c r="L560" s="1" t="s">
        <v>1978</v>
      </c>
      <c r="M560" s="41">
        <v>46087</v>
      </c>
    </row>
    <row r="561" spans="1:13" x14ac:dyDescent="0.25">
      <c r="A561" s="1" t="s">
        <v>2006</v>
      </c>
      <c r="B561" s="1" t="s">
        <v>86</v>
      </c>
      <c r="C561" s="1" t="s">
        <v>7</v>
      </c>
      <c r="D561" s="1" t="s">
        <v>1415</v>
      </c>
      <c r="E561" s="1" t="s">
        <v>1416</v>
      </c>
      <c r="F561" s="1" t="s">
        <v>1520</v>
      </c>
      <c r="G561" s="1" t="s">
        <v>46</v>
      </c>
      <c r="H561" s="1" t="s">
        <v>36</v>
      </c>
      <c r="I561" s="1" t="s">
        <v>31</v>
      </c>
      <c r="J561" s="1" t="s">
        <v>34</v>
      </c>
      <c r="K561" s="1" t="s">
        <v>2025</v>
      </c>
      <c r="L561" s="1" t="s">
        <v>1978</v>
      </c>
      <c r="M561" s="41">
        <v>46251</v>
      </c>
    </row>
    <row r="562" spans="1:13" x14ac:dyDescent="0.25">
      <c r="A562" s="1" t="s">
        <v>2006</v>
      </c>
      <c r="B562" s="1" t="s">
        <v>86</v>
      </c>
      <c r="C562" s="1" t="s">
        <v>7</v>
      </c>
      <c r="D562" s="1" t="s">
        <v>1415</v>
      </c>
      <c r="E562" s="1" t="s">
        <v>1416</v>
      </c>
      <c r="F562" s="1" t="s">
        <v>1520</v>
      </c>
      <c r="G562" s="1" t="s">
        <v>46</v>
      </c>
      <c r="H562" s="1" t="s">
        <v>36</v>
      </c>
      <c r="I562" s="1" t="s">
        <v>32</v>
      </c>
      <c r="J562" s="1" t="s">
        <v>34</v>
      </c>
      <c r="K562" s="1" t="s">
        <v>2026</v>
      </c>
      <c r="L562" s="1" t="s">
        <v>1978</v>
      </c>
      <c r="M562" s="41">
        <v>46087</v>
      </c>
    </row>
    <row r="563" spans="1:13" x14ac:dyDescent="0.25">
      <c r="A563" s="1" t="s">
        <v>2027</v>
      </c>
      <c r="B563" s="1" t="s">
        <v>87</v>
      </c>
      <c r="C563" s="1" t="s">
        <v>7</v>
      </c>
      <c r="D563" s="1" t="s">
        <v>1415</v>
      </c>
      <c r="E563" s="1" t="s">
        <v>1416</v>
      </c>
      <c r="F563" s="1" t="s">
        <v>1520</v>
      </c>
      <c r="G563" s="1" t="s">
        <v>46</v>
      </c>
      <c r="H563" s="1" t="s">
        <v>36</v>
      </c>
      <c r="I563" s="1" t="s">
        <v>49</v>
      </c>
      <c r="J563" s="1" t="s">
        <v>34</v>
      </c>
      <c r="K563" s="1" t="s">
        <v>2028</v>
      </c>
      <c r="L563" s="1" t="s">
        <v>1978</v>
      </c>
      <c r="M563" s="41">
        <v>46087</v>
      </c>
    </row>
    <row r="564" spans="1:13" x14ac:dyDescent="0.25">
      <c r="A564" s="1" t="s">
        <v>2027</v>
      </c>
      <c r="B564" s="1" t="s">
        <v>87</v>
      </c>
      <c r="C564" s="1" t="s">
        <v>7</v>
      </c>
      <c r="D564" s="1" t="s">
        <v>1415</v>
      </c>
      <c r="E564" s="1" t="s">
        <v>1416</v>
      </c>
      <c r="F564" s="1" t="s">
        <v>1520</v>
      </c>
      <c r="G564" s="1" t="s">
        <v>46</v>
      </c>
      <c r="H564" s="1" t="s">
        <v>36</v>
      </c>
      <c r="I564" s="1" t="s">
        <v>50</v>
      </c>
      <c r="J564" s="1" t="s">
        <v>34</v>
      </c>
      <c r="K564" s="1" t="s">
        <v>2029</v>
      </c>
      <c r="L564" s="1" t="s">
        <v>1978</v>
      </c>
      <c r="M564" s="41">
        <v>46087</v>
      </c>
    </row>
    <row r="565" spans="1:13" x14ac:dyDescent="0.25">
      <c r="A565" s="1" t="s">
        <v>2027</v>
      </c>
      <c r="B565" s="1" t="s">
        <v>87</v>
      </c>
      <c r="C565" s="1" t="s">
        <v>7</v>
      </c>
      <c r="D565" s="1" t="s">
        <v>1415</v>
      </c>
      <c r="E565" s="1" t="s">
        <v>1416</v>
      </c>
      <c r="F565" s="1" t="s">
        <v>1520</v>
      </c>
      <c r="G565" s="1" t="s">
        <v>46</v>
      </c>
      <c r="H565" s="1" t="s">
        <v>36</v>
      </c>
      <c r="I565" s="1" t="s">
        <v>51</v>
      </c>
      <c r="J565" s="1" t="s">
        <v>34</v>
      </c>
      <c r="K565" s="1" t="s">
        <v>2030</v>
      </c>
      <c r="L565" s="1" t="s">
        <v>1978</v>
      </c>
      <c r="M565" s="41">
        <v>46087</v>
      </c>
    </row>
    <row r="566" spans="1:13" x14ac:dyDescent="0.25">
      <c r="A566" s="1" t="s">
        <v>2027</v>
      </c>
      <c r="B566" s="1" t="s">
        <v>87</v>
      </c>
      <c r="C566" s="1" t="s">
        <v>7</v>
      </c>
      <c r="D566" s="1" t="s">
        <v>1415</v>
      </c>
      <c r="E566" s="1" t="s">
        <v>1416</v>
      </c>
      <c r="F566" s="1" t="s">
        <v>1520</v>
      </c>
      <c r="G566" s="1" t="s">
        <v>46</v>
      </c>
      <c r="H566" s="1" t="s">
        <v>36</v>
      </c>
      <c r="I566" s="1" t="s">
        <v>52</v>
      </c>
      <c r="J566" s="1" t="s">
        <v>34</v>
      </c>
      <c r="K566" s="1" t="s">
        <v>2031</v>
      </c>
      <c r="L566" s="1" t="s">
        <v>1978</v>
      </c>
      <c r="M566" s="41">
        <v>46087</v>
      </c>
    </row>
    <row r="567" spans="1:13" x14ac:dyDescent="0.25">
      <c r="A567" s="1" t="s">
        <v>2027</v>
      </c>
      <c r="B567" s="1" t="s">
        <v>87</v>
      </c>
      <c r="C567" s="1" t="s">
        <v>7</v>
      </c>
      <c r="D567" s="1" t="s">
        <v>1415</v>
      </c>
      <c r="E567" s="1" t="s">
        <v>1416</v>
      </c>
      <c r="F567" s="1" t="s">
        <v>1520</v>
      </c>
      <c r="G567" s="1" t="s">
        <v>46</v>
      </c>
      <c r="H567" s="1" t="s">
        <v>36</v>
      </c>
      <c r="I567" s="1" t="s">
        <v>53</v>
      </c>
      <c r="J567" s="1" t="s">
        <v>34</v>
      </c>
      <c r="K567" s="1" t="s">
        <v>2032</v>
      </c>
      <c r="L567" s="1" t="s">
        <v>1978</v>
      </c>
      <c r="M567" s="41">
        <v>46087</v>
      </c>
    </row>
    <row r="568" spans="1:13" x14ac:dyDescent="0.25">
      <c r="A568" s="1" t="s">
        <v>2027</v>
      </c>
      <c r="B568" s="1" t="s">
        <v>87</v>
      </c>
      <c r="C568" s="1" t="s">
        <v>7</v>
      </c>
      <c r="D568" s="1" t="s">
        <v>1415</v>
      </c>
      <c r="E568" s="1" t="s">
        <v>1416</v>
      </c>
      <c r="F568" s="1" t="s">
        <v>1520</v>
      </c>
      <c r="G568" s="1" t="s">
        <v>46</v>
      </c>
      <c r="H568" s="1" t="s">
        <v>36</v>
      </c>
      <c r="I568" s="1" t="s">
        <v>54</v>
      </c>
      <c r="J568" s="1" t="s">
        <v>34</v>
      </c>
      <c r="K568" s="1" t="s">
        <v>2033</v>
      </c>
      <c r="L568" s="1" t="s">
        <v>1978</v>
      </c>
      <c r="M568" s="41">
        <v>46087</v>
      </c>
    </row>
    <row r="569" spans="1:13" x14ac:dyDescent="0.25">
      <c r="A569" s="1" t="s">
        <v>2027</v>
      </c>
      <c r="B569" s="1" t="s">
        <v>87</v>
      </c>
      <c r="C569" s="1" t="s">
        <v>7</v>
      </c>
      <c r="D569" s="1" t="s">
        <v>1415</v>
      </c>
      <c r="E569" s="1" t="s">
        <v>1416</v>
      </c>
      <c r="F569" s="1" t="s">
        <v>1520</v>
      </c>
      <c r="G569" s="1" t="s">
        <v>46</v>
      </c>
      <c r="H569" s="1" t="s">
        <v>36</v>
      </c>
      <c r="I569" s="1" t="s">
        <v>55</v>
      </c>
      <c r="J569" s="1" t="s">
        <v>34</v>
      </c>
      <c r="K569" s="1" t="s">
        <v>2034</v>
      </c>
      <c r="L569" s="1" t="s">
        <v>1978</v>
      </c>
      <c r="M569" s="41">
        <v>46087</v>
      </c>
    </row>
    <row r="570" spans="1:13" x14ac:dyDescent="0.25">
      <c r="A570" s="1" t="s">
        <v>2027</v>
      </c>
      <c r="B570" s="1" t="s">
        <v>87</v>
      </c>
      <c r="C570" s="1" t="s">
        <v>7</v>
      </c>
      <c r="D570" s="1" t="s">
        <v>1415</v>
      </c>
      <c r="E570" s="1" t="s">
        <v>1416</v>
      </c>
      <c r="F570" s="1" t="s">
        <v>1520</v>
      </c>
      <c r="G570" s="1" t="s">
        <v>46</v>
      </c>
      <c r="H570" s="1" t="s">
        <v>36</v>
      </c>
      <c r="I570" s="1" t="s">
        <v>20</v>
      </c>
      <c r="J570" s="1" t="s">
        <v>34</v>
      </c>
      <c r="K570" s="1" t="s">
        <v>2035</v>
      </c>
      <c r="L570" s="1" t="s">
        <v>1978</v>
      </c>
      <c r="M570" s="41">
        <v>46302</v>
      </c>
    </row>
    <row r="571" spans="1:13" x14ac:dyDescent="0.25">
      <c r="A571" s="1" t="s">
        <v>2027</v>
      </c>
      <c r="B571" s="1" t="s">
        <v>87</v>
      </c>
      <c r="C571" s="1" t="s">
        <v>7</v>
      </c>
      <c r="D571" s="1" t="s">
        <v>1415</v>
      </c>
      <c r="E571" s="1" t="s">
        <v>1416</v>
      </c>
      <c r="F571" s="1" t="s">
        <v>1520</v>
      </c>
      <c r="G571" s="1" t="s">
        <v>46</v>
      </c>
      <c r="H571" s="1" t="s">
        <v>36</v>
      </c>
      <c r="I571" s="1" t="s">
        <v>21</v>
      </c>
      <c r="J571" s="1" t="s">
        <v>34</v>
      </c>
      <c r="K571" s="1" t="s">
        <v>2036</v>
      </c>
      <c r="L571" s="1" t="s">
        <v>1978</v>
      </c>
      <c r="M571" s="41">
        <v>46302</v>
      </c>
    </row>
    <row r="572" spans="1:13" x14ac:dyDescent="0.25">
      <c r="A572" s="1" t="s">
        <v>2027</v>
      </c>
      <c r="B572" s="1" t="s">
        <v>87</v>
      </c>
      <c r="C572" s="1" t="s">
        <v>7</v>
      </c>
      <c r="D572" s="1" t="s">
        <v>1415</v>
      </c>
      <c r="E572" s="1" t="s">
        <v>1416</v>
      </c>
      <c r="F572" s="1" t="s">
        <v>1520</v>
      </c>
      <c r="G572" s="1" t="s">
        <v>46</v>
      </c>
      <c r="H572" s="1" t="s">
        <v>36</v>
      </c>
      <c r="I572" s="1" t="s">
        <v>22</v>
      </c>
      <c r="J572" s="1" t="s">
        <v>34</v>
      </c>
      <c r="K572" s="1" t="s">
        <v>2037</v>
      </c>
      <c r="L572" s="1" t="s">
        <v>1978</v>
      </c>
      <c r="M572" s="41">
        <v>46302</v>
      </c>
    </row>
    <row r="573" spans="1:13" x14ac:dyDescent="0.25">
      <c r="A573" s="1" t="s">
        <v>2027</v>
      </c>
      <c r="B573" s="1" t="s">
        <v>87</v>
      </c>
      <c r="C573" s="1" t="s">
        <v>7</v>
      </c>
      <c r="D573" s="1" t="s">
        <v>1415</v>
      </c>
      <c r="E573" s="1" t="s">
        <v>1416</v>
      </c>
      <c r="F573" s="1" t="s">
        <v>1520</v>
      </c>
      <c r="G573" s="1" t="s">
        <v>46</v>
      </c>
      <c r="H573" s="1" t="s">
        <v>36</v>
      </c>
      <c r="I573" s="1" t="s">
        <v>23</v>
      </c>
      <c r="J573" s="1" t="s">
        <v>34</v>
      </c>
      <c r="K573" s="1" t="s">
        <v>2038</v>
      </c>
      <c r="L573" s="1" t="s">
        <v>1978</v>
      </c>
      <c r="M573" s="41">
        <v>46302</v>
      </c>
    </row>
    <row r="574" spans="1:13" x14ac:dyDescent="0.25">
      <c r="A574" s="1" t="s">
        <v>2027</v>
      </c>
      <c r="B574" s="1" t="s">
        <v>87</v>
      </c>
      <c r="C574" s="1" t="s">
        <v>7</v>
      </c>
      <c r="D574" s="1" t="s">
        <v>1415</v>
      </c>
      <c r="E574" s="1" t="s">
        <v>1416</v>
      </c>
      <c r="F574" s="1" t="s">
        <v>1520</v>
      </c>
      <c r="G574" s="1" t="s">
        <v>46</v>
      </c>
      <c r="H574" s="1" t="s">
        <v>36</v>
      </c>
      <c r="I574" s="1" t="s">
        <v>24</v>
      </c>
      <c r="J574" s="1" t="s">
        <v>34</v>
      </c>
      <c r="K574" s="1" t="s">
        <v>2039</v>
      </c>
      <c r="L574" s="1" t="s">
        <v>1978</v>
      </c>
      <c r="M574" s="41">
        <v>46302</v>
      </c>
    </row>
    <row r="575" spans="1:13" x14ac:dyDescent="0.25">
      <c r="A575" s="1" t="s">
        <v>2027</v>
      </c>
      <c r="B575" s="1" t="s">
        <v>87</v>
      </c>
      <c r="C575" s="1" t="s">
        <v>7</v>
      </c>
      <c r="D575" s="1" t="s">
        <v>1415</v>
      </c>
      <c r="E575" s="1" t="s">
        <v>1416</v>
      </c>
      <c r="F575" s="1" t="s">
        <v>1520</v>
      </c>
      <c r="G575" s="1" t="s">
        <v>46</v>
      </c>
      <c r="H575" s="1" t="s">
        <v>36</v>
      </c>
      <c r="I575" s="1" t="s">
        <v>25</v>
      </c>
      <c r="J575" s="1" t="s">
        <v>34</v>
      </c>
      <c r="K575" s="1" t="s">
        <v>2040</v>
      </c>
      <c r="L575" s="1" t="s">
        <v>1978</v>
      </c>
      <c r="M575" s="41">
        <v>46302</v>
      </c>
    </row>
    <row r="576" spans="1:13" x14ac:dyDescent="0.25">
      <c r="A576" s="1" t="s">
        <v>2027</v>
      </c>
      <c r="B576" s="1" t="s">
        <v>87</v>
      </c>
      <c r="C576" s="1" t="s">
        <v>7</v>
      </c>
      <c r="D576" s="1" t="s">
        <v>1415</v>
      </c>
      <c r="E576" s="1" t="s">
        <v>1416</v>
      </c>
      <c r="F576" s="1" t="s">
        <v>1520</v>
      </c>
      <c r="G576" s="1" t="s">
        <v>46</v>
      </c>
      <c r="H576" s="1" t="s">
        <v>36</v>
      </c>
      <c r="I576" s="1" t="s">
        <v>26</v>
      </c>
      <c r="J576" s="1" t="s">
        <v>34</v>
      </c>
      <c r="K576" s="1" t="s">
        <v>2041</v>
      </c>
      <c r="L576" s="1" t="s">
        <v>1978</v>
      </c>
      <c r="M576" s="41">
        <v>46302</v>
      </c>
    </row>
    <row r="577" spans="1:13" x14ac:dyDescent="0.25">
      <c r="A577" s="1" t="s">
        <v>2027</v>
      </c>
      <c r="B577" s="1" t="s">
        <v>87</v>
      </c>
      <c r="C577" s="1" t="s">
        <v>7</v>
      </c>
      <c r="D577" s="1" t="s">
        <v>1415</v>
      </c>
      <c r="E577" s="1" t="s">
        <v>1416</v>
      </c>
      <c r="F577" s="1" t="s">
        <v>1520</v>
      </c>
      <c r="G577" s="1" t="s">
        <v>46</v>
      </c>
      <c r="H577" s="1" t="s">
        <v>36</v>
      </c>
      <c r="I577" s="1" t="s">
        <v>27</v>
      </c>
      <c r="J577" s="1" t="s">
        <v>34</v>
      </c>
      <c r="K577" s="1" t="s">
        <v>2042</v>
      </c>
      <c r="L577" s="1" t="s">
        <v>1978</v>
      </c>
      <c r="M577" s="41">
        <v>46302</v>
      </c>
    </row>
    <row r="578" spans="1:13" x14ac:dyDescent="0.25">
      <c r="A578" s="1" t="s">
        <v>2027</v>
      </c>
      <c r="B578" s="1" t="s">
        <v>87</v>
      </c>
      <c r="C578" s="1" t="s">
        <v>7</v>
      </c>
      <c r="D578" s="1" t="s">
        <v>1415</v>
      </c>
      <c r="E578" s="1" t="s">
        <v>1416</v>
      </c>
      <c r="F578" s="1" t="s">
        <v>1520</v>
      </c>
      <c r="G578" s="1" t="s">
        <v>46</v>
      </c>
      <c r="H578" s="1" t="s">
        <v>36</v>
      </c>
      <c r="I578" s="1" t="s">
        <v>28</v>
      </c>
      <c r="J578" s="1" t="s">
        <v>34</v>
      </c>
      <c r="K578" s="1" t="s">
        <v>2043</v>
      </c>
      <c r="L578" s="1" t="s">
        <v>1978</v>
      </c>
      <c r="M578" s="41">
        <v>46302</v>
      </c>
    </row>
    <row r="579" spans="1:13" x14ac:dyDescent="0.25">
      <c r="A579" s="1" t="s">
        <v>2027</v>
      </c>
      <c r="B579" s="1" t="s">
        <v>87</v>
      </c>
      <c r="C579" s="1" t="s">
        <v>7</v>
      </c>
      <c r="D579" s="1" t="s">
        <v>1415</v>
      </c>
      <c r="E579" s="1" t="s">
        <v>1416</v>
      </c>
      <c r="F579" s="1" t="s">
        <v>1520</v>
      </c>
      <c r="G579" s="1" t="s">
        <v>46</v>
      </c>
      <c r="H579" s="1" t="s">
        <v>36</v>
      </c>
      <c r="I579" s="1" t="s">
        <v>29</v>
      </c>
      <c r="J579" s="1" t="s">
        <v>34</v>
      </c>
      <c r="K579" s="1" t="s">
        <v>2044</v>
      </c>
      <c r="L579" s="1" t="s">
        <v>1978</v>
      </c>
      <c r="M579" s="41">
        <v>46302</v>
      </c>
    </row>
    <row r="580" spans="1:13" x14ac:dyDescent="0.25">
      <c r="A580" s="1" t="s">
        <v>2027</v>
      </c>
      <c r="B580" s="1" t="s">
        <v>87</v>
      </c>
      <c r="C580" s="1" t="s">
        <v>7</v>
      </c>
      <c r="D580" s="1" t="s">
        <v>1415</v>
      </c>
      <c r="E580" s="1" t="s">
        <v>1416</v>
      </c>
      <c r="F580" s="1" t="s">
        <v>1520</v>
      </c>
      <c r="G580" s="1" t="s">
        <v>46</v>
      </c>
      <c r="H580" s="1" t="s">
        <v>36</v>
      </c>
      <c r="I580" s="1" t="s">
        <v>30</v>
      </c>
      <c r="J580" s="1" t="s">
        <v>34</v>
      </c>
      <c r="K580" s="1" t="s">
        <v>2045</v>
      </c>
      <c r="L580" s="1" t="s">
        <v>1978</v>
      </c>
      <c r="M580" s="41">
        <v>46302</v>
      </c>
    </row>
    <row r="581" spans="1:13" x14ac:dyDescent="0.25">
      <c r="A581" s="1" t="s">
        <v>2027</v>
      </c>
      <c r="B581" s="1" t="s">
        <v>87</v>
      </c>
      <c r="C581" s="1" t="s">
        <v>7</v>
      </c>
      <c r="D581" s="1" t="s">
        <v>1415</v>
      </c>
      <c r="E581" s="1" t="s">
        <v>1416</v>
      </c>
      <c r="F581" s="1" t="s">
        <v>1520</v>
      </c>
      <c r="G581" s="1" t="s">
        <v>46</v>
      </c>
      <c r="H581" s="1" t="s">
        <v>36</v>
      </c>
      <c r="I581" s="1" t="s">
        <v>31</v>
      </c>
      <c r="J581" s="1" t="s">
        <v>34</v>
      </c>
      <c r="K581" s="1" t="s">
        <v>2046</v>
      </c>
      <c r="L581" s="1" t="s">
        <v>1978</v>
      </c>
      <c r="M581" s="41">
        <v>46302</v>
      </c>
    </row>
    <row r="582" spans="1:13" x14ac:dyDescent="0.25">
      <c r="A582" s="1" t="s">
        <v>2027</v>
      </c>
      <c r="B582" s="1" t="s">
        <v>87</v>
      </c>
      <c r="C582" s="1" t="s">
        <v>7</v>
      </c>
      <c r="D582" s="1" t="s">
        <v>1415</v>
      </c>
      <c r="E582" s="1" t="s">
        <v>1416</v>
      </c>
      <c r="F582" s="1" t="s">
        <v>1520</v>
      </c>
      <c r="G582" s="1" t="s">
        <v>46</v>
      </c>
      <c r="H582" s="1" t="s">
        <v>36</v>
      </c>
      <c r="I582" s="1" t="s">
        <v>32</v>
      </c>
      <c r="J582" s="1" t="s">
        <v>34</v>
      </c>
      <c r="K582" s="1" t="s">
        <v>2047</v>
      </c>
      <c r="L582" s="1" t="s">
        <v>1978</v>
      </c>
      <c r="M582" s="41">
        <v>46087</v>
      </c>
    </row>
    <row r="583" spans="1:13" x14ac:dyDescent="0.25">
      <c r="A583" s="1" t="s">
        <v>2048</v>
      </c>
      <c r="B583" s="1" t="s">
        <v>88</v>
      </c>
      <c r="C583" s="1" t="s">
        <v>7</v>
      </c>
      <c r="D583" s="1" t="s">
        <v>1415</v>
      </c>
      <c r="E583" s="1" t="s">
        <v>1416</v>
      </c>
      <c r="F583" s="1" t="s">
        <v>1520</v>
      </c>
      <c r="G583" s="1" t="s">
        <v>58</v>
      </c>
      <c r="H583" s="1" t="s">
        <v>36</v>
      </c>
      <c r="I583" s="1" t="s">
        <v>20</v>
      </c>
      <c r="J583" s="1" t="s">
        <v>34</v>
      </c>
      <c r="K583" s="1" t="s">
        <v>2049</v>
      </c>
      <c r="L583" s="1" t="s">
        <v>1816</v>
      </c>
      <c r="M583" s="41">
        <v>46136</v>
      </c>
    </row>
    <row r="584" spans="1:13" x14ac:dyDescent="0.25">
      <c r="A584" s="1" t="s">
        <v>2048</v>
      </c>
      <c r="B584" s="1" t="s">
        <v>88</v>
      </c>
      <c r="C584" s="1" t="s">
        <v>7</v>
      </c>
      <c r="D584" s="1" t="s">
        <v>1415</v>
      </c>
      <c r="E584" s="1" t="s">
        <v>1416</v>
      </c>
      <c r="F584" s="1" t="s">
        <v>1520</v>
      </c>
      <c r="G584" s="1" t="s">
        <v>58</v>
      </c>
      <c r="H584" s="1" t="s">
        <v>36</v>
      </c>
      <c r="I584" s="1" t="s">
        <v>21</v>
      </c>
      <c r="J584" s="1" t="s">
        <v>34</v>
      </c>
      <c r="K584" s="1" t="s">
        <v>2050</v>
      </c>
      <c r="L584" s="1" t="s">
        <v>1816</v>
      </c>
      <c r="M584" s="41">
        <v>46136</v>
      </c>
    </row>
    <row r="585" spans="1:13" x14ac:dyDescent="0.25">
      <c r="A585" s="1" t="s">
        <v>2048</v>
      </c>
      <c r="B585" s="1" t="s">
        <v>88</v>
      </c>
      <c r="C585" s="1" t="s">
        <v>7</v>
      </c>
      <c r="D585" s="1" t="s">
        <v>1415</v>
      </c>
      <c r="E585" s="1" t="s">
        <v>1416</v>
      </c>
      <c r="F585" s="1" t="s">
        <v>1520</v>
      </c>
      <c r="G585" s="1" t="s">
        <v>58</v>
      </c>
      <c r="H585" s="1" t="s">
        <v>36</v>
      </c>
      <c r="I585" s="1" t="s">
        <v>22</v>
      </c>
      <c r="J585" s="1" t="s">
        <v>34</v>
      </c>
      <c r="K585" s="1" t="s">
        <v>2051</v>
      </c>
      <c r="L585" s="1" t="s">
        <v>1816</v>
      </c>
      <c r="M585" s="41">
        <v>46087</v>
      </c>
    </row>
    <row r="586" spans="1:13" x14ac:dyDescent="0.25">
      <c r="A586" s="1" t="s">
        <v>2048</v>
      </c>
      <c r="B586" s="1" t="s">
        <v>88</v>
      </c>
      <c r="C586" s="1" t="s">
        <v>7</v>
      </c>
      <c r="D586" s="1" t="s">
        <v>1415</v>
      </c>
      <c r="E586" s="1" t="s">
        <v>1416</v>
      </c>
      <c r="F586" s="1" t="s">
        <v>1520</v>
      </c>
      <c r="G586" s="1" t="s">
        <v>58</v>
      </c>
      <c r="H586" s="1" t="s">
        <v>36</v>
      </c>
      <c r="I586" s="1" t="s">
        <v>23</v>
      </c>
      <c r="J586" s="1" t="s">
        <v>34</v>
      </c>
      <c r="K586" s="1" t="s">
        <v>2052</v>
      </c>
      <c r="L586" s="1" t="s">
        <v>1816</v>
      </c>
      <c r="M586" s="41">
        <v>46087</v>
      </c>
    </row>
    <row r="587" spans="1:13" x14ac:dyDescent="0.25">
      <c r="A587" s="1" t="s">
        <v>2048</v>
      </c>
      <c r="B587" s="1" t="s">
        <v>88</v>
      </c>
      <c r="C587" s="1" t="s">
        <v>7</v>
      </c>
      <c r="D587" s="1" t="s">
        <v>1415</v>
      </c>
      <c r="E587" s="1" t="s">
        <v>1416</v>
      </c>
      <c r="F587" s="1" t="s">
        <v>1520</v>
      </c>
      <c r="G587" s="1" t="s">
        <v>58</v>
      </c>
      <c r="H587" s="1" t="s">
        <v>36</v>
      </c>
      <c r="I587" s="1" t="s">
        <v>24</v>
      </c>
      <c r="J587" s="1" t="s">
        <v>34</v>
      </c>
      <c r="K587" s="1" t="s">
        <v>2053</v>
      </c>
      <c r="L587" s="1" t="s">
        <v>1816</v>
      </c>
      <c r="M587" s="41">
        <v>46087</v>
      </c>
    </row>
    <row r="588" spans="1:13" x14ac:dyDescent="0.25">
      <c r="A588" s="1" t="s">
        <v>2048</v>
      </c>
      <c r="B588" s="1" t="s">
        <v>88</v>
      </c>
      <c r="C588" s="1" t="s">
        <v>7</v>
      </c>
      <c r="D588" s="1" t="s">
        <v>1415</v>
      </c>
      <c r="E588" s="1" t="s">
        <v>1416</v>
      </c>
      <c r="F588" s="1" t="s">
        <v>1520</v>
      </c>
      <c r="G588" s="1" t="s">
        <v>58</v>
      </c>
      <c r="H588" s="1" t="s">
        <v>36</v>
      </c>
      <c r="I588" s="1" t="s">
        <v>25</v>
      </c>
      <c r="J588" s="1" t="s">
        <v>34</v>
      </c>
      <c r="K588" s="1" t="s">
        <v>2054</v>
      </c>
      <c r="L588" s="1" t="s">
        <v>1816</v>
      </c>
      <c r="M588" s="41">
        <v>46087</v>
      </c>
    </row>
    <row r="589" spans="1:13" x14ac:dyDescent="0.25">
      <c r="A589" s="1" t="s">
        <v>2048</v>
      </c>
      <c r="B589" s="1" t="s">
        <v>88</v>
      </c>
      <c r="C589" s="1" t="s">
        <v>7</v>
      </c>
      <c r="D589" s="1" t="s">
        <v>1415</v>
      </c>
      <c r="E589" s="1" t="s">
        <v>1416</v>
      </c>
      <c r="F589" s="1" t="s">
        <v>1520</v>
      </c>
      <c r="G589" s="1" t="s">
        <v>58</v>
      </c>
      <c r="H589" s="1" t="s">
        <v>36</v>
      </c>
      <c r="I589" s="1" t="s">
        <v>26</v>
      </c>
      <c r="J589" s="1" t="s">
        <v>34</v>
      </c>
      <c r="K589" s="1" t="s">
        <v>2055</v>
      </c>
      <c r="L589" s="1" t="s">
        <v>1816</v>
      </c>
      <c r="M589" s="41">
        <v>46087</v>
      </c>
    </row>
    <row r="590" spans="1:13" x14ac:dyDescent="0.25">
      <c r="A590" s="1" t="s">
        <v>2048</v>
      </c>
      <c r="B590" s="1" t="s">
        <v>88</v>
      </c>
      <c r="C590" s="1" t="s">
        <v>7</v>
      </c>
      <c r="D590" s="1" t="s">
        <v>1415</v>
      </c>
      <c r="E590" s="1" t="s">
        <v>1416</v>
      </c>
      <c r="F590" s="1" t="s">
        <v>1520</v>
      </c>
      <c r="G590" s="1" t="s">
        <v>58</v>
      </c>
      <c r="H590" s="1" t="s">
        <v>36</v>
      </c>
      <c r="I590" s="1" t="s">
        <v>27</v>
      </c>
      <c r="J590" s="1" t="s">
        <v>34</v>
      </c>
      <c r="K590" s="1" t="s">
        <v>2056</v>
      </c>
      <c r="L590" s="1" t="s">
        <v>1816</v>
      </c>
      <c r="M590" s="41">
        <v>46087</v>
      </c>
    </row>
    <row r="591" spans="1:13" x14ac:dyDescent="0.25">
      <c r="A591" s="1" t="s">
        <v>2048</v>
      </c>
      <c r="B591" s="1" t="s">
        <v>88</v>
      </c>
      <c r="C591" s="1" t="s">
        <v>7</v>
      </c>
      <c r="D591" s="1" t="s">
        <v>1415</v>
      </c>
      <c r="E591" s="1" t="s">
        <v>1416</v>
      </c>
      <c r="F591" s="1" t="s">
        <v>1520</v>
      </c>
      <c r="G591" s="1" t="s">
        <v>58</v>
      </c>
      <c r="H591" s="1" t="s">
        <v>36</v>
      </c>
      <c r="I591" s="1" t="s">
        <v>28</v>
      </c>
      <c r="J591" s="1" t="s">
        <v>34</v>
      </c>
      <c r="K591" s="1" t="s">
        <v>2057</v>
      </c>
      <c r="L591" s="1" t="s">
        <v>1816</v>
      </c>
      <c r="M591" s="41">
        <v>46087</v>
      </c>
    </row>
    <row r="592" spans="1:13" x14ac:dyDescent="0.25">
      <c r="A592" s="1" t="s">
        <v>2048</v>
      </c>
      <c r="B592" s="1" t="s">
        <v>88</v>
      </c>
      <c r="C592" s="1" t="s">
        <v>7</v>
      </c>
      <c r="D592" s="1" t="s">
        <v>1415</v>
      </c>
      <c r="E592" s="1" t="s">
        <v>1416</v>
      </c>
      <c r="F592" s="1" t="s">
        <v>1520</v>
      </c>
      <c r="G592" s="1" t="s">
        <v>58</v>
      </c>
      <c r="H592" s="1" t="s">
        <v>36</v>
      </c>
      <c r="I592" s="1" t="s">
        <v>29</v>
      </c>
      <c r="J592" s="1" t="s">
        <v>34</v>
      </c>
      <c r="K592" s="1" t="s">
        <v>2058</v>
      </c>
      <c r="L592" s="1" t="s">
        <v>1816</v>
      </c>
      <c r="M592" s="41">
        <v>46087</v>
      </c>
    </row>
    <row r="593" spans="1:13" x14ac:dyDescent="0.25">
      <c r="A593" s="1" t="s">
        <v>2048</v>
      </c>
      <c r="B593" s="1" t="s">
        <v>88</v>
      </c>
      <c r="C593" s="1" t="s">
        <v>7</v>
      </c>
      <c r="D593" s="1" t="s">
        <v>1415</v>
      </c>
      <c r="E593" s="1" t="s">
        <v>1416</v>
      </c>
      <c r="F593" s="1" t="s">
        <v>1520</v>
      </c>
      <c r="G593" s="1" t="s">
        <v>58</v>
      </c>
      <c r="H593" s="1" t="s">
        <v>36</v>
      </c>
      <c r="I593" s="1" t="s">
        <v>30</v>
      </c>
      <c r="J593" s="1" t="s">
        <v>34</v>
      </c>
      <c r="K593" s="1" t="s">
        <v>2059</v>
      </c>
      <c r="L593" s="1" t="s">
        <v>1816</v>
      </c>
      <c r="M593" s="41">
        <v>46087</v>
      </c>
    </row>
    <row r="594" spans="1:13" x14ac:dyDescent="0.25">
      <c r="A594" s="1" t="s">
        <v>2048</v>
      </c>
      <c r="B594" s="1" t="s">
        <v>88</v>
      </c>
      <c r="C594" s="1" t="s">
        <v>7</v>
      </c>
      <c r="D594" s="1" t="s">
        <v>1415</v>
      </c>
      <c r="E594" s="1" t="s">
        <v>1416</v>
      </c>
      <c r="F594" s="1" t="s">
        <v>1520</v>
      </c>
      <c r="G594" s="1" t="s">
        <v>58</v>
      </c>
      <c r="H594" s="1" t="s">
        <v>36</v>
      </c>
      <c r="I594" s="1" t="s">
        <v>31</v>
      </c>
      <c r="J594" s="1" t="s">
        <v>34</v>
      </c>
      <c r="K594" s="1" t="s">
        <v>2060</v>
      </c>
      <c r="L594" s="1" t="s">
        <v>1816</v>
      </c>
      <c r="M594" s="41">
        <v>46136</v>
      </c>
    </row>
    <row r="595" spans="1:13" x14ac:dyDescent="0.25">
      <c r="A595" s="1" t="s">
        <v>2048</v>
      </c>
      <c r="B595" s="1" t="s">
        <v>88</v>
      </c>
      <c r="C595" s="1" t="s">
        <v>7</v>
      </c>
      <c r="D595" s="1" t="s">
        <v>1415</v>
      </c>
      <c r="E595" s="1" t="s">
        <v>1416</v>
      </c>
      <c r="F595" s="1" t="s">
        <v>1520</v>
      </c>
      <c r="G595" s="1" t="s">
        <v>58</v>
      </c>
      <c r="H595" s="1" t="s">
        <v>36</v>
      </c>
      <c r="I595" s="1" t="s">
        <v>32</v>
      </c>
      <c r="J595" s="1" t="s">
        <v>34</v>
      </c>
      <c r="K595" s="1" t="s">
        <v>2061</v>
      </c>
      <c r="L595" s="1" t="s">
        <v>1816</v>
      </c>
      <c r="M595" s="41">
        <v>46251</v>
      </c>
    </row>
    <row r="596" spans="1:13" x14ac:dyDescent="0.25">
      <c r="A596" s="1" t="s">
        <v>2062</v>
      </c>
      <c r="B596" s="1" t="s">
        <v>90</v>
      </c>
      <c r="C596" s="1" t="s">
        <v>7</v>
      </c>
      <c r="D596" s="1" t="s">
        <v>1415</v>
      </c>
      <c r="E596" s="1" t="s">
        <v>1416</v>
      </c>
      <c r="F596" s="1" t="s">
        <v>2063</v>
      </c>
      <c r="G596" s="1" t="s">
        <v>46</v>
      </c>
      <c r="H596" s="1" t="s">
        <v>36</v>
      </c>
      <c r="I596" s="1" t="s">
        <v>20</v>
      </c>
      <c r="J596" s="1" t="s">
        <v>34</v>
      </c>
      <c r="K596" s="1" t="s">
        <v>2064</v>
      </c>
      <c r="L596" s="1" t="s">
        <v>2065</v>
      </c>
      <c r="M596" s="41" t="s">
        <v>9</v>
      </c>
    </row>
    <row r="597" spans="1:13" x14ac:dyDescent="0.25">
      <c r="A597" s="1" t="s">
        <v>2062</v>
      </c>
      <c r="B597" s="1" t="s">
        <v>90</v>
      </c>
      <c r="C597" s="1" t="s">
        <v>7</v>
      </c>
      <c r="D597" s="1" t="s">
        <v>1415</v>
      </c>
      <c r="E597" s="1" t="s">
        <v>1416</v>
      </c>
      <c r="F597" s="1" t="s">
        <v>2063</v>
      </c>
      <c r="G597" s="1" t="s">
        <v>46</v>
      </c>
      <c r="H597" s="1" t="s">
        <v>36</v>
      </c>
      <c r="I597" s="1" t="s">
        <v>21</v>
      </c>
      <c r="J597" s="1" t="s">
        <v>34</v>
      </c>
      <c r="K597" s="1" t="s">
        <v>2066</v>
      </c>
      <c r="L597" s="1" t="s">
        <v>2065</v>
      </c>
      <c r="M597" s="41">
        <v>46087</v>
      </c>
    </row>
    <row r="598" spans="1:13" x14ac:dyDescent="0.25">
      <c r="A598" s="1" t="s">
        <v>2062</v>
      </c>
      <c r="B598" s="1" t="s">
        <v>90</v>
      </c>
      <c r="C598" s="1" t="s">
        <v>7</v>
      </c>
      <c r="D598" s="1" t="s">
        <v>1415</v>
      </c>
      <c r="E598" s="1" t="s">
        <v>1416</v>
      </c>
      <c r="F598" s="1" t="s">
        <v>2063</v>
      </c>
      <c r="G598" s="1" t="s">
        <v>46</v>
      </c>
      <c r="H598" s="1" t="s">
        <v>36</v>
      </c>
      <c r="I598" s="1" t="s">
        <v>22</v>
      </c>
      <c r="J598" s="1" t="s">
        <v>34</v>
      </c>
      <c r="K598" s="1" t="s">
        <v>2067</v>
      </c>
      <c r="L598" s="1" t="s">
        <v>2065</v>
      </c>
      <c r="M598" s="41" t="s">
        <v>9</v>
      </c>
    </row>
    <row r="599" spans="1:13" x14ac:dyDescent="0.25">
      <c r="A599" s="1" t="s">
        <v>2062</v>
      </c>
      <c r="B599" s="1" t="s">
        <v>90</v>
      </c>
      <c r="C599" s="1" t="s">
        <v>7</v>
      </c>
      <c r="D599" s="1" t="s">
        <v>1415</v>
      </c>
      <c r="E599" s="1" t="s">
        <v>1416</v>
      </c>
      <c r="F599" s="1" t="s">
        <v>2063</v>
      </c>
      <c r="G599" s="1" t="s">
        <v>46</v>
      </c>
      <c r="H599" s="1" t="s">
        <v>36</v>
      </c>
      <c r="I599" s="1" t="s">
        <v>23</v>
      </c>
      <c r="J599" s="1" t="s">
        <v>34</v>
      </c>
      <c r="K599" s="1" t="s">
        <v>2068</v>
      </c>
      <c r="L599" s="1" t="s">
        <v>2065</v>
      </c>
      <c r="M599" s="41" t="s">
        <v>9</v>
      </c>
    </row>
    <row r="600" spans="1:13" x14ac:dyDescent="0.25">
      <c r="A600" s="1" t="s">
        <v>2062</v>
      </c>
      <c r="B600" s="1" t="s">
        <v>90</v>
      </c>
      <c r="C600" s="1" t="s">
        <v>7</v>
      </c>
      <c r="D600" s="1" t="s">
        <v>1415</v>
      </c>
      <c r="E600" s="1" t="s">
        <v>1416</v>
      </c>
      <c r="F600" s="1" t="s">
        <v>2063</v>
      </c>
      <c r="G600" s="1" t="s">
        <v>46</v>
      </c>
      <c r="H600" s="1" t="s">
        <v>36</v>
      </c>
      <c r="I600" s="1" t="s">
        <v>24</v>
      </c>
      <c r="J600" s="1" t="s">
        <v>34</v>
      </c>
      <c r="K600" s="1" t="s">
        <v>2069</v>
      </c>
      <c r="L600" s="1" t="s">
        <v>2065</v>
      </c>
      <c r="M600" s="41" t="s">
        <v>9</v>
      </c>
    </row>
    <row r="601" spans="1:13" x14ac:dyDescent="0.25">
      <c r="A601" s="1" t="s">
        <v>2062</v>
      </c>
      <c r="B601" s="1" t="s">
        <v>90</v>
      </c>
      <c r="C601" s="1" t="s">
        <v>7</v>
      </c>
      <c r="D601" s="1" t="s">
        <v>1415</v>
      </c>
      <c r="E601" s="1" t="s">
        <v>1416</v>
      </c>
      <c r="F601" s="1" t="s">
        <v>2063</v>
      </c>
      <c r="G601" s="1" t="s">
        <v>46</v>
      </c>
      <c r="H601" s="1" t="s">
        <v>36</v>
      </c>
      <c r="I601" s="1" t="s">
        <v>25</v>
      </c>
      <c r="J601" s="1" t="s">
        <v>34</v>
      </c>
      <c r="K601" s="1" t="s">
        <v>2070</v>
      </c>
      <c r="L601" s="1" t="s">
        <v>2065</v>
      </c>
      <c r="M601" s="41" t="s">
        <v>9</v>
      </c>
    </row>
    <row r="602" spans="1:13" x14ac:dyDescent="0.25">
      <c r="A602" s="1" t="s">
        <v>2062</v>
      </c>
      <c r="B602" s="1" t="s">
        <v>90</v>
      </c>
      <c r="C602" s="1" t="s">
        <v>7</v>
      </c>
      <c r="D602" s="1" t="s">
        <v>1415</v>
      </c>
      <c r="E602" s="1" t="s">
        <v>1416</v>
      </c>
      <c r="F602" s="1" t="s">
        <v>2063</v>
      </c>
      <c r="G602" s="1" t="s">
        <v>46</v>
      </c>
      <c r="H602" s="1" t="s">
        <v>36</v>
      </c>
      <c r="I602" s="1" t="s">
        <v>26</v>
      </c>
      <c r="J602" s="1" t="s">
        <v>34</v>
      </c>
      <c r="K602" s="1" t="s">
        <v>2071</v>
      </c>
      <c r="L602" s="1" t="s">
        <v>2065</v>
      </c>
      <c r="M602" s="41" t="s">
        <v>9</v>
      </c>
    </row>
    <row r="603" spans="1:13" x14ac:dyDescent="0.25">
      <c r="A603" s="1" t="s">
        <v>2062</v>
      </c>
      <c r="B603" s="1" t="s">
        <v>90</v>
      </c>
      <c r="C603" s="1" t="s">
        <v>7</v>
      </c>
      <c r="D603" s="1" t="s">
        <v>1415</v>
      </c>
      <c r="E603" s="1" t="s">
        <v>1416</v>
      </c>
      <c r="F603" s="1" t="s">
        <v>2063</v>
      </c>
      <c r="G603" s="1" t="s">
        <v>46</v>
      </c>
      <c r="H603" s="1" t="s">
        <v>36</v>
      </c>
      <c r="I603" s="1" t="s">
        <v>27</v>
      </c>
      <c r="J603" s="1" t="s">
        <v>34</v>
      </c>
      <c r="K603" s="1" t="s">
        <v>2072</v>
      </c>
      <c r="L603" s="1" t="s">
        <v>2065</v>
      </c>
      <c r="M603" s="41" t="s">
        <v>9</v>
      </c>
    </row>
    <row r="604" spans="1:13" x14ac:dyDescent="0.25">
      <c r="A604" s="1" t="s">
        <v>2062</v>
      </c>
      <c r="B604" s="1" t="s">
        <v>90</v>
      </c>
      <c r="C604" s="1" t="s">
        <v>7</v>
      </c>
      <c r="D604" s="1" t="s">
        <v>1415</v>
      </c>
      <c r="E604" s="1" t="s">
        <v>1416</v>
      </c>
      <c r="F604" s="1" t="s">
        <v>2063</v>
      </c>
      <c r="G604" s="1" t="s">
        <v>46</v>
      </c>
      <c r="H604" s="1" t="s">
        <v>36</v>
      </c>
      <c r="I604" s="1" t="s">
        <v>28</v>
      </c>
      <c r="J604" s="1" t="s">
        <v>34</v>
      </c>
      <c r="K604" s="1" t="s">
        <v>2073</v>
      </c>
      <c r="L604" s="1" t="s">
        <v>2065</v>
      </c>
      <c r="M604" s="41">
        <v>46087</v>
      </c>
    </row>
    <row r="605" spans="1:13" x14ac:dyDescent="0.25">
      <c r="A605" s="1" t="s">
        <v>2062</v>
      </c>
      <c r="B605" s="1" t="s">
        <v>90</v>
      </c>
      <c r="C605" s="1" t="s">
        <v>7</v>
      </c>
      <c r="D605" s="1" t="s">
        <v>1415</v>
      </c>
      <c r="E605" s="1" t="s">
        <v>1416</v>
      </c>
      <c r="F605" s="1" t="s">
        <v>2063</v>
      </c>
      <c r="G605" s="1" t="s">
        <v>46</v>
      </c>
      <c r="H605" s="1" t="s">
        <v>36</v>
      </c>
      <c r="I605" s="1" t="s">
        <v>29</v>
      </c>
      <c r="J605" s="1" t="s">
        <v>34</v>
      </c>
      <c r="K605" s="1" t="s">
        <v>2074</v>
      </c>
      <c r="L605" s="1" t="s">
        <v>2065</v>
      </c>
      <c r="M605" s="41">
        <v>46087</v>
      </c>
    </row>
    <row r="606" spans="1:13" x14ac:dyDescent="0.25">
      <c r="A606" s="1" t="s">
        <v>2062</v>
      </c>
      <c r="B606" s="1" t="s">
        <v>90</v>
      </c>
      <c r="C606" s="1" t="s">
        <v>7</v>
      </c>
      <c r="D606" s="1" t="s">
        <v>1415</v>
      </c>
      <c r="E606" s="1" t="s">
        <v>1416</v>
      </c>
      <c r="F606" s="1" t="s">
        <v>2063</v>
      </c>
      <c r="G606" s="1" t="s">
        <v>46</v>
      </c>
      <c r="H606" s="1" t="s">
        <v>36</v>
      </c>
      <c r="I606" s="1" t="s">
        <v>30</v>
      </c>
      <c r="J606" s="1" t="s">
        <v>34</v>
      </c>
      <c r="K606" s="1" t="s">
        <v>2075</v>
      </c>
      <c r="L606" s="1" t="s">
        <v>2065</v>
      </c>
      <c r="M606" s="41">
        <v>46087</v>
      </c>
    </row>
    <row r="607" spans="1:13" x14ac:dyDescent="0.25">
      <c r="A607" s="1" t="s">
        <v>2062</v>
      </c>
      <c r="B607" s="1" t="s">
        <v>90</v>
      </c>
      <c r="C607" s="1" t="s">
        <v>7</v>
      </c>
      <c r="D607" s="1" t="s">
        <v>1415</v>
      </c>
      <c r="E607" s="1" t="s">
        <v>1416</v>
      </c>
      <c r="F607" s="1" t="s">
        <v>2063</v>
      </c>
      <c r="G607" s="1" t="s">
        <v>46</v>
      </c>
      <c r="H607" s="1" t="s">
        <v>36</v>
      </c>
      <c r="I607" s="1" t="s">
        <v>31</v>
      </c>
      <c r="J607" s="1" t="s">
        <v>34</v>
      </c>
      <c r="K607" s="1" t="s">
        <v>2076</v>
      </c>
      <c r="L607" s="1" t="s">
        <v>2065</v>
      </c>
      <c r="M607" s="41">
        <v>46087</v>
      </c>
    </row>
    <row r="608" spans="1:13" x14ac:dyDescent="0.25">
      <c r="A608" s="1" t="s">
        <v>2062</v>
      </c>
      <c r="B608" s="1" t="s">
        <v>90</v>
      </c>
      <c r="C608" s="1" t="s">
        <v>7</v>
      </c>
      <c r="D608" s="1" t="s">
        <v>1415</v>
      </c>
      <c r="E608" s="1" t="s">
        <v>1416</v>
      </c>
      <c r="F608" s="1" t="s">
        <v>2063</v>
      </c>
      <c r="G608" s="1" t="s">
        <v>46</v>
      </c>
      <c r="H608" s="1" t="s">
        <v>36</v>
      </c>
      <c r="I608" s="1" t="s">
        <v>32</v>
      </c>
      <c r="J608" s="1" t="s">
        <v>34</v>
      </c>
      <c r="K608" s="1" t="s">
        <v>2077</v>
      </c>
      <c r="L608" s="1" t="s">
        <v>2065</v>
      </c>
      <c r="M608" s="41">
        <v>46087</v>
      </c>
    </row>
    <row r="609" spans="1:13" x14ac:dyDescent="0.25">
      <c r="A609" s="1" t="s">
        <v>2078</v>
      </c>
      <c r="B609" s="1" t="s">
        <v>91</v>
      </c>
      <c r="C609" s="1" t="s">
        <v>7</v>
      </c>
      <c r="D609" s="1" t="s">
        <v>1415</v>
      </c>
      <c r="E609" s="1" t="s">
        <v>1416</v>
      </c>
      <c r="F609" s="1" t="s">
        <v>2063</v>
      </c>
      <c r="G609" s="1" t="s">
        <v>68</v>
      </c>
      <c r="H609" s="1" t="s">
        <v>36</v>
      </c>
      <c r="I609" s="1" t="s">
        <v>20</v>
      </c>
      <c r="J609" s="1" t="s">
        <v>34</v>
      </c>
      <c r="K609" s="1" t="s">
        <v>2079</v>
      </c>
      <c r="L609" s="1" t="s">
        <v>2065</v>
      </c>
      <c r="M609" s="41">
        <v>46087</v>
      </c>
    </row>
    <row r="610" spans="1:13" x14ac:dyDescent="0.25">
      <c r="A610" s="1" t="s">
        <v>2078</v>
      </c>
      <c r="B610" s="1" t="s">
        <v>91</v>
      </c>
      <c r="C610" s="1" t="s">
        <v>7</v>
      </c>
      <c r="D610" s="1" t="s">
        <v>1415</v>
      </c>
      <c r="E610" s="1" t="s">
        <v>1416</v>
      </c>
      <c r="F610" s="1" t="s">
        <v>2063</v>
      </c>
      <c r="G610" s="1" t="s">
        <v>68</v>
      </c>
      <c r="H610" s="1" t="s">
        <v>36</v>
      </c>
      <c r="I610" s="1" t="s">
        <v>21</v>
      </c>
      <c r="J610" s="1" t="s">
        <v>34</v>
      </c>
      <c r="K610" s="1" t="s">
        <v>2080</v>
      </c>
      <c r="L610" s="1" t="s">
        <v>2065</v>
      </c>
      <c r="M610" s="41">
        <v>46244</v>
      </c>
    </row>
    <row r="611" spans="1:13" x14ac:dyDescent="0.25">
      <c r="A611" s="1" t="s">
        <v>2078</v>
      </c>
      <c r="B611" s="1" t="s">
        <v>91</v>
      </c>
      <c r="C611" s="1" t="s">
        <v>7</v>
      </c>
      <c r="D611" s="1" t="s">
        <v>1415</v>
      </c>
      <c r="E611" s="1" t="s">
        <v>1416</v>
      </c>
      <c r="F611" s="1" t="s">
        <v>2063</v>
      </c>
      <c r="G611" s="1" t="s">
        <v>68</v>
      </c>
      <c r="H611" s="1" t="s">
        <v>36</v>
      </c>
      <c r="I611" s="1" t="s">
        <v>22</v>
      </c>
      <c r="J611" s="1" t="s">
        <v>34</v>
      </c>
      <c r="K611" s="1" t="s">
        <v>2081</v>
      </c>
      <c r="L611" s="1" t="s">
        <v>2065</v>
      </c>
      <c r="M611" s="41">
        <v>46087</v>
      </c>
    </row>
    <row r="612" spans="1:13" x14ac:dyDescent="0.25">
      <c r="A612" s="1" t="s">
        <v>2078</v>
      </c>
      <c r="B612" s="1" t="s">
        <v>91</v>
      </c>
      <c r="C612" s="1" t="s">
        <v>7</v>
      </c>
      <c r="D612" s="1" t="s">
        <v>1415</v>
      </c>
      <c r="E612" s="1" t="s">
        <v>1416</v>
      </c>
      <c r="F612" s="1" t="s">
        <v>2063</v>
      </c>
      <c r="G612" s="1" t="s">
        <v>68</v>
      </c>
      <c r="H612" s="1" t="s">
        <v>36</v>
      </c>
      <c r="I612" s="1" t="s">
        <v>23</v>
      </c>
      <c r="J612" s="1" t="s">
        <v>34</v>
      </c>
      <c r="K612" s="1" t="s">
        <v>2082</v>
      </c>
      <c r="L612" s="1" t="s">
        <v>2065</v>
      </c>
      <c r="M612" s="41">
        <v>46174</v>
      </c>
    </row>
    <row r="613" spans="1:13" x14ac:dyDescent="0.25">
      <c r="A613" s="1" t="s">
        <v>2078</v>
      </c>
      <c r="B613" s="1" t="s">
        <v>91</v>
      </c>
      <c r="C613" s="1" t="s">
        <v>7</v>
      </c>
      <c r="D613" s="1" t="s">
        <v>1415</v>
      </c>
      <c r="E613" s="1" t="s">
        <v>1416</v>
      </c>
      <c r="F613" s="1" t="s">
        <v>2063</v>
      </c>
      <c r="G613" s="1" t="s">
        <v>68</v>
      </c>
      <c r="H613" s="1" t="s">
        <v>36</v>
      </c>
      <c r="I613" s="1" t="s">
        <v>24</v>
      </c>
      <c r="J613" s="1" t="s">
        <v>34</v>
      </c>
      <c r="K613" s="1" t="s">
        <v>2083</v>
      </c>
      <c r="L613" s="1" t="s">
        <v>2065</v>
      </c>
      <c r="M613" s="41">
        <v>46174</v>
      </c>
    </row>
    <row r="614" spans="1:13" x14ac:dyDescent="0.25">
      <c r="A614" s="1" t="s">
        <v>2078</v>
      </c>
      <c r="B614" s="1" t="s">
        <v>91</v>
      </c>
      <c r="C614" s="1" t="s">
        <v>7</v>
      </c>
      <c r="D614" s="1" t="s">
        <v>1415</v>
      </c>
      <c r="E614" s="1" t="s">
        <v>1416</v>
      </c>
      <c r="F614" s="1" t="s">
        <v>2063</v>
      </c>
      <c r="G614" s="1" t="s">
        <v>68</v>
      </c>
      <c r="H614" s="1" t="s">
        <v>36</v>
      </c>
      <c r="I614" s="1" t="s">
        <v>25</v>
      </c>
      <c r="J614" s="1" t="s">
        <v>34</v>
      </c>
      <c r="K614" s="1" t="s">
        <v>2084</v>
      </c>
      <c r="L614" s="1" t="s">
        <v>2065</v>
      </c>
      <c r="M614" s="41">
        <v>46087</v>
      </c>
    </row>
    <row r="615" spans="1:13" x14ac:dyDescent="0.25">
      <c r="A615" s="1" t="s">
        <v>2078</v>
      </c>
      <c r="B615" s="1" t="s">
        <v>91</v>
      </c>
      <c r="C615" s="1" t="s">
        <v>7</v>
      </c>
      <c r="D615" s="1" t="s">
        <v>1415</v>
      </c>
      <c r="E615" s="1" t="s">
        <v>1416</v>
      </c>
      <c r="F615" s="1" t="s">
        <v>2063</v>
      </c>
      <c r="G615" s="1" t="s">
        <v>68</v>
      </c>
      <c r="H615" s="1" t="s">
        <v>36</v>
      </c>
      <c r="I615" s="1" t="s">
        <v>26</v>
      </c>
      <c r="J615" s="1" t="s">
        <v>34</v>
      </c>
      <c r="K615" s="1" t="s">
        <v>2085</v>
      </c>
      <c r="L615" s="1" t="s">
        <v>2065</v>
      </c>
      <c r="M615" s="41">
        <v>46087</v>
      </c>
    </row>
    <row r="616" spans="1:13" x14ac:dyDescent="0.25">
      <c r="A616" s="1" t="s">
        <v>2078</v>
      </c>
      <c r="B616" s="1" t="s">
        <v>91</v>
      </c>
      <c r="C616" s="1" t="s">
        <v>7</v>
      </c>
      <c r="D616" s="1" t="s">
        <v>1415</v>
      </c>
      <c r="E616" s="1" t="s">
        <v>1416</v>
      </c>
      <c r="F616" s="1" t="s">
        <v>2063</v>
      </c>
      <c r="G616" s="1" t="s">
        <v>68</v>
      </c>
      <c r="H616" s="1" t="s">
        <v>36</v>
      </c>
      <c r="I616" s="1" t="s">
        <v>27</v>
      </c>
      <c r="J616" s="1" t="s">
        <v>34</v>
      </c>
      <c r="K616" s="1" t="s">
        <v>2086</v>
      </c>
      <c r="L616" s="1" t="s">
        <v>2065</v>
      </c>
      <c r="M616" s="41">
        <v>46089</v>
      </c>
    </row>
    <row r="617" spans="1:13" x14ac:dyDescent="0.25">
      <c r="A617" s="1" t="s">
        <v>2078</v>
      </c>
      <c r="B617" s="1" t="s">
        <v>91</v>
      </c>
      <c r="C617" s="1" t="s">
        <v>7</v>
      </c>
      <c r="D617" s="1" t="s">
        <v>1415</v>
      </c>
      <c r="E617" s="1" t="s">
        <v>1416</v>
      </c>
      <c r="F617" s="1" t="s">
        <v>2063</v>
      </c>
      <c r="G617" s="1" t="s">
        <v>68</v>
      </c>
      <c r="H617" s="1" t="s">
        <v>36</v>
      </c>
      <c r="I617" s="1" t="s">
        <v>28</v>
      </c>
      <c r="J617" s="1" t="s">
        <v>34</v>
      </c>
      <c r="K617" s="1" t="s">
        <v>2087</v>
      </c>
      <c r="L617" s="1" t="s">
        <v>2065</v>
      </c>
      <c r="M617" s="41">
        <v>46089</v>
      </c>
    </row>
    <row r="618" spans="1:13" x14ac:dyDescent="0.25">
      <c r="A618" s="1" t="s">
        <v>2078</v>
      </c>
      <c r="B618" s="1" t="s">
        <v>91</v>
      </c>
      <c r="C618" s="1" t="s">
        <v>7</v>
      </c>
      <c r="D618" s="1" t="s">
        <v>1415</v>
      </c>
      <c r="E618" s="1" t="s">
        <v>1416</v>
      </c>
      <c r="F618" s="1" t="s">
        <v>2063</v>
      </c>
      <c r="G618" s="1" t="s">
        <v>68</v>
      </c>
      <c r="H618" s="1" t="s">
        <v>36</v>
      </c>
      <c r="I618" s="1" t="s">
        <v>29</v>
      </c>
      <c r="J618" s="1" t="s">
        <v>34</v>
      </c>
      <c r="K618" s="1" t="s">
        <v>2088</v>
      </c>
      <c r="L618" s="1" t="s">
        <v>2065</v>
      </c>
      <c r="M618" s="41">
        <v>46087</v>
      </c>
    </row>
    <row r="619" spans="1:13" x14ac:dyDescent="0.25">
      <c r="A619" s="1" t="s">
        <v>2078</v>
      </c>
      <c r="B619" s="1" t="s">
        <v>91</v>
      </c>
      <c r="C619" s="1" t="s">
        <v>7</v>
      </c>
      <c r="D619" s="1" t="s">
        <v>1415</v>
      </c>
      <c r="E619" s="1" t="s">
        <v>1416</v>
      </c>
      <c r="F619" s="1" t="s">
        <v>2063</v>
      </c>
      <c r="G619" s="1" t="s">
        <v>68</v>
      </c>
      <c r="H619" s="1" t="s">
        <v>36</v>
      </c>
      <c r="I619" s="1" t="s">
        <v>30</v>
      </c>
      <c r="J619" s="1" t="s">
        <v>34</v>
      </c>
      <c r="K619" s="1" t="s">
        <v>2089</v>
      </c>
      <c r="L619" s="1" t="s">
        <v>2065</v>
      </c>
      <c r="M619" s="41">
        <v>46087</v>
      </c>
    </row>
    <row r="620" spans="1:13" x14ac:dyDescent="0.25">
      <c r="A620" s="1" t="s">
        <v>2078</v>
      </c>
      <c r="B620" s="1" t="s">
        <v>91</v>
      </c>
      <c r="C620" s="1" t="s">
        <v>7</v>
      </c>
      <c r="D620" s="1" t="s">
        <v>1415</v>
      </c>
      <c r="E620" s="1" t="s">
        <v>1416</v>
      </c>
      <c r="F620" s="1" t="s">
        <v>2063</v>
      </c>
      <c r="G620" s="1" t="s">
        <v>68</v>
      </c>
      <c r="H620" s="1" t="s">
        <v>36</v>
      </c>
      <c r="I620" s="1" t="s">
        <v>31</v>
      </c>
      <c r="J620" s="1" t="s">
        <v>34</v>
      </c>
      <c r="K620" s="1" t="s">
        <v>2090</v>
      </c>
      <c r="L620" s="1" t="s">
        <v>2065</v>
      </c>
      <c r="M620" s="41">
        <v>46244</v>
      </c>
    </row>
    <row r="621" spans="1:13" x14ac:dyDescent="0.25">
      <c r="A621" s="1" t="s">
        <v>2078</v>
      </c>
      <c r="B621" s="1" t="s">
        <v>91</v>
      </c>
      <c r="C621" s="1" t="s">
        <v>7</v>
      </c>
      <c r="D621" s="1" t="s">
        <v>1415</v>
      </c>
      <c r="E621" s="1" t="s">
        <v>1416</v>
      </c>
      <c r="F621" s="1" t="s">
        <v>2063</v>
      </c>
      <c r="G621" s="1" t="s">
        <v>68</v>
      </c>
      <c r="H621" s="1" t="s">
        <v>36</v>
      </c>
      <c r="I621" s="1" t="s">
        <v>32</v>
      </c>
      <c r="J621" s="1" t="s">
        <v>34</v>
      </c>
      <c r="K621" s="1" t="s">
        <v>2091</v>
      </c>
      <c r="L621" s="1" t="s">
        <v>2065</v>
      </c>
      <c r="M621" s="41">
        <v>46174</v>
      </c>
    </row>
    <row r="622" spans="1:13" x14ac:dyDescent="0.25">
      <c r="A622" s="1" t="s">
        <v>2092</v>
      </c>
      <c r="B622" s="1" t="s">
        <v>92</v>
      </c>
      <c r="C622" s="1" t="s">
        <v>7</v>
      </c>
      <c r="D622" s="1" t="s">
        <v>1415</v>
      </c>
      <c r="E622" s="1" t="s">
        <v>1416</v>
      </c>
      <c r="F622" s="1" t="s">
        <v>2063</v>
      </c>
      <c r="G622" s="1" t="s">
        <v>46</v>
      </c>
      <c r="H622" s="1" t="s">
        <v>36</v>
      </c>
      <c r="I622" s="1" t="s">
        <v>20</v>
      </c>
      <c r="J622" s="1" t="s">
        <v>34</v>
      </c>
      <c r="K622" s="1" t="s">
        <v>2093</v>
      </c>
      <c r="L622" s="1" t="s">
        <v>2094</v>
      </c>
      <c r="M622" s="41">
        <v>46087</v>
      </c>
    </row>
    <row r="623" spans="1:13" x14ac:dyDescent="0.25">
      <c r="A623" s="1" t="s">
        <v>2092</v>
      </c>
      <c r="B623" s="1" t="s">
        <v>92</v>
      </c>
      <c r="C623" s="1" t="s">
        <v>7</v>
      </c>
      <c r="D623" s="1" t="s">
        <v>1415</v>
      </c>
      <c r="E623" s="1" t="s">
        <v>1416</v>
      </c>
      <c r="F623" s="1" t="s">
        <v>2063</v>
      </c>
      <c r="G623" s="1" t="s">
        <v>46</v>
      </c>
      <c r="H623" s="1" t="s">
        <v>36</v>
      </c>
      <c r="I623" s="1" t="s">
        <v>21</v>
      </c>
      <c r="J623" s="1" t="s">
        <v>34</v>
      </c>
      <c r="K623" s="1" t="s">
        <v>2095</v>
      </c>
      <c r="L623" s="1" t="s">
        <v>2094</v>
      </c>
      <c r="M623" s="41">
        <v>46087</v>
      </c>
    </row>
    <row r="624" spans="1:13" x14ac:dyDescent="0.25">
      <c r="A624" s="1" t="s">
        <v>2092</v>
      </c>
      <c r="B624" s="1" t="s">
        <v>92</v>
      </c>
      <c r="C624" s="1" t="s">
        <v>7</v>
      </c>
      <c r="D624" s="1" t="s">
        <v>1415</v>
      </c>
      <c r="E624" s="1" t="s">
        <v>1416</v>
      </c>
      <c r="F624" s="1" t="s">
        <v>2063</v>
      </c>
      <c r="G624" s="1" t="s">
        <v>46</v>
      </c>
      <c r="H624" s="1" t="s">
        <v>36</v>
      </c>
      <c r="I624" s="1" t="s">
        <v>22</v>
      </c>
      <c r="J624" s="1" t="s">
        <v>34</v>
      </c>
      <c r="K624" s="1" t="s">
        <v>2096</v>
      </c>
      <c r="L624" s="1" t="s">
        <v>2094</v>
      </c>
      <c r="M624" s="41">
        <v>46087</v>
      </c>
    </row>
    <row r="625" spans="1:13" x14ac:dyDescent="0.25">
      <c r="A625" s="1" t="s">
        <v>2092</v>
      </c>
      <c r="B625" s="1" t="s">
        <v>92</v>
      </c>
      <c r="C625" s="1" t="s">
        <v>7</v>
      </c>
      <c r="D625" s="1" t="s">
        <v>1415</v>
      </c>
      <c r="E625" s="1" t="s">
        <v>1416</v>
      </c>
      <c r="F625" s="1" t="s">
        <v>2063</v>
      </c>
      <c r="G625" s="1" t="s">
        <v>46</v>
      </c>
      <c r="H625" s="1" t="s">
        <v>36</v>
      </c>
      <c r="I625" s="1" t="s">
        <v>23</v>
      </c>
      <c r="J625" s="1" t="s">
        <v>34</v>
      </c>
      <c r="K625" s="1" t="s">
        <v>2097</v>
      </c>
      <c r="L625" s="1" t="s">
        <v>2094</v>
      </c>
      <c r="M625" s="41">
        <v>46087</v>
      </c>
    </row>
    <row r="626" spans="1:13" x14ac:dyDescent="0.25">
      <c r="A626" s="1" t="s">
        <v>2092</v>
      </c>
      <c r="B626" s="1" t="s">
        <v>92</v>
      </c>
      <c r="C626" s="1" t="s">
        <v>7</v>
      </c>
      <c r="D626" s="1" t="s">
        <v>1415</v>
      </c>
      <c r="E626" s="1" t="s">
        <v>1416</v>
      </c>
      <c r="F626" s="1" t="s">
        <v>2063</v>
      </c>
      <c r="G626" s="1" t="s">
        <v>46</v>
      </c>
      <c r="H626" s="1" t="s">
        <v>36</v>
      </c>
      <c r="I626" s="1" t="s">
        <v>24</v>
      </c>
      <c r="J626" s="1" t="s">
        <v>34</v>
      </c>
      <c r="K626" s="1" t="s">
        <v>2098</v>
      </c>
      <c r="L626" s="1" t="s">
        <v>2094</v>
      </c>
      <c r="M626" s="41">
        <v>46087</v>
      </c>
    </row>
    <row r="627" spans="1:13" x14ac:dyDescent="0.25">
      <c r="A627" s="1" t="s">
        <v>2092</v>
      </c>
      <c r="B627" s="1" t="s">
        <v>92</v>
      </c>
      <c r="C627" s="1" t="s">
        <v>7</v>
      </c>
      <c r="D627" s="1" t="s">
        <v>1415</v>
      </c>
      <c r="E627" s="1" t="s">
        <v>1416</v>
      </c>
      <c r="F627" s="1" t="s">
        <v>2063</v>
      </c>
      <c r="G627" s="1" t="s">
        <v>46</v>
      </c>
      <c r="H627" s="1" t="s">
        <v>36</v>
      </c>
      <c r="I627" s="1" t="s">
        <v>25</v>
      </c>
      <c r="J627" s="1" t="s">
        <v>34</v>
      </c>
      <c r="K627" s="1" t="s">
        <v>2099</v>
      </c>
      <c r="L627" s="1" t="s">
        <v>2094</v>
      </c>
      <c r="M627" s="41">
        <v>46087</v>
      </c>
    </row>
    <row r="628" spans="1:13" x14ac:dyDescent="0.25">
      <c r="A628" s="1" t="s">
        <v>2092</v>
      </c>
      <c r="B628" s="1" t="s">
        <v>92</v>
      </c>
      <c r="C628" s="1" t="s">
        <v>7</v>
      </c>
      <c r="D628" s="1" t="s">
        <v>1415</v>
      </c>
      <c r="E628" s="1" t="s">
        <v>1416</v>
      </c>
      <c r="F628" s="1" t="s">
        <v>2063</v>
      </c>
      <c r="G628" s="1" t="s">
        <v>46</v>
      </c>
      <c r="H628" s="1" t="s">
        <v>36</v>
      </c>
      <c r="I628" s="1" t="s">
        <v>26</v>
      </c>
      <c r="J628" s="1" t="s">
        <v>34</v>
      </c>
      <c r="K628" s="1" t="s">
        <v>2100</v>
      </c>
      <c r="L628" s="1" t="s">
        <v>2094</v>
      </c>
      <c r="M628" s="41">
        <v>46087</v>
      </c>
    </row>
    <row r="629" spans="1:13" x14ac:dyDescent="0.25">
      <c r="A629" s="1" t="s">
        <v>2092</v>
      </c>
      <c r="B629" s="1" t="s">
        <v>92</v>
      </c>
      <c r="C629" s="1" t="s">
        <v>7</v>
      </c>
      <c r="D629" s="1" t="s">
        <v>1415</v>
      </c>
      <c r="E629" s="1" t="s">
        <v>1416</v>
      </c>
      <c r="F629" s="1" t="s">
        <v>2063</v>
      </c>
      <c r="G629" s="1" t="s">
        <v>46</v>
      </c>
      <c r="H629" s="1" t="s">
        <v>36</v>
      </c>
      <c r="I629" s="1" t="s">
        <v>27</v>
      </c>
      <c r="J629" s="1" t="s">
        <v>34</v>
      </c>
      <c r="K629" s="1" t="s">
        <v>2101</v>
      </c>
      <c r="L629" s="1" t="s">
        <v>2094</v>
      </c>
      <c r="M629" s="41">
        <v>46087</v>
      </c>
    </row>
    <row r="630" spans="1:13" x14ac:dyDescent="0.25">
      <c r="A630" s="1" t="s">
        <v>2092</v>
      </c>
      <c r="B630" s="1" t="s">
        <v>92</v>
      </c>
      <c r="C630" s="1" t="s">
        <v>7</v>
      </c>
      <c r="D630" s="1" t="s">
        <v>1415</v>
      </c>
      <c r="E630" s="1" t="s">
        <v>1416</v>
      </c>
      <c r="F630" s="1" t="s">
        <v>2063</v>
      </c>
      <c r="G630" s="1" t="s">
        <v>46</v>
      </c>
      <c r="H630" s="1" t="s">
        <v>36</v>
      </c>
      <c r="I630" s="1" t="s">
        <v>28</v>
      </c>
      <c r="J630" s="1" t="s">
        <v>34</v>
      </c>
      <c r="K630" s="1" t="s">
        <v>2102</v>
      </c>
      <c r="L630" s="1" t="s">
        <v>2094</v>
      </c>
      <c r="M630" s="41">
        <v>46087</v>
      </c>
    </row>
    <row r="631" spans="1:13" x14ac:dyDescent="0.25">
      <c r="A631" s="1" t="s">
        <v>2092</v>
      </c>
      <c r="B631" s="1" t="s">
        <v>92</v>
      </c>
      <c r="C631" s="1" t="s">
        <v>7</v>
      </c>
      <c r="D631" s="1" t="s">
        <v>1415</v>
      </c>
      <c r="E631" s="1" t="s">
        <v>1416</v>
      </c>
      <c r="F631" s="1" t="s">
        <v>2063</v>
      </c>
      <c r="G631" s="1" t="s">
        <v>46</v>
      </c>
      <c r="H631" s="1" t="s">
        <v>36</v>
      </c>
      <c r="I631" s="1" t="s">
        <v>29</v>
      </c>
      <c r="J631" s="1" t="s">
        <v>34</v>
      </c>
      <c r="K631" s="1" t="s">
        <v>2103</v>
      </c>
      <c r="L631" s="1" t="s">
        <v>2094</v>
      </c>
      <c r="M631" s="41">
        <v>46087</v>
      </c>
    </row>
    <row r="632" spans="1:13" x14ac:dyDescent="0.25">
      <c r="A632" s="1" t="s">
        <v>2092</v>
      </c>
      <c r="B632" s="1" t="s">
        <v>92</v>
      </c>
      <c r="C632" s="1" t="s">
        <v>7</v>
      </c>
      <c r="D632" s="1" t="s">
        <v>1415</v>
      </c>
      <c r="E632" s="1" t="s">
        <v>1416</v>
      </c>
      <c r="F632" s="1" t="s">
        <v>2063</v>
      </c>
      <c r="G632" s="1" t="s">
        <v>46</v>
      </c>
      <c r="H632" s="1" t="s">
        <v>36</v>
      </c>
      <c r="I632" s="1" t="s">
        <v>30</v>
      </c>
      <c r="J632" s="1" t="s">
        <v>34</v>
      </c>
      <c r="K632" s="1" t="s">
        <v>2104</v>
      </c>
      <c r="L632" s="1" t="s">
        <v>2094</v>
      </c>
      <c r="M632" s="41">
        <v>46087</v>
      </c>
    </row>
    <row r="633" spans="1:13" x14ac:dyDescent="0.25">
      <c r="A633" s="1" t="s">
        <v>2092</v>
      </c>
      <c r="B633" s="1" t="s">
        <v>92</v>
      </c>
      <c r="C633" s="1" t="s">
        <v>7</v>
      </c>
      <c r="D633" s="1" t="s">
        <v>1415</v>
      </c>
      <c r="E633" s="1" t="s">
        <v>1416</v>
      </c>
      <c r="F633" s="1" t="s">
        <v>2063</v>
      </c>
      <c r="G633" s="1" t="s">
        <v>46</v>
      </c>
      <c r="H633" s="1" t="s">
        <v>36</v>
      </c>
      <c r="I633" s="1" t="s">
        <v>31</v>
      </c>
      <c r="J633" s="1" t="s">
        <v>34</v>
      </c>
      <c r="K633" s="1" t="s">
        <v>2105</v>
      </c>
      <c r="L633" s="1" t="s">
        <v>2094</v>
      </c>
      <c r="M633" s="41">
        <v>46136</v>
      </c>
    </row>
    <row r="634" spans="1:13" x14ac:dyDescent="0.25">
      <c r="A634" s="1" t="s">
        <v>2092</v>
      </c>
      <c r="B634" s="1" t="s">
        <v>92</v>
      </c>
      <c r="C634" s="1" t="s">
        <v>7</v>
      </c>
      <c r="D634" s="1" t="s">
        <v>1415</v>
      </c>
      <c r="E634" s="1" t="s">
        <v>1416</v>
      </c>
      <c r="F634" s="1" t="s">
        <v>2063</v>
      </c>
      <c r="G634" s="1" t="s">
        <v>46</v>
      </c>
      <c r="H634" s="1" t="s">
        <v>36</v>
      </c>
      <c r="I634" s="1" t="s">
        <v>32</v>
      </c>
      <c r="J634" s="1" t="s">
        <v>34</v>
      </c>
      <c r="K634" s="1" t="s">
        <v>2106</v>
      </c>
      <c r="L634" s="1" t="s">
        <v>2094</v>
      </c>
      <c r="M634" s="41">
        <v>46136</v>
      </c>
    </row>
    <row r="635" spans="1:13" x14ac:dyDescent="0.25">
      <c r="A635" s="1" t="s">
        <v>2107</v>
      </c>
      <c r="B635" s="1" t="s">
        <v>93</v>
      </c>
      <c r="C635" s="1" t="s">
        <v>7</v>
      </c>
      <c r="D635" s="1" t="s">
        <v>1415</v>
      </c>
      <c r="E635" s="1" t="s">
        <v>1416</v>
      </c>
      <c r="F635" s="1" t="s">
        <v>2063</v>
      </c>
      <c r="G635" s="1" t="s">
        <v>46</v>
      </c>
      <c r="H635" s="1" t="s">
        <v>36</v>
      </c>
      <c r="I635" s="1" t="s">
        <v>20</v>
      </c>
      <c r="J635" s="1" t="s">
        <v>34</v>
      </c>
      <c r="K635" s="1" t="s">
        <v>2108</v>
      </c>
      <c r="L635" s="1" t="s">
        <v>1477</v>
      </c>
      <c r="M635" s="41">
        <v>46087</v>
      </c>
    </row>
    <row r="636" spans="1:13" x14ac:dyDescent="0.25">
      <c r="A636" s="1" t="s">
        <v>2107</v>
      </c>
      <c r="B636" s="1" t="s">
        <v>93</v>
      </c>
      <c r="C636" s="1" t="s">
        <v>7</v>
      </c>
      <c r="D636" s="1" t="s">
        <v>1415</v>
      </c>
      <c r="E636" s="1" t="s">
        <v>1416</v>
      </c>
      <c r="F636" s="1" t="s">
        <v>2063</v>
      </c>
      <c r="G636" s="1" t="s">
        <v>46</v>
      </c>
      <c r="H636" s="1" t="s">
        <v>36</v>
      </c>
      <c r="I636" s="1" t="s">
        <v>21</v>
      </c>
      <c r="J636" s="1" t="s">
        <v>34</v>
      </c>
      <c r="K636" s="1" t="s">
        <v>2109</v>
      </c>
      <c r="L636" s="1" t="s">
        <v>1477</v>
      </c>
      <c r="M636" s="41">
        <v>46087</v>
      </c>
    </row>
    <row r="637" spans="1:13" x14ac:dyDescent="0.25">
      <c r="A637" s="1" t="s">
        <v>2107</v>
      </c>
      <c r="B637" s="1" t="s">
        <v>93</v>
      </c>
      <c r="C637" s="1" t="s">
        <v>7</v>
      </c>
      <c r="D637" s="1" t="s">
        <v>1415</v>
      </c>
      <c r="E637" s="1" t="s">
        <v>1416</v>
      </c>
      <c r="F637" s="1" t="s">
        <v>2063</v>
      </c>
      <c r="G637" s="1" t="s">
        <v>46</v>
      </c>
      <c r="H637" s="1" t="s">
        <v>36</v>
      </c>
      <c r="I637" s="1" t="s">
        <v>22</v>
      </c>
      <c r="J637" s="1" t="s">
        <v>34</v>
      </c>
      <c r="K637" s="1" t="s">
        <v>2110</v>
      </c>
      <c r="L637" s="1" t="s">
        <v>1477</v>
      </c>
      <c r="M637" s="41">
        <v>46087</v>
      </c>
    </row>
    <row r="638" spans="1:13" x14ac:dyDescent="0.25">
      <c r="A638" s="1" t="s">
        <v>2107</v>
      </c>
      <c r="B638" s="1" t="s">
        <v>93</v>
      </c>
      <c r="C638" s="1" t="s">
        <v>7</v>
      </c>
      <c r="D638" s="1" t="s">
        <v>1415</v>
      </c>
      <c r="E638" s="1" t="s">
        <v>1416</v>
      </c>
      <c r="F638" s="1" t="s">
        <v>2063</v>
      </c>
      <c r="G638" s="1" t="s">
        <v>46</v>
      </c>
      <c r="H638" s="1" t="s">
        <v>36</v>
      </c>
      <c r="I638" s="1" t="s">
        <v>23</v>
      </c>
      <c r="J638" s="1" t="s">
        <v>34</v>
      </c>
      <c r="K638" s="1" t="s">
        <v>2111</v>
      </c>
      <c r="L638" s="1" t="s">
        <v>1477</v>
      </c>
      <c r="M638" s="41">
        <v>46087</v>
      </c>
    </row>
    <row r="639" spans="1:13" x14ac:dyDescent="0.25">
      <c r="A639" s="1" t="s">
        <v>2107</v>
      </c>
      <c r="B639" s="1" t="s">
        <v>93</v>
      </c>
      <c r="C639" s="1" t="s">
        <v>7</v>
      </c>
      <c r="D639" s="1" t="s">
        <v>1415</v>
      </c>
      <c r="E639" s="1" t="s">
        <v>1416</v>
      </c>
      <c r="F639" s="1" t="s">
        <v>2063</v>
      </c>
      <c r="G639" s="1" t="s">
        <v>46</v>
      </c>
      <c r="H639" s="1" t="s">
        <v>36</v>
      </c>
      <c r="I639" s="1" t="s">
        <v>24</v>
      </c>
      <c r="J639" s="1" t="s">
        <v>34</v>
      </c>
      <c r="K639" s="1" t="s">
        <v>2112</v>
      </c>
      <c r="L639" s="1" t="s">
        <v>1477</v>
      </c>
      <c r="M639" s="41">
        <v>46087</v>
      </c>
    </row>
    <row r="640" spans="1:13" x14ac:dyDescent="0.25">
      <c r="A640" s="1" t="s">
        <v>2107</v>
      </c>
      <c r="B640" s="1" t="s">
        <v>93</v>
      </c>
      <c r="C640" s="1" t="s">
        <v>7</v>
      </c>
      <c r="D640" s="1" t="s">
        <v>1415</v>
      </c>
      <c r="E640" s="1" t="s">
        <v>1416</v>
      </c>
      <c r="F640" s="1" t="s">
        <v>2063</v>
      </c>
      <c r="G640" s="1" t="s">
        <v>46</v>
      </c>
      <c r="H640" s="1" t="s">
        <v>36</v>
      </c>
      <c r="I640" s="1" t="s">
        <v>25</v>
      </c>
      <c r="J640" s="1" t="s">
        <v>34</v>
      </c>
      <c r="K640" s="1" t="s">
        <v>2113</v>
      </c>
      <c r="L640" s="1" t="s">
        <v>1477</v>
      </c>
      <c r="M640" s="41">
        <v>46087</v>
      </c>
    </row>
    <row r="641" spans="1:13" x14ac:dyDescent="0.25">
      <c r="A641" s="1" t="s">
        <v>2107</v>
      </c>
      <c r="B641" s="1" t="s">
        <v>93</v>
      </c>
      <c r="C641" s="1" t="s">
        <v>7</v>
      </c>
      <c r="D641" s="1" t="s">
        <v>1415</v>
      </c>
      <c r="E641" s="1" t="s">
        <v>1416</v>
      </c>
      <c r="F641" s="1" t="s">
        <v>2063</v>
      </c>
      <c r="G641" s="1" t="s">
        <v>46</v>
      </c>
      <c r="H641" s="1" t="s">
        <v>36</v>
      </c>
      <c r="I641" s="1" t="s">
        <v>26</v>
      </c>
      <c r="J641" s="1" t="s">
        <v>34</v>
      </c>
      <c r="K641" s="1" t="s">
        <v>2114</v>
      </c>
      <c r="L641" s="1" t="s">
        <v>1477</v>
      </c>
      <c r="M641" s="41">
        <v>46087</v>
      </c>
    </row>
    <row r="642" spans="1:13" x14ac:dyDescent="0.25">
      <c r="A642" s="1" t="s">
        <v>2107</v>
      </c>
      <c r="B642" s="1" t="s">
        <v>93</v>
      </c>
      <c r="C642" s="1" t="s">
        <v>7</v>
      </c>
      <c r="D642" s="1" t="s">
        <v>1415</v>
      </c>
      <c r="E642" s="1" t="s">
        <v>1416</v>
      </c>
      <c r="F642" s="1" t="s">
        <v>2063</v>
      </c>
      <c r="G642" s="1" t="s">
        <v>46</v>
      </c>
      <c r="H642" s="1" t="s">
        <v>36</v>
      </c>
      <c r="I642" s="1" t="s">
        <v>27</v>
      </c>
      <c r="J642" s="1" t="s">
        <v>34</v>
      </c>
      <c r="K642" s="1" t="s">
        <v>2115</v>
      </c>
      <c r="L642" s="1" t="s">
        <v>1477</v>
      </c>
      <c r="M642" s="41">
        <v>46087</v>
      </c>
    </row>
    <row r="643" spans="1:13" x14ac:dyDescent="0.25">
      <c r="A643" s="1" t="s">
        <v>2107</v>
      </c>
      <c r="B643" s="1" t="s">
        <v>93</v>
      </c>
      <c r="C643" s="1" t="s">
        <v>7</v>
      </c>
      <c r="D643" s="1" t="s">
        <v>1415</v>
      </c>
      <c r="E643" s="1" t="s">
        <v>1416</v>
      </c>
      <c r="F643" s="1" t="s">
        <v>2063</v>
      </c>
      <c r="G643" s="1" t="s">
        <v>46</v>
      </c>
      <c r="H643" s="1" t="s">
        <v>36</v>
      </c>
      <c r="I643" s="1" t="s">
        <v>28</v>
      </c>
      <c r="J643" s="1" t="s">
        <v>34</v>
      </c>
      <c r="K643" s="1" t="s">
        <v>2116</v>
      </c>
      <c r="L643" s="1" t="s">
        <v>1477</v>
      </c>
      <c r="M643" s="41">
        <v>46087</v>
      </c>
    </row>
    <row r="644" spans="1:13" x14ac:dyDescent="0.25">
      <c r="A644" s="1" t="s">
        <v>2107</v>
      </c>
      <c r="B644" s="1" t="s">
        <v>93</v>
      </c>
      <c r="C644" s="1" t="s">
        <v>7</v>
      </c>
      <c r="D644" s="1" t="s">
        <v>1415</v>
      </c>
      <c r="E644" s="1" t="s">
        <v>1416</v>
      </c>
      <c r="F644" s="1" t="s">
        <v>2063</v>
      </c>
      <c r="G644" s="1" t="s">
        <v>46</v>
      </c>
      <c r="H644" s="1" t="s">
        <v>36</v>
      </c>
      <c r="I644" s="1" t="s">
        <v>29</v>
      </c>
      <c r="J644" s="1" t="s">
        <v>34</v>
      </c>
      <c r="K644" s="1" t="s">
        <v>2117</v>
      </c>
      <c r="L644" s="1" t="s">
        <v>1477</v>
      </c>
      <c r="M644" s="41">
        <v>46087</v>
      </c>
    </row>
    <row r="645" spans="1:13" x14ac:dyDescent="0.25">
      <c r="A645" s="1" t="s">
        <v>2107</v>
      </c>
      <c r="B645" s="1" t="s">
        <v>93</v>
      </c>
      <c r="C645" s="1" t="s">
        <v>7</v>
      </c>
      <c r="D645" s="1" t="s">
        <v>1415</v>
      </c>
      <c r="E645" s="1" t="s">
        <v>1416</v>
      </c>
      <c r="F645" s="1" t="s">
        <v>2063</v>
      </c>
      <c r="G645" s="1" t="s">
        <v>46</v>
      </c>
      <c r="H645" s="1" t="s">
        <v>36</v>
      </c>
      <c r="I645" s="1" t="s">
        <v>30</v>
      </c>
      <c r="J645" s="1" t="s">
        <v>34</v>
      </c>
      <c r="K645" s="1" t="s">
        <v>2118</v>
      </c>
      <c r="L645" s="1" t="s">
        <v>1477</v>
      </c>
      <c r="M645" s="41">
        <v>46087</v>
      </c>
    </row>
    <row r="646" spans="1:13" x14ac:dyDescent="0.25">
      <c r="A646" s="1" t="s">
        <v>2107</v>
      </c>
      <c r="B646" s="1" t="s">
        <v>93</v>
      </c>
      <c r="C646" s="1" t="s">
        <v>7</v>
      </c>
      <c r="D646" s="1" t="s">
        <v>1415</v>
      </c>
      <c r="E646" s="1" t="s">
        <v>1416</v>
      </c>
      <c r="F646" s="1" t="s">
        <v>2063</v>
      </c>
      <c r="G646" s="1" t="s">
        <v>46</v>
      </c>
      <c r="H646" s="1" t="s">
        <v>36</v>
      </c>
      <c r="I646" s="1" t="s">
        <v>31</v>
      </c>
      <c r="J646" s="1" t="s">
        <v>34</v>
      </c>
      <c r="K646" s="1" t="s">
        <v>2119</v>
      </c>
      <c r="L646" s="1" t="s">
        <v>1477</v>
      </c>
      <c r="M646" s="41">
        <v>46087</v>
      </c>
    </row>
    <row r="647" spans="1:13" x14ac:dyDescent="0.25">
      <c r="A647" s="1" t="s">
        <v>2107</v>
      </c>
      <c r="B647" s="1" t="s">
        <v>93</v>
      </c>
      <c r="C647" s="1" t="s">
        <v>7</v>
      </c>
      <c r="D647" s="1" t="s">
        <v>1415</v>
      </c>
      <c r="E647" s="1" t="s">
        <v>1416</v>
      </c>
      <c r="F647" s="1" t="s">
        <v>2063</v>
      </c>
      <c r="G647" s="1" t="s">
        <v>46</v>
      </c>
      <c r="H647" s="1" t="s">
        <v>36</v>
      </c>
      <c r="I647" s="1" t="s">
        <v>32</v>
      </c>
      <c r="J647" s="1" t="s">
        <v>34</v>
      </c>
      <c r="K647" s="1" t="s">
        <v>2120</v>
      </c>
      <c r="L647" s="1" t="s">
        <v>1477</v>
      </c>
      <c r="M647" s="41">
        <v>46109</v>
      </c>
    </row>
    <row r="648" spans="1:13" x14ac:dyDescent="0.25">
      <c r="A648" s="1" t="s">
        <v>2121</v>
      </c>
      <c r="B648" s="1" t="s">
        <v>93</v>
      </c>
      <c r="C648" s="1" t="s">
        <v>7</v>
      </c>
      <c r="D648" s="1" t="s">
        <v>1415</v>
      </c>
      <c r="E648" s="1" t="s">
        <v>1416</v>
      </c>
      <c r="F648" s="1" t="s">
        <v>2063</v>
      </c>
      <c r="G648" s="1" t="s">
        <v>94</v>
      </c>
      <c r="H648" s="1" t="s">
        <v>36</v>
      </c>
      <c r="I648" s="1" t="s">
        <v>20</v>
      </c>
      <c r="J648" s="1" t="s">
        <v>34</v>
      </c>
      <c r="K648" s="1" t="s">
        <v>2122</v>
      </c>
      <c r="L648" s="1" t="s">
        <v>1477</v>
      </c>
      <c r="M648" s="41">
        <v>46087</v>
      </c>
    </row>
    <row r="649" spans="1:13" x14ac:dyDescent="0.25">
      <c r="A649" s="1" t="s">
        <v>2121</v>
      </c>
      <c r="B649" s="1" t="s">
        <v>93</v>
      </c>
      <c r="C649" s="1" t="s">
        <v>7</v>
      </c>
      <c r="D649" s="1" t="s">
        <v>1415</v>
      </c>
      <c r="E649" s="1" t="s">
        <v>1416</v>
      </c>
      <c r="F649" s="1" t="s">
        <v>2063</v>
      </c>
      <c r="G649" s="1" t="s">
        <v>94</v>
      </c>
      <c r="H649" s="1" t="s">
        <v>36</v>
      </c>
      <c r="I649" s="1" t="s">
        <v>21</v>
      </c>
      <c r="J649" s="1" t="s">
        <v>34</v>
      </c>
      <c r="K649" s="1" t="s">
        <v>2123</v>
      </c>
      <c r="L649" s="1" t="s">
        <v>1477</v>
      </c>
      <c r="M649" s="41">
        <v>46087</v>
      </c>
    </row>
    <row r="650" spans="1:13" x14ac:dyDescent="0.25">
      <c r="A650" s="1" t="s">
        <v>2121</v>
      </c>
      <c r="B650" s="1" t="s">
        <v>93</v>
      </c>
      <c r="C650" s="1" t="s">
        <v>7</v>
      </c>
      <c r="D650" s="1" t="s">
        <v>1415</v>
      </c>
      <c r="E650" s="1" t="s">
        <v>1416</v>
      </c>
      <c r="F650" s="1" t="s">
        <v>2063</v>
      </c>
      <c r="G650" s="1" t="s">
        <v>94</v>
      </c>
      <c r="H650" s="1" t="s">
        <v>36</v>
      </c>
      <c r="I650" s="1" t="s">
        <v>22</v>
      </c>
      <c r="J650" s="1" t="s">
        <v>34</v>
      </c>
      <c r="K650" s="1" t="s">
        <v>2124</v>
      </c>
      <c r="L650" s="1" t="s">
        <v>1477</v>
      </c>
      <c r="M650" s="41">
        <v>46087</v>
      </c>
    </row>
    <row r="651" spans="1:13" x14ac:dyDescent="0.25">
      <c r="A651" s="1" t="s">
        <v>2121</v>
      </c>
      <c r="B651" s="1" t="s">
        <v>93</v>
      </c>
      <c r="C651" s="1" t="s">
        <v>7</v>
      </c>
      <c r="D651" s="1" t="s">
        <v>1415</v>
      </c>
      <c r="E651" s="1" t="s">
        <v>1416</v>
      </c>
      <c r="F651" s="1" t="s">
        <v>2063</v>
      </c>
      <c r="G651" s="1" t="s">
        <v>94</v>
      </c>
      <c r="H651" s="1" t="s">
        <v>36</v>
      </c>
      <c r="I651" s="1" t="s">
        <v>23</v>
      </c>
      <c r="J651" s="1" t="s">
        <v>34</v>
      </c>
      <c r="K651" s="1" t="s">
        <v>2125</v>
      </c>
      <c r="L651" s="1" t="s">
        <v>1477</v>
      </c>
      <c r="M651" s="41">
        <v>46087</v>
      </c>
    </row>
    <row r="652" spans="1:13" x14ac:dyDescent="0.25">
      <c r="A652" s="1" t="s">
        <v>2121</v>
      </c>
      <c r="B652" s="1" t="s">
        <v>93</v>
      </c>
      <c r="C652" s="1" t="s">
        <v>7</v>
      </c>
      <c r="D652" s="1" t="s">
        <v>1415</v>
      </c>
      <c r="E652" s="1" t="s">
        <v>1416</v>
      </c>
      <c r="F652" s="1" t="s">
        <v>2063</v>
      </c>
      <c r="G652" s="1" t="s">
        <v>94</v>
      </c>
      <c r="H652" s="1" t="s">
        <v>36</v>
      </c>
      <c r="I652" s="1" t="s">
        <v>24</v>
      </c>
      <c r="J652" s="1" t="s">
        <v>34</v>
      </c>
      <c r="K652" s="1" t="s">
        <v>2126</v>
      </c>
      <c r="L652" s="1" t="s">
        <v>1477</v>
      </c>
      <c r="M652" s="41">
        <v>46087</v>
      </c>
    </row>
    <row r="653" spans="1:13" x14ac:dyDescent="0.25">
      <c r="A653" s="1" t="s">
        <v>2121</v>
      </c>
      <c r="B653" s="1" t="s">
        <v>93</v>
      </c>
      <c r="C653" s="1" t="s">
        <v>7</v>
      </c>
      <c r="D653" s="1" t="s">
        <v>1415</v>
      </c>
      <c r="E653" s="1" t="s">
        <v>1416</v>
      </c>
      <c r="F653" s="1" t="s">
        <v>2063</v>
      </c>
      <c r="G653" s="1" t="s">
        <v>94</v>
      </c>
      <c r="H653" s="1" t="s">
        <v>36</v>
      </c>
      <c r="I653" s="1" t="s">
        <v>25</v>
      </c>
      <c r="J653" s="1" t="s">
        <v>34</v>
      </c>
      <c r="K653" s="1" t="s">
        <v>2127</v>
      </c>
      <c r="L653" s="1" t="s">
        <v>1477</v>
      </c>
      <c r="M653" s="41">
        <v>46087</v>
      </c>
    </row>
    <row r="654" spans="1:13" x14ac:dyDescent="0.25">
      <c r="A654" s="1" t="s">
        <v>2121</v>
      </c>
      <c r="B654" s="1" t="s">
        <v>93</v>
      </c>
      <c r="C654" s="1" t="s">
        <v>7</v>
      </c>
      <c r="D654" s="1" t="s">
        <v>1415</v>
      </c>
      <c r="E654" s="1" t="s">
        <v>1416</v>
      </c>
      <c r="F654" s="1" t="s">
        <v>2063</v>
      </c>
      <c r="G654" s="1" t="s">
        <v>94</v>
      </c>
      <c r="H654" s="1" t="s">
        <v>36</v>
      </c>
      <c r="I654" s="1" t="s">
        <v>26</v>
      </c>
      <c r="J654" s="1" t="s">
        <v>34</v>
      </c>
      <c r="K654" s="1" t="s">
        <v>2128</v>
      </c>
      <c r="L654" s="1" t="s">
        <v>1477</v>
      </c>
      <c r="M654" s="41">
        <v>46087</v>
      </c>
    </row>
    <row r="655" spans="1:13" x14ac:dyDescent="0.25">
      <c r="A655" s="1" t="s">
        <v>2121</v>
      </c>
      <c r="B655" s="1" t="s">
        <v>93</v>
      </c>
      <c r="C655" s="1" t="s">
        <v>7</v>
      </c>
      <c r="D655" s="1" t="s">
        <v>1415</v>
      </c>
      <c r="E655" s="1" t="s">
        <v>1416</v>
      </c>
      <c r="F655" s="1" t="s">
        <v>2063</v>
      </c>
      <c r="G655" s="1" t="s">
        <v>94</v>
      </c>
      <c r="H655" s="1" t="s">
        <v>36</v>
      </c>
      <c r="I655" s="1" t="s">
        <v>27</v>
      </c>
      <c r="J655" s="1" t="s">
        <v>34</v>
      </c>
      <c r="K655" s="1" t="s">
        <v>2129</v>
      </c>
      <c r="L655" s="1" t="s">
        <v>1477</v>
      </c>
      <c r="M655" s="41">
        <v>46087</v>
      </c>
    </row>
    <row r="656" spans="1:13" x14ac:dyDescent="0.25">
      <c r="A656" s="1" t="s">
        <v>2121</v>
      </c>
      <c r="B656" s="1" t="s">
        <v>93</v>
      </c>
      <c r="C656" s="1" t="s">
        <v>7</v>
      </c>
      <c r="D656" s="1" t="s">
        <v>1415</v>
      </c>
      <c r="E656" s="1" t="s">
        <v>1416</v>
      </c>
      <c r="F656" s="1" t="s">
        <v>2063</v>
      </c>
      <c r="G656" s="1" t="s">
        <v>94</v>
      </c>
      <c r="H656" s="1" t="s">
        <v>36</v>
      </c>
      <c r="I656" s="1" t="s">
        <v>28</v>
      </c>
      <c r="J656" s="1" t="s">
        <v>34</v>
      </c>
      <c r="K656" s="1" t="s">
        <v>2130</v>
      </c>
      <c r="L656" s="1" t="s">
        <v>1477</v>
      </c>
      <c r="M656" s="41">
        <v>46087</v>
      </c>
    </row>
    <row r="657" spans="1:13" x14ac:dyDescent="0.25">
      <c r="A657" s="1" t="s">
        <v>2121</v>
      </c>
      <c r="B657" s="1" t="s">
        <v>93</v>
      </c>
      <c r="C657" s="1" t="s">
        <v>7</v>
      </c>
      <c r="D657" s="1" t="s">
        <v>1415</v>
      </c>
      <c r="E657" s="1" t="s">
        <v>1416</v>
      </c>
      <c r="F657" s="1" t="s">
        <v>2063</v>
      </c>
      <c r="G657" s="1" t="s">
        <v>94</v>
      </c>
      <c r="H657" s="1" t="s">
        <v>36</v>
      </c>
      <c r="I657" s="1" t="s">
        <v>29</v>
      </c>
      <c r="J657" s="1" t="s">
        <v>34</v>
      </c>
      <c r="K657" s="1" t="s">
        <v>2131</v>
      </c>
      <c r="L657" s="1" t="s">
        <v>1477</v>
      </c>
      <c r="M657" s="41">
        <v>46087</v>
      </c>
    </row>
    <row r="658" spans="1:13" x14ac:dyDescent="0.25">
      <c r="A658" s="1" t="s">
        <v>2121</v>
      </c>
      <c r="B658" s="1" t="s">
        <v>93</v>
      </c>
      <c r="C658" s="1" t="s">
        <v>7</v>
      </c>
      <c r="D658" s="1" t="s">
        <v>1415</v>
      </c>
      <c r="E658" s="1" t="s">
        <v>1416</v>
      </c>
      <c r="F658" s="1" t="s">
        <v>2063</v>
      </c>
      <c r="G658" s="1" t="s">
        <v>94</v>
      </c>
      <c r="H658" s="1" t="s">
        <v>36</v>
      </c>
      <c r="I658" s="1" t="s">
        <v>30</v>
      </c>
      <c r="J658" s="1" t="s">
        <v>34</v>
      </c>
      <c r="K658" s="1" t="s">
        <v>2132</v>
      </c>
      <c r="L658" s="1" t="s">
        <v>1477</v>
      </c>
      <c r="M658" s="41">
        <v>46087</v>
      </c>
    </row>
    <row r="659" spans="1:13" x14ac:dyDescent="0.25">
      <c r="A659" s="1" t="s">
        <v>2121</v>
      </c>
      <c r="B659" s="1" t="s">
        <v>93</v>
      </c>
      <c r="C659" s="1" t="s">
        <v>7</v>
      </c>
      <c r="D659" s="1" t="s">
        <v>1415</v>
      </c>
      <c r="E659" s="1" t="s">
        <v>1416</v>
      </c>
      <c r="F659" s="1" t="s">
        <v>2063</v>
      </c>
      <c r="G659" s="1" t="s">
        <v>94</v>
      </c>
      <c r="H659" s="1" t="s">
        <v>36</v>
      </c>
      <c r="I659" s="1" t="s">
        <v>31</v>
      </c>
      <c r="J659" s="1" t="s">
        <v>34</v>
      </c>
      <c r="K659" s="1" t="s">
        <v>2133</v>
      </c>
      <c r="L659" s="1" t="s">
        <v>1477</v>
      </c>
      <c r="M659" s="41">
        <v>46087</v>
      </c>
    </row>
    <row r="660" spans="1:13" x14ac:dyDescent="0.25">
      <c r="A660" s="1" t="s">
        <v>2121</v>
      </c>
      <c r="B660" s="1" t="s">
        <v>93</v>
      </c>
      <c r="C660" s="1" t="s">
        <v>7</v>
      </c>
      <c r="D660" s="1" t="s">
        <v>1415</v>
      </c>
      <c r="E660" s="1" t="s">
        <v>1416</v>
      </c>
      <c r="F660" s="1" t="s">
        <v>2063</v>
      </c>
      <c r="G660" s="1" t="s">
        <v>94</v>
      </c>
      <c r="H660" s="1" t="s">
        <v>36</v>
      </c>
      <c r="I660" s="1" t="s">
        <v>32</v>
      </c>
      <c r="J660" s="1" t="s">
        <v>34</v>
      </c>
      <c r="K660" s="1" t="s">
        <v>2134</v>
      </c>
      <c r="L660" s="1" t="s">
        <v>1477</v>
      </c>
      <c r="M660" s="41">
        <v>46087</v>
      </c>
    </row>
    <row r="661" spans="1:13" x14ac:dyDescent="0.25">
      <c r="A661" s="1" t="s">
        <v>2135</v>
      </c>
      <c r="B661" s="1" t="s">
        <v>96</v>
      </c>
      <c r="C661" s="1" t="s">
        <v>7</v>
      </c>
      <c r="D661" s="1" t="s">
        <v>1415</v>
      </c>
      <c r="E661" s="1" t="s">
        <v>1416</v>
      </c>
      <c r="F661" s="1" t="s">
        <v>2136</v>
      </c>
      <c r="G661" s="1" t="s">
        <v>61</v>
      </c>
      <c r="H661" s="1" t="s">
        <v>36</v>
      </c>
      <c r="I661" s="1" t="s">
        <v>20</v>
      </c>
      <c r="J661" s="1" t="s">
        <v>34</v>
      </c>
      <c r="K661" s="1" t="s">
        <v>2137</v>
      </c>
      <c r="L661" s="1" t="s">
        <v>1642</v>
      </c>
      <c r="M661" s="41">
        <v>46295</v>
      </c>
    </row>
    <row r="662" spans="1:13" x14ac:dyDescent="0.25">
      <c r="A662" s="1" t="s">
        <v>2135</v>
      </c>
      <c r="B662" s="1" t="s">
        <v>96</v>
      </c>
      <c r="C662" s="1" t="s">
        <v>7</v>
      </c>
      <c r="D662" s="1" t="s">
        <v>1415</v>
      </c>
      <c r="E662" s="1" t="s">
        <v>1416</v>
      </c>
      <c r="F662" s="1" t="s">
        <v>2136</v>
      </c>
      <c r="G662" s="1" t="s">
        <v>61</v>
      </c>
      <c r="H662" s="1" t="s">
        <v>36</v>
      </c>
      <c r="I662" s="1" t="s">
        <v>21</v>
      </c>
      <c r="J662" s="1" t="s">
        <v>34</v>
      </c>
      <c r="K662" s="1" t="s">
        <v>2138</v>
      </c>
      <c r="L662" s="1" t="s">
        <v>1642</v>
      </c>
      <c r="M662" s="41">
        <v>46087</v>
      </c>
    </row>
    <row r="663" spans="1:13" x14ac:dyDescent="0.25">
      <c r="A663" s="1" t="s">
        <v>2135</v>
      </c>
      <c r="B663" s="1" t="s">
        <v>96</v>
      </c>
      <c r="C663" s="1" t="s">
        <v>7</v>
      </c>
      <c r="D663" s="1" t="s">
        <v>1415</v>
      </c>
      <c r="E663" s="1" t="s">
        <v>1416</v>
      </c>
      <c r="F663" s="1" t="s">
        <v>2136</v>
      </c>
      <c r="G663" s="1" t="s">
        <v>61</v>
      </c>
      <c r="H663" s="1" t="s">
        <v>36</v>
      </c>
      <c r="I663" s="1" t="s">
        <v>22</v>
      </c>
      <c r="J663" s="1" t="s">
        <v>34</v>
      </c>
      <c r="K663" s="1" t="s">
        <v>2139</v>
      </c>
      <c r="L663" s="1" t="s">
        <v>1642</v>
      </c>
      <c r="M663" s="41">
        <v>46295</v>
      </c>
    </row>
    <row r="664" spans="1:13" x14ac:dyDescent="0.25">
      <c r="A664" s="1" t="s">
        <v>2135</v>
      </c>
      <c r="B664" s="1" t="s">
        <v>96</v>
      </c>
      <c r="C664" s="1" t="s">
        <v>7</v>
      </c>
      <c r="D664" s="1" t="s">
        <v>1415</v>
      </c>
      <c r="E664" s="1" t="s">
        <v>1416</v>
      </c>
      <c r="F664" s="1" t="s">
        <v>2136</v>
      </c>
      <c r="G664" s="1" t="s">
        <v>61</v>
      </c>
      <c r="H664" s="1" t="s">
        <v>36</v>
      </c>
      <c r="I664" s="1" t="s">
        <v>23</v>
      </c>
      <c r="J664" s="1" t="s">
        <v>34</v>
      </c>
      <c r="K664" s="1" t="s">
        <v>2140</v>
      </c>
      <c r="L664" s="1" t="s">
        <v>1642</v>
      </c>
      <c r="M664" s="41">
        <v>46295</v>
      </c>
    </row>
    <row r="665" spans="1:13" x14ac:dyDescent="0.25">
      <c r="A665" s="1" t="s">
        <v>2135</v>
      </c>
      <c r="B665" s="1" t="s">
        <v>96</v>
      </c>
      <c r="C665" s="1" t="s">
        <v>7</v>
      </c>
      <c r="D665" s="1" t="s">
        <v>1415</v>
      </c>
      <c r="E665" s="1" t="s">
        <v>1416</v>
      </c>
      <c r="F665" s="1" t="s">
        <v>2136</v>
      </c>
      <c r="G665" s="1" t="s">
        <v>61</v>
      </c>
      <c r="H665" s="1" t="s">
        <v>36</v>
      </c>
      <c r="I665" s="1" t="s">
        <v>24</v>
      </c>
      <c r="J665" s="1" t="s">
        <v>34</v>
      </c>
      <c r="K665" s="1" t="s">
        <v>2141</v>
      </c>
      <c r="L665" s="1" t="s">
        <v>1642</v>
      </c>
      <c r="M665" s="41">
        <v>46295</v>
      </c>
    </row>
    <row r="666" spans="1:13" x14ac:dyDescent="0.25">
      <c r="A666" s="1" t="s">
        <v>2135</v>
      </c>
      <c r="B666" s="1" t="s">
        <v>96</v>
      </c>
      <c r="C666" s="1" t="s">
        <v>7</v>
      </c>
      <c r="D666" s="1" t="s">
        <v>1415</v>
      </c>
      <c r="E666" s="1" t="s">
        <v>1416</v>
      </c>
      <c r="F666" s="1" t="s">
        <v>2136</v>
      </c>
      <c r="G666" s="1" t="s">
        <v>61</v>
      </c>
      <c r="H666" s="1" t="s">
        <v>36</v>
      </c>
      <c r="I666" s="1" t="s">
        <v>25</v>
      </c>
      <c r="J666" s="1" t="s">
        <v>34</v>
      </c>
      <c r="K666" s="1" t="s">
        <v>2142</v>
      </c>
      <c r="L666" s="1" t="s">
        <v>1642</v>
      </c>
      <c r="M666" s="41">
        <v>46295</v>
      </c>
    </row>
    <row r="667" spans="1:13" x14ac:dyDescent="0.25">
      <c r="A667" s="1" t="s">
        <v>2135</v>
      </c>
      <c r="B667" s="1" t="s">
        <v>96</v>
      </c>
      <c r="C667" s="1" t="s">
        <v>7</v>
      </c>
      <c r="D667" s="1" t="s">
        <v>1415</v>
      </c>
      <c r="E667" s="1" t="s">
        <v>1416</v>
      </c>
      <c r="F667" s="1" t="s">
        <v>2136</v>
      </c>
      <c r="G667" s="1" t="s">
        <v>61</v>
      </c>
      <c r="H667" s="1" t="s">
        <v>36</v>
      </c>
      <c r="I667" s="1" t="s">
        <v>26</v>
      </c>
      <c r="J667" s="1" t="s">
        <v>34</v>
      </c>
      <c r="K667" s="1" t="s">
        <v>2143</v>
      </c>
      <c r="L667" s="1" t="s">
        <v>1642</v>
      </c>
      <c r="M667" s="41">
        <v>46295</v>
      </c>
    </row>
    <row r="668" spans="1:13" x14ac:dyDescent="0.25">
      <c r="A668" s="1" t="s">
        <v>2135</v>
      </c>
      <c r="B668" s="1" t="s">
        <v>96</v>
      </c>
      <c r="C668" s="1" t="s">
        <v>7</v>
      </c>
      <c r="D668" s="1" t="s">
        <v>1415</v>
      </c>
      <c r="E668" s="1" t="s">
        <v>1416</v>
      </c>
      <c r="F668" s="1" t="s">
        <v>2136</v>
      </c>
      <c r="G668" s="1" t="s">
        <v>61</v>
      </c>
      <c r="H668" s="1" t="s">
        <v>36</v>
      </c>
      <c r="I668" s="1" t="s">
        <v>27</v>
      </c>
      <c r="J668" s="1" t="s">
        <v>34</v>
      </c>
      <c r="K668" s="1" t="s">
        <v>2144</v>
      </c>
      <c r="L668" s="1" t="s">
        <v>1642</v>
      </c>
      <c r="M668" s="41">
        <v>46295</v>
      </c>
    </row>
    <row r="669" spans="1:13" x14ac:dyDescent="0.25">
      <c r="A669" s="1" t="s">
        <v>2135</v>
      </c>
      <c r="B669" s="1" t="s">
        <v>96</v>
      </c>
      <c r="C669" s="1" t="s">
        <v>7</v>
      </c>
      <c r="D669" s="1" t="s">
        <v>1415</v>
      </c>
      <c r="E669" s="1" t="s">
        <v>1416</v>
      </c>
      <c r="F669" s="1" t="s">
        <v>2136</v>
      </c>
      <c r="G669" s="1" t="s">
        <v>61</v>
      </c>
      <c r="H669" s="1" t="s">
        <v>36</v>
      </c>
      <c r="I669" s="1" t="s">
        <v>28</v>
      </c>
      <c r="J669" s="1" t="s">
        <v>34</v>
      </c>
      <c r="K669" s="1" t="s">
        <v>2145</v>
      </c>
      <c r="L669" s="1" t="s">
        <v>1642</v>
      </c>
      <c r="M669" s="41">
        <v>46295</v>
      </c>
    </row>
    <row r="670" spans="1:13" x14ac:dyDescent="0.25">
      <c r="A670" s="1" t="s">
        <v>2135</v>
      </c>
      <c r="B670" s="1" t="s">
        <v>96</v>
      </c>
      <c r="C670" s="1" t="s">
        <v>7</v>
      </c>
      <c r="D670" s="1" t="s">
        <v>1415</v>
      </c>
      <c r="E670" s="1" t="s">
        <v>1416</v>
      </c>
      <c r="F670" s="1" t="s">
        <v>2136</v>
      </c>
      <c r="G670" s="1" t="s">
        <v>61</v>
      </c>
      <c r="H670" s="1" t="s">
        <v>36</v>
      </c>
      <c r="I670" s="1" t="s">
        <v>29</v>
      </c>
      <c r="J670" s="1" t="s">
        <v>34</v>
      </c>
      <c r="K670" s="1" t="s">
        <v>2146</v>
      </c>
      <c r="L670" s="1" t="s">
        <v>1642</v>
      </c>
      <c r="M670" s="41">
        <v>46295</v>
      </c>
    </row>
    <row r="671" spans="1:13" x14ac:dyDescent="0.25">
      <c r="A671" s="1" t="s">
        <v>2135</v>
      </c>
      <c r="B671" s="1" t="s">
        <v>96</v>
      </c>
      <c r="C671" s="1" t="s">
        <v>7</v>
      </c>
      <c r="D671" s="1" t="s">
        <v>1415</v>
      </c>
      <c r="E671" s="1" t="s">
        <v>1416</v>
      </c>
      <c r="F671" s="1" t="s">
        <v>2136</v>
      </c>
      <c r="G671" s="1" t="s">
        <v>61</v>
      </c>
      <c r="H671" s="1" t="s">
        <v>36</v>
      </c>
      <c r="I671" s="1" t="s">
        <v>30</v>
      </c>
      <c r="J671" s="1" t="s">
        <v>34</v>
      </c>
      <c r="K671" s="1" t="s">
        <v>2147</v>
      </c>
      <c r="L671" s="1" t="s">
        <v>1642</v>
      </c>
      <c r="M671" s="41">
        <v>46295</v>
      </c>
    </row>
    <row r="672" spans="1:13" x14ac:dyDescent="0.25">
      <c r="A672" s="1" t="s">
        <v>2135</v>
      </c>
      <c r="B672" s="1" t="s">
        <v>96</v>
      </c>
      <c r="C672" s="1" t="s">
        <v>7</v>
      </c>
      <c r="D672" s="1" t="s">
        <v>1415</v>
      </c>
      <c r="E672" s="1" t="s">
        <v>1416</v>
      </c>
      <c r="F672" s="1" t="s">
        <v>2136</v>
      </c>
      <c r="G672" s="1" t="s">
        <v>61</v>
      </c>
      <c r="H672" s="1" t="s">
        <v>36</v>
      </c>
      <c r="I672" s="1" t="s">
        <v>31</v>
      </c>
      <c r="J672" s="1" t="s">
        <v>34</v>
      </c>
      <c r="K672" s="1" t="s">
        <v>2148</v>
      </c>
      <c r="L672" s="1" t="s">
        <v>1642</v>
      </c>
      <c r="M672" s="41">
        <v>46087</v>
      </c>
    </row>
    <row r="673" spans="1:13" x14ac:dyDescent="0.25">
      <c r="A673" s="1" t="s">
        <v>2135</v>
      </c>
      <c r="B673" s="1" t="s">
        <v>96</v>
      </c>
      <c r="C673" s="1" t="s">
        <v>7</v>
      </c>
      <c r="D673" s="1" t="s">
        <v>1415</v>
      </c>
      <c r="E673" s="1" t="s">
        <v>1416</v>
      </c>
      <c r="F673" s="1" t="s">
        <v>2136</v>
      </c>
      <c r="G673" s="1" t="s">
        <v>61</v>
      </c>
      <c r="H673" s="1" t="s">
        <v>36</v>
      </c>
      <c r="I673" s="1" t="s">
        <v>32</v>
      </c>
      <c r="J673" s="1" t="s">
        <v>34</v>
      </c>
      <c r="K673" s="1" t="s">
        <v>2149</v>
      </c>
      <c r="L673" s="1" t="s">
        <v>1642</v>
      </c>
      <c r="M673" s="41">
        <v>46087</v>
      </c>
    </row>
    <row r="674" spans="1:13" x14ac:dyDescent="0.25">
      <c r="A674" s="1" t="s">
        <v>2150</v>
      </c>
      <c r="B674" s="1" t="s">
        <v>96</v>
      </c>
      <c r="C674" s="1" t="s">
        <v>7</v>
      </c>
      <c r="D674" s="1" t="s">
        <v>1415</v>
      </c>
      <c r="E674" s="1" t="s">
        <v>1416</v>
      </c>
      <c r="F674" s="1" t="s">
        <v>2136</v>
      </c>
      <c r="G674" s="1" t="s">
        <v>97</v>
      </c>
      <c r="H674" s="1" t="s">
        <v>36</v>
      </c>
      <c r="I674" s="1" t="s">
        <v>20</v>
      </c>
      <c r="J674" s="1" t="s">
        <v>57</v>
      </c>
      <c r="K674" s="1" t="s">
        <v>2151</v>
      </c>
      <c r="L674" s="1" t="s">
        <v>1642</v>
      </c>
      <c r="M674" s="41" t="s">
        <v>9</v>
      </c>
    </row>
    <row r="675" spans="1:13" x14ac:dyDescent="0.25">
      <c r="A675" s="1" t="s">
        <v>2150</v>
      </c>
      <c r="B675" s="1" t="s">
        <v>96</v>
      </c>
      <c r="C675" s="1" t="s">
        <v>7</v>
      </c>
      <c r="D675" s="1" t="s">
        <v>1415</v>
      </c>
      <c r="E675" s="1" t="s">
        <v>1416</v>
      </c>
      <c r="F675" s="1" t="s">
        <v>2136</v>
      </c>
      <c r="G675" s="1" t="s">
        <v>97</v>
      </c>
      <c r="H675" s="1" t="s">
        <v>36</v>
      </c>
      <c r="I675" s="1" t="s">
        <v>21</v>
      </c>
      <c r="J675" s="1" t="s">
        <v>57</v>
      </c>
      <c r="K675" s="1" t="s">
        <v>2152</v>
      </c>
      <c r="L675" s="1" t="s">
        <v>1642</v>
      </c>
      <c r="M675" s="41" t="s">
        <v>9</v>
      </c>
    </row>
    <row r="676" spans="1:13" x14ac:dyDescent="0.25">
      <c r="A676" s="1" t="s">
        <v>2150</v>
      </c>
      <c r="B676" s="1" t="s">
        <v>96</v>
      </c>
      <c r="C676" s="1" t="s">
        <v>7</v>
      </c>
      <c r="D676" s="1" t="s">
        <v>1415</v>
      </c>
      <c r="E676" s="1" t="s">
        <v>1416</v>
      </c>
      <c r="F676" s="1" t="s">
        <v>2136</v>
      </c>
      <c r="G676" s="1" t="s">
        <v>97</v>
      </c>
      <c r="H676" s="1" t="s">
        <v>36</v>
      </c>
      <c r="I676" s="1" t="s">
        <v>22</v>
      </c>
      <c r="J676" s="1" t="s">
        <v>57</v>
      </c>
      <c r="K676" s="1" t="s">
        <v>2153</v>
      </c>
      <c r="L676" s="1" t="s">
        <v>1642</v>
      </c>
      <c r="M676" s="41" t="s">
        <v>9</v>
      </c>
    </row>
    <row r="677" spans="1:13" x14ac:dyDescent="0.25">
      <c r="A677" s="1" t="s">
        <v>2150</v>
      </c>
      <c r="B677" s="1" t="s">
        <v>96</v>
      </c>
      <c r="C677" s="1" t="s">
        <v>7</v>
      </c>
      <c r="D677" s="1" t="s">
        <v>1415</v>
      </c>
      <c r="E677" s="1" t="s">
        <v>1416</v>
      </c>
      <c r="F677" s="1" t="s">
        <v>2136</v>
      </c>
      <c r="G677" s="1" t="s">
        <v>97</v>
      </c>
      <c r="H677" s="1" t="s">
        <v>36</v>
      </c>
      <c r="I677" s="1" t="s">
        <v>23</v>
      </c>
      <c r="J677" s="1" t="s">
        <v>57</v>
      </c>
      <c r="K677" s="1" t="s">
        <v>2154</v>
      </c>
      <c r="L677" s="1" t="s">
        <v>1642</v>
      </c>
      <c r="M677" s="41" t="s">
        <v>9</v>
      </c>
    </row>
    <row r="678" spans="1:13" x14ac:dyDescent="0.25">
      <c r="A678" s="1" t="s">
        <v>2150</v>
      </c>
      <c r="B678" s="1" t="s">
        <v>96</v>
      </c>
      <c r="C678" s="1" t="s">
        <v>7</v>
      </c>
      <c r="D678" s="1" t="s">
        <v>1415</v>
      </c>
      <c r="E678" s="1" t="s">
        <v>1416</v>
      </c>
      <c r="F678" s="1" t="s">
        <v>2136</v>
      </c>
      <c r="G678" s="1" t="s">
        <v>97</v>
      </c>
      <c r="H678" s="1" t="s">
        <v>36</v>
      </c>
      <c r="I678" s="1" t="s">
        <v>24</v>
      </c>
      <c r="J678" s="1" t="s">
        <v>57</v>
      </c>
      <c r="K678" s="1" t="s">
        <v>2155</v>
      </c>
      <c r="L678" s="1" t="s">
        <v>1642</v>
      </c>
      <c r="M678" s="41" t="s">
        <v>9</v>
      </c>
    </row>
    <row r="679" spans="1:13" x14ac:dyDescent="0.25">
      <c r="A679" s="1" t="s">
        <v>2150</v>
      </c>
      <c r="B679" s="1" t="s">
        <v>96</v>
      </c>
      <c r="C679" s="1" t="s">
        <v>7</v>
      </c>
      <c r="D679" s="1" t="s">
        <v>1415</v>
      </c>
      <c r="E679" s="1" t="s">
        <v>1416</v>
      </c>
      <c r="F679" s="1" t="s">
        <v>2136</v>
      </c>
      <c r="G679" s="1" t="s">
        <v>97</v>
      </c>
      <c r="H679" s="1" t="s">
        <v>36</v>
      </c>
      <c r="I679" s="1" t="s">
        <v>25</v>
      </c>
      <c r="J679" s="1" t="s">
        <v>57</v>
      </c>
      <c r="K679" s="1" t="s">
        <v>2156</v>
      </c>
      <c r="L679" s="1" t="s">
        <v>1642</v>
      </c>
      <c r="M679" s="41" t="s">
        <v>9</v>
      </c>
    </row>
    <row r="680" spans="1:13" x14ac:dyDescent="0.25">
      <c r="A680" s="1" t="s">
        <v>2150</v>
      </c>
      <c r="B680" s="1" t="s">
        <v>96</v>
      </c>
      <c r="C680" s="1" t="s">
        <v>7</v>
      </c>
      <c r="D680" s="1" t="s">
        <v>1415</v>
      </c>
      <c r="E680" s="1" t="s">
        <v>1416</v>
      </c>
      <c r="F680" s="1" t="s">
        <v>2136</v>
      </c>
      <c r="G680" s="1" t="s">
        <v>97</v>
      </c>
      <c r="H680" s="1" t="s">
        <v>36</v>
      </c>
      <c r="I680" s="1" t="s">
        <v>26</v>
      </c>
      <c r="J680" s="1" t="s">
        <v>57</v>
      </c>
      <c r="K680" s="1" t="s">
        <v>2157</v>
      </c>
      <c r="L680" s="1" t="s">
        <v>1642</v>
      </c>
      <c r="M680" s="41" t="s">
        <v>9</v>
      </c>
    </row>
    <row r="681" spans="1:13" x14ac:dyDescent="0.25">
      <c r="A681" s="1" t="s">
        <v>2150</v>
      </c>
      <c r="B681" s="1" t="s">
        <v>96</v>
      </c>
      <c r="C681" s="1" t="s">
        <v>7</v>
      </c>
      <c r="D681" s="1" t="s">
        <v>1415</v>
      </c>
      <c r="E681" s="1" t="s">
        <v>1416</v>
      </c>
      <c r="F681" s="1" t="s">
        <v>2136</v>
      </c>
      <c r="G681" s="1" t="s">
        <v>97</v>
      </c>
      <c r="H681" s="1" t="s">
        <v>36</v>
      </c>
      <c r="I681" s="1" t="s">
        <v>27</v>
      </c>
      <c r="J681" s="1" t="s">
        <v>57</v>
      </c>
      <c r="K681" s="1" t="s">
        <v>2158</v>
      </c>
      <c r="L681" s="1" t="s">
        <v>1642</v>
      </c>
      <c r="M681" s="41" t="s">
        <v>9</v>
      </c>
    </row>
    <row r="682" spans="1:13" x14ac:dyDescent="0.25">
      <c r="A682" s="1" t="s">
        <v>2150</v>
      </c>
      <c r="B682" s="1" t="s">
        <v>96</v>
      </c>
      <c r="C682" s="1" t="s">
        <v>7</v>
      </c>
      <c r="D682" s="1" t="s">
        <v>1415</v>
      </c>
      <c r="E682" s="1" t="s">
        <v>1416</v>
      </c>
      <c r="F682" s="1" t="s">
        <v>2136</v>
      </c>
      <c r="G682" s="1" t="s">
        <v>97</v>
      </c>
      <c r="H682" s="1" t="s">
        <v>36</v>
      </c>
      <c r="I682" s="1" t="s">
        <v>28</v>
      </c>
      <c r="J682" s="1" t="s">
        <v>57</v>
      </c>
      <c r="K682" s="1" t="s">
        <v>2159</v>
      </c>
      <c r="L682" s="1" t="s">
        <v>1642</v>
      </c>
      <c r="M682" s="41" t="s">
        <v>9</v>
      </c>
    </row>
    <row r="683" spans="1:13" x14ac:dyDescent="0.25">
      <c r="A683" s="1" t="s">
        <v>2150</v>
      </c>
      <c r="B683" s="1" t="s">
        <v>96</v>
      </c>
      <c r="C683" s="1" t="s">
        <v>7</v>
      </c>
      <c r="D683" s="1" t="s">
        <v>1415</v>
      </c>
      <c r="E683" s="1" t="s">
        <v>1416</v>
      </c>
      <c r="F683" s="1" t="s">
        <v>2136</v>
      </c>
      <c r="G683" s="1" t="s">
        <v>97</v>
      </c>
      <c r="H683" s="1" t="s">
        <v>36</v>
      </c>
      <c r="I683" s="1" t="s">
        <v>56</v>
      </c>
      <c r="J683" s="1" t="s">
        <v>57</v>
      </c>
      <c r="K683" s="1" t="s">
        <v>2160</v>
      </c>
      <c r="L683" s="1" t="s">
        <v>1642</v>
      </c>
      <c r="M683" s="41" t="s">
        <v>9</v>
      </c>
    </row>
    <row r="684" spans="1:13" x14ac:dyDescent="0.25">
      <c r="A684" s="1" t="s">
        <v>2150</v>
      </c>
      <c r="B684" s="1" t="s">
        <v>96</v>
      </c>
      <c r="C684" s="1" t="s">
        <v>7</v>
      </c>
      <c r="D684" s="1" t="s">
        <v>1415</v>
      </c>
      <c r="E684" s="1" t="s">
        <v>1416</v>
      </c>
      <c r="F684" s="1" t="s">
        <v>2136</v>
      </c>
      <c r="G684" s="1" t="s">
        <v>97</v>
      </c>
      <c r="H684" s="1" t="s">
        <v>36</v>
      </c>
      <c r="I684" s="1" t="s">
        <v>29</v>
      </c>
      <c r="J684" s="1" t="s">
        <v>57</v>
      </c>
      <c r="K684" s="1" t="s">
        <v>2161</v>
      </c>
      <c r="L684" s="1" t="s">
        <v>1642</v>
      </c>
      <c r="M684" s="41" t="s">
        <v>9</v>
      </c>
    </row>
    <row r="685" spans="1:13" x14ac:dyDescent="0.25">
      <c r="A685" s="1" t="s">
        <v>2150</v>
      </c>
      <c r="B685" s="1" t="s">
        <v>96</v>
      </c>
      <c r="C685" s="1" t="s">
        <v>7</v>
      </c>
      <c r="D685" s="1" t="s">
        <v>1415</v>
      </c>
      <c r="E685" s="1" t="s">
        <v>1416</v>
      </c>
      <c r="F685" s="1" t="s">
        <v>2136</v>
      </c>
      <c r="G685" s="1" t="s">
        <v>97</v>
      </c>
      <c r="H685" s="1" t="s">
        <v>36</v>
      </c>
      <c r="I685" s="1" t="s">
        <v>30</v>
      </c>
      <c r="J685" s="1" t="s">
        <v>57</v>
      </c>
      <c r="K685" s="1" t="s">
        <v>2162</v>
      </c>
      <c r="L685" s="1" t="s">
        <v>1642</v>
      </c>
      <c r="M685" s="41" t="s">
        <v>9</v>
      </c>
    </row>
    <row r="686" spans="1:13" x14ac:dyDescent="0.25">
      <c r="A686" s="1" t="s">
        <v>2150</v>
      </c>
      <c r="B686" s="1" t="s">
        <v>96</v>
      </c>
      <c r="C686" s="1" t="s">
        <v>7</v>
      </c>
      <c r="D686" s="1" t="s">
        <v>1415</v>
      </c>
      <c r="E686" s="1" t="s">
        <v>1416</v>
      </c>
      <c r="F686" s="1" t="s">
        <v>2136</v>
      </c>
      <c r="G686" s="1" t="s">
        <v>97</v>
      </c>
      <c r="H686" s="1" t="s">
        <v>36</v>
      </c>
      <c r="I686" s="1" t="s">
        <v>31</v>
      </c>
      <c r="J686" s="1" t="s">
        <v>57</v>
      </c>
      <c r="K686" s="1" t="s">
        <v>2163</v>
      </c>
      <c r="L686" s="1" t="s">
        <v>1642</v>
      </c>
      <c r="M686" s="41" t="s">
        <v>9</v>
      </c>
    </row>
    <row r="687" spans="1:13" x14ac:dyDescent="0.25">
      <c r="A687" s="1" t="s">
        <v>2150</v>
      </c>
      <c r="B687" s="1" t="s">
        <v>96</v>
      </c>
      <c r="C687" s="1" t="s">
        <v>7</v>
      </c>
      <c r="D687" s="1" t="s">
        <v>1415</v>
      </c>
      <c r="E687" s="1" t="s">
        <v>1416</v>
      </c>
      <c r="F687" s="1" t="s">
        <v>2136</v>
      </c>
      <c r="G687" s="1" t="s">
        <v>97</v>
      </c>
      <c r="H687" s="1" t="s">
        <v>36</v>
      </c>
      <c r="I687" s="1" t="s">
        <v>32</v>
      </c>
      <c r="J687" s="1" t="s">
        <v>57</v>
      </c>
      <c r="K687" s="1" t="s">
        <v>2164</v>
      </c>
      <c r="L687" s="1" t="s">
        <v>1642</v>
      </c>
      <c r="M687" s="41" t="s">
        <v>9</v>
      </c>
    </row>
    <row r="688" spans="1:13" x14ac:dyDescent="0.25">
      <c r="A688" s="1" t="s">
        <v>2150</v>
      </c>
      <c r="B688" s="1" t="s">
        <v>96</v>
      </c>
      <c r="C688" s="1" t="s">
        <v>7</v>
      </c>
      <c r="D688" s="1" t="s">
        <v>1415</v>
      </c>
      <c r="E688" s="1" t="s">
        <v>1416</v>
      </c>
      <c r="F688" s="1" t="s">
        <v>2136</v>
      </c>
      <c r="G688" s="1" t="s">
        <v>97</v>
      </c>
      <c r="H688" s="1" t="s">
        <v>36</v>
      </c>
      <c r="I688" s="1" t="s">
        <v>20</v>
      </c>
      <c r="J688" s="1" t="s">
        <v>34</v>
      </c>
      <c r="K688" s="1" t="s">
        <v>2165</v>
      </c>
      <c r="L688" s="1" t="s">
        <v>1642</v>
      </c>
      <c r="M688" s="41">
        <v>46104</v>
      </c>
    </row>
    <row r="689" spans="1:13" x14ac:dyDescent="0.25">
      <c r="A689" s="1" t="s">
        <v>2150</v>
      </c>
      <c r="B689" s="1" t="s">
        <v>96</v>
      </c>
      <c r="C689" s="1" t="s">
        <v>7</v>
      </c>
      <c r="D689" s="1" t="s">
        <v>1415</v>
      </c>
      <c r="E689" s="1" t="s">
        <v>1416</v>
      </c>
      <c r="F689" s="1" t="s">
        <v>2136</v>
      </c>
      <c r="G689" s="1" t="s">
        <v>97</v>
      </c>
      <c r="H689" s="1" t="s">
        <v>36</v>
      </c>
      <c r="I689" s="1" t="s">
        <v>21</v>
      </c>
      <c r="J689" s="1" t="s">
        <v>34</v>
      </c>
      <c r="K689" s="1" t="s">
        <v>2166</v>
      </c>
      <c r="L689" s="1" t="s">
        <v>1642</v>
      </c>
      <c r="M689" s="41">
        <v>46087</v>
      </c>
    </row>
    <row r="690" spans="1:13" x14ac:dyDescent="0.25">
      <c r="A690" s="1" t="s">
        <v>2150</v>
      </c>
      <c r="B690" s="1" t="s">
        <v>96</v>
      </c>
      <c r="C690" s="1" t="s">
        <v>7</v>
      </c>
      <c r="D690" s="1" t="s">
        <v>1415</v>
      </c>
      <c r="E690" s="1" t="s">
        <v>1416</v>
      </c>
      <c r="F690" s="1" t="s">
        <v>2136</v>
      </c>
      <c r="G690" s="1" t="s">
        <v>97</v>
      </c>
      <c r="H690" s="1" t="s">
        <v>36</v>
      </c>
      <c r="I690" s="1" t="s">
        <v>22</v>
      </c>
      <c r="J690" s="1" t="s">
        <v>34</v>
      </c>
      <c r="K690" s="1" t="s">
        <v>2167</v>
      </c>
      <c r="L690" s="1" t="s">
        <v>1642</v>
      </c>
      <c r="M690" s="41">
        <v>46087</v>
      </c>
    </row>
    <row r="691" spans="1:13" x14ac:dyDescent="0.25">
      <c r="A691" s="1" t="s">
        <v>2150</v>
      </c>
      <c r="B691" s="1" t="s">
        <v>96</v>
      </c>
      <c r="C691" s="1" t="s">
        <v>7</v>
      </c>
      <c r="D691" s="1" t="s">
        <v>1415</v>
      </c>
      <c r="E691" s="1" t="s">
        <v>1416</v>
      </c>
      <c r="F691" s="1" t="s">
        <v>2136</v>
      </c>
      <c r="G691" s="1" t="s">
        <v>97</v>
      </c>
      <c r="H691" s="1" t="s">
        <v>36</v>
      </c>
      <c r="I691" s="1" t="s">
        <v>23</v>
      </c>
      <c r="J691" s="1" t="s">
        <v>34</v>
      </c>
      <c r="K691" s="1" t="s">
        <v>2168</v>
      </c>
      <c r="L691" s="1" t="s">
        <v>1642</v>
      </c>
      <c r="M691" s="41">
        <v>46087</v>
      </c>
    </row>
    <row r="692" spans="1:13" x14ac:dyDescent="0.25">
      <c r="A692" s="1" t="s">
        <v>2150</v>
      </c>
      <c r="B692" s="1" t="s">
        <v>96</v>
      </c>
      <c r="C692" s="1" t="s">
        <v>7</v>
      </c>
      <c r="D692" s="1" t="s">
        <v>1415</v>
      </c>
      <c r="E692" s="1" t="s">
        <v>1416</v>
      </c>
      <c r="F692" s="1" t="s">
        <v>2136</v>
      </c>
      <c r="G692" s="1" t="s">
        <v>97</v>
      </c>
      <c r="H692" s="1" t="s">
        <v>36</v>
      </c>
      <c r="I692" s="1" t="s">
        <v>24</v>
      </c>
      <c r="J692" s="1" t="s">
        <v>34</v>
      </c>
      <c r="K692" s="1" t="s">
        <v>2169</v>
      </c>
      <c r="L692" s="1" t="s">
        <v>1642</v>
      </c>
      <c r="M692" s="41">
        <v>46087</v>
      </c>
    </row>
    <row r="693" spans="1:13" x14ac:dyDescent="0.25">
      <c r="A693" s="1" t="s">
        <v>2150</v>
      </c>
      <c r="B693" s="1" t="s">
        <v>96</v>
      </c>
      <c r="C693" s="1" t="s">
        <v>7</v>
      </c>
      <c r="D693" s="1" t="s">
        <v>1415</v>
      </c>
      <c r="E693" s="1" t="s">
        <v>1416</v>
      </c>
      <c r="F693" s="1" t="s">
        <v>2136</v>
      </c>
      <c r="G693" s="1" t="s">
        <v>97</v>
      </c>
      <c r="H693" s="1" t="s">
        <v>36</v>
      </c>
      <c r="I693" s="1" t="s">
        <v>25</v>
      </c>
      <c r="J693" s="1" t="s">
        <v>34</v>
      </c>
      <c r="K693" s="1" t="s">
        <v>2170</v>
      </c>
      <c r="L693" s="1" t="s">
        <v>1642</v>
      </c>
      <c r="M693" s="41">
        <v>46087</v>
      </c>
    </row>
    <row r="694" spans="1:13" x14ac:dyDescent="0.25">
      <c r="A694" s="1" t="s">
        <v>2150</v>
      </c>
      <c r="B694" s="1" t="s">
        <v>96</v>
      </c>
      <c r="C694" s="1" t="s">
        <v>7</v>
      </c>
      <c r="D694" s="1" t="s">
        <v>1415</v>
      </c>
      <c r="E694" s="1" t="s">
        <v>1416</v>
      </c>
      <c r="F694" s="1" t="s">
        <v>2136</v>
      </c>
      <c r="G694" s="1" t="s">
        <v>97</v>
      </c>
      <c r="H694" s="1" t="s">
        <v>36</v>
      </c>
      <c r="I694" s="1" t="s">
        <v>26</v>
      </c>
      <c r="J694" s="1" t="s">
        <v>34</v>
      </c>
      <c r="K694" s="1" t="s">
        <v>2171</v>
      </c>
      <c r="L694" s="1" t="s">
        <v>1642</v>
      </c>
      <c r="M694" s="41">
        <v>46087</v>
      </c>
    </row>
    <row r="695" spans="1:13" x14ac:dyDescent="0.25">
      <c r="A695" s="1" t="s">
        <v>2150</v>
      </c>
      <c r="B695" s="1" t="s">
        <v>96</v>
      </c>
      <c r="C695" s="1" t="s">
        <v>7</v>
      </c>
      <c r="D695" s="1" t="s">
        <v>1415</v>
      </c>
      <c r="E695" s="1" t="s">
        <v>1416</v>
      </c>
      <c r="F695" s="1" t="s">
        <v>2136</v>
      </c>
      <c r="G695" s="1" t="s">
        <v>97</v>
      </c>
      <c r="H695" s="1" t="s">
        <v>36</v>
      </c>
      <c r="I695" s="1" t="s">
        <v>27</v>
      </c>
      <c r="J695" s="1" t="s">
        <v>34</v>
      </c>
      <c r="K695" s="1" t="s">
        <v>2172</v>
      </c>
      <c r="L695" s="1" t="s">
        <v>1642</v>
      </c>
      <c r="M695" s="41">
        <v>46087</v>
      </c>
    </row>
    <row r="696" spans="1:13" x14ac:dyDescent="0.25">
      <c r="A696" s="1" t="s">
        <v>2150</v>
      </c>
      <c r="B696" s="1" t="s">
        <v>96</v>
      </c>
      <c r="C696" s="1" t="s">
        <v>7</v>
      </c>
      <c r="D696" s="1" t="s">
        <v>1415</v>
      </c>
      <c r="E696" s="1" t="s">
        <v>1416</v>
      </c>
      <c r="F696" s="1" t="s">
        <v>2136</v>
      </c>
      <c r="G696" s="1" t="s">
        <v>97</v>
      </c>
      <c r="H696" s="1" t="s">
        <v>36</v>
      </c>
      <c r="I696" s="1" t="s">
        <v>28</v>
      </c>
      <c r="J696" s="1" t="s">
        <v>34</v>
      </c>
      <c r="K696" s="1" t="s">
        <v>2173</v>
      </c>
      <c r="L696" s="1" t="s">
        <v>1642</v>
      </c>
      <c r="M696" s="41">
        <v>46087</v>
      </c>
    </row>
    <row r="697" spans="1:13" x14ac:dyDescent="0.25">
      <c r="A697" s="1" t="s">
        <v>2150</v>
      </c>
      <c r="B697" s="1" t="s">
        <v>96</v>
      </c>
      <c r="C697" s="1" t="s">
        <v>7</v>
      </c>
      <c r="D697" s="1" t="s">
        <v>1415</v>
      </c>
      <c r="E697" s="1" t="s">
        <v>1416</v>
      </c>
      <c r="F697" s="1" t="s">
        <v>2136</v>
      </c>
      <c r="G697" s="1" t="s">
        <v>97</v>
      </c>
      <c r="H697" s="1" t="s">
        <v>36</v>
      </c>
      <c r="I697" s="1" t="s">
        <v>56</v>
      </c>
      <c r="J697" s="1" t="s">
        <v>34</v>
      </c>
      <c r="K697" s="1" t="s">
        <v>2174</v>
      </c>
      <c r="L697" s="1" t="s">
        <v>1642</v>
      </c>
      <c r="M697" s="41" t="s">
        <v>9</v>
      </c>
    </row>
    <row r="698" spans="1:13" x14ac:dyDescent="0.25">
      <c r="A698" s="1" t="s">
        <v>2150</v>
      </c>
      <c r="B698" s="1" t="s">
        <v>96</v>
      </c>
      <c r="C698" s="1" t="s">
        <v>7</v>
      </c>
      <c r="D698" s="1" t="s">
        <v>1415</v>
      </c>
      <c r="E698" s="1" t="s">
        <v>1416</v>
      </c>
      <c r="F698" s="1" t="s">
        <v>2136</v>
      </c>
      <c r="G698" s="1" t="s">
        <v>97</v>
      </c>
      <c r="H698" s="1" t="s">
        <v>36</v>
      </c>
      <c r="I698" s="1" t="s">
        <v>29</v>
      </c>
      <c r="J698" s="1" t="s">
        <v>34</v>
      </c>
      <c r="K698" s="1" t="s">
        <v>2175</v>
      </c>
      <c r="L698" s="1" t="s">
        <v>1642</v>
      </c>
      <c r="M698" s="41">
        <v>46087</v>
      </c>
    </row>
    <row r="699" spans="1:13" x14ac:dyDescent="0.25">
      <c r="A699" s="1" t="s">
        <v>2150</v>
      </c>
      <c r="B699" s="1" t="s">
        <v>96</v>
      </c>
      <c r="C699" s="1" t="s">
        <v>7</v>
      </c>
      <c r="D699" s="1" t="s">
        <v>1415</v>
      </c>
      <c r="E699" s="1" t="s">
        <v>1416</v>
      </c>
      <c r="F699" s="1" t="s">
        <v>2136</v>
      </c>
      <c r="G699" s="1" t="s">
        <v>97</v>
      </c>
      <c r="H699" s="1" t="s">
        <v>36</v>
      </c>
      <c r="I699" s="1" t="s">
        <v>30</v>
      </c>
      <c r="J699" s="1" t="s">
        <v>34</v>
      </c>
      <c r="K699" s="1" t="s">
        <v>2176</v>
      </c>
      <c r="L699" s="1" t="s">
        <v>1642</v>
      </c>
      <c r="M699" s="41">
        <v>46087</v>
      </c>
    </row>
    <row r="700" spans="1:13" x14ac:dyDescent="0.25">
      <c r="A700" s="1" t="s">
        <v>2150</v>
      </c>
      <c r="B700" s="1" t="s">
        <v>96</v>
      </c>
      <c r="C700" s="1" t="s">
        <v>7</v>
      </c>
      <c r="D700" s="1" t="s">
        <v>1415</v>
      </c>
      <c r="E700" s="1" t="s">
        <v>1416</v>
      </c>
      <c r="F700" s="1" t="s">
        <v>2136</v>
      </c>
      <c r="G700" s="1" t="s">
        <v>97</v>
      </c>
      <c r="H700" s="1" t="s">
        <v>36</v>
      </c>
      <c r="I700" s="1" t="s">
        <v>31</v>
      </c>
      <c r="J700" s="1" t="s">
        <v>34</v>
      </c>
      <c r="K700" s="1" t="s">
        <v>2177</v>
      </c>
      <c r="L700" s="1" t="s">
        <v>1642</v>
      </c>
      <c r="M700" s="41">
        <v>46087</v>
      </c>
    </row>
    <row r="701" spans="1:13" x14ac:dyDescent="0.25">
      <c r="A701" s="1" t="s">
        <v>2150</v>
      </c>
      <c r="B701" s="1" t="s">
        <v>96</v>
      </c>
      <c r="C701" s="1" t="s">
        <v>7</v>
      </c>
      <c r="D701" s="1" t="s">
        <v>1415</v>
      </c>
      <c r="E701" s="1" t="s">
        <v>1416</v>
      </c>
      <c r="F701" s="1" t="s">
        <v>2136</v>
      </c>
      <c r="G701" s="1" t="s">
        <v>97</v>
      </c>
      <c r="H701" s="1" t="s">
        <v>36</v>
      </c>
      <c r="I701" s="1" t="s">
        <v>32</v>
      </c>
      <c r="J701" s="1" t="s">
        <v>34</v>
      </c>
      <c r="K701" s="1" t="s">
        <v>2178</v>
      </c>
      <c r="L701" s="1" t="s">
        <v>1642</v>
      </c>
      <c r="M701" s="41">
        <v>46295</v>
      </c>
    </row>
    <row r="702" spans="1:13" x14ac:dyDescent="0.25">
      <c r="A702" s="1" t="s">
        <v>2179</v>
      </c>
      <c r="B702" s="1" t="s">
        <v>99</v>
      </c>
      <c r="C702" s="1" t="s">
        <v>7</v>
      </c>
      <c r="D702" s="1" t="s">
        <v>1415</v>
      </c>
      <c r="E702" s="1" t="s">
        <v>1416</v>
      </c>
      <c r="F702" s="1" t="s">
        <v>2136</v>
      </c>
      <c r="G702" s="1" t="s">
        <v>98</v>
      </c>
      <c r="H702" s="1" t="s">
        <v>36</v>
      </c>
      <c r="I702" s="1" t="s">
        <v>20</v>
      </c>
      <c r="J702" s="1" t="s">
        <v>34</v>
      </c>
      <c r="K702" s="1" t="s">
        <v>2180</v>
      </c>
      <c r="L702" s="1" t="s">
        <v>1716</v>
      </c>
      <c r="M702" s="41">
        <v>46244</v>
      </c>
    </row>
    <row r="703" spans="1:13" x14ac:dyDescent="0.25">
      <c r="A703" s="1" t="s">
        <v>2179</v>
      </c>
      <c r="B703" s="1" t="s">
        <v>99</v>
      </c>
      <c r="C703" s="1" t="s">
        <v>7</v>
      </c>
      <c r="D703" s="1" t="s">
        <v>1415</v>
      </c>
      <c r="E703" s="1" t="s">
        <v>1416</v>
      </c>
      <c r="F703" s="1" t="s">
        <v>2136</v>
      </c>
      <c r="G703" s="1" t="s">
        <v>98</v>
      </c>
      <c r="H703" s="1" t="s">
        <v>36</v>
      </c>
      <c r="I703" s="1" t="s">
        <v>21</v>
      </c>
      <c r="J703" s="1" t="s">
        <v>34</v>
      </c>
      <c r="K703" s="1" t="s">
        <v>2181</v>
      </c>
      <c r="L703" s="1" t="s">
        <v>1716</v>
      </c>
      <c r="M703" s="41">
        <v>46244</v>
      </c>
    </row>
    <row r="704" spans="1:13" x14ac:dyDescent="0.25">
      <c r="A704" s="1" t="s">
        <v>2179</v>
      </c>
      <c r="B704" s="1" t="s">
        <v>99</v>
      </c>
      <c r="C704" s="1" t="s">
        <v>7</v>
      </c>
      <c r="D704" s="1" t="s">
        <v>1415</v>
      </c>
      <c r="E704" s="1" t="s">
        <v>1416</v>
      </c>
      <c r="F704" s="1" t="s">
        <v>2136</v>
      </c>
      <c r="G704" s="1" t="s">
        <v>98</v>
      </c>
      <c r="H704" s="1" t="s">
        <v>36</v>
      </c>
      <c r="I704" s="1" t="s">
        <v>22</v>
      </c>
      <c r="J704" s="1" t="s">
        <v>34</v>
      </c>
      <c r="K704" s="1" t="s">
        <v>2182</v>
      </c>
      <c r="L704" s="1" t="s">
        <v>1716</v>
      </c>
      <c r="M704" s="41">
        <v>46244</v>
      </c>
    </row>
    <row r="705" spans="1:13" x14ac:dyDescent="0.25">
      <c r="A705" s="1" t="s">
        <v>2179</v>
      </c>
      <c r="B705" s="1" t="s">
        <v>99</v>
      </c>
      <c r="C705" s="1" t="s">
        <v>7</v>
      </c>
      <c r="D705" s="1" t="s">
        <v>1415</v>
      </c>
      <c r="E705" s="1" t="s">
        <v>1416</v>
      </c>
      <c r="F705" s="1" t="s">
        <v>2136</v>
      </c>
      <c r="G705" s="1" t="s">
        <v>98</v>
      </c>
      <c r="H705" s="1" t="s">
        <v>36</v>
      </c>
      <c r="I705" s="1" t="s">
        <v>23</v>
      </c>
      <c r="J705" s="1" t="s">
        <v>34</v>
      </c>
      <c r="K705" s="1" t="s">
        <v>2183</v>
      </c>
      <c r="L705" s="1" t="s">
        <v>1716</v>
      </c>
      <c r="M705" s="41">
        <v>46244</v>
      </c>
    </row>
    <row r="706" spans="1:13" x14ac:dyDescent="0.25">
      <c r="A706" s="1" t="s">
        <v>2179</v>
      </c>
      <c r="B706" s="1" t="s">
        <v>99</v>
      </c>
      <c r="C706" s="1" t="s">
        <v>7</v>
      </c>
      <c r="D706" s="1" t="s">
        <v>1415</v>
      </c>
      <c r="E706" s="1" t="s">
        <v>1416</v>
      </c>
      <c r="F706" s="1" t="s">
        <v>2136</v>
      </c>
      <c r="G706" s="1" t="s">
        <v>98</v>
      </c>
      <c r="H706" s="1" t="s">
        <v>36</v>
      </c>
      <c r="I706" s="1" t="s">
        <v>24</v>
      </c>
      <c r="J706" s="1" t="s">
        <v>34</v>
      </c>
      <c r="K706" s="1" t="s">
        <v>2184</v>
      </c>
      <c r="L706" s="1" t="s">
        <v>1716</v>
      </c>
      <c r="M706" s="41">
        <v>46244</v>
      </c>
    </row>
    <row r="707" spans="1:13" x14ac:dyDescent="0.25">
      <c r="A707" s="1" t="s">
        <v>2179</v>
      </c>
      <c r="B707" s="1" t="s">
        <v>99</v>
      </c>
      <c r="C707" s="1" t="s">
        <v>7</v>
      </c>
      <c r="D707" s="1" t="s">
        <v>1415</v>
      </c>
      <c r="E707" s="1" t="s">
        <v>1416</v>
      </c>
      <c r="F707" s="1" t="s">
        <v>2136</v>
      </c>
      <c r="G707" s="1" t="s">
        <v>98</v>
      </c>
      <c r="H707" s="1" t="s">
        <v>36</v>
      </c>
      <c r="I707" s="1" t="s">
        <v>25</v>
      </c>
      <c r="J707" s="1" t="s">
        <v>34</v>
      </c>
      <c r="K707" s="1" t="s">
        <v>2185</v>
      </c>
      <c r="L707" s="1" t="s">
        <v>1716</v>
      </c>
      <c r="M707" s="41">
        <v>46244</v>
      </c>
    </row>
    <row r="708" spans="1:13" x14ac:dyDescent="0.25">
      <c r="A708" s="1" t="s">
        <v>2179</v>
      </c>
      <c r="B708" s="1" t="s">
        <v>99</v>
      </c>
      <c r="C708" s="1" t="s">
        <v>7</v>
      </c>
      <c r="D708" s="1" t="s">
        <v>1415</v>
      </c>
      <c r="E708" s="1" t="s">
        <v>1416</v>
      </c>
      <c r="F708" s="1" t="s">
        <v>2136</v>
      </c>
      <c r="G708" s="1" t="s">
        <v>98</v>
      </c>
      <c r="H708" s="1" t="s">
        <v>36</v>
      </c>
      <c r="I708" s="1" t="s">
        <v>26</v>
      </c>
      <c r="J708" s="1" t="s">
        <v>34</v>
      </c>
      <c r="K708" s="1" t="s">
        <v>2186</v>
      </c>
      <c r="L708" s="1" t="s">
        <v>1716</v>
      </c>
      <c r="M708" s="41">
        <v>46244</v>
      </c>
    </row>
    <row r="709" spans="1:13" x14ac:dyDescent="0.25">
      <c r="A709" s="1" t="s">
        <v>2179</v>
      </c>
      <c r="B709" s="1" t="s">
        <v>99</v>
      </c>
      <c r="C709" s="1" t="s">
        <v>7</v>
      </c>
      <c r="D709" s="1" t="s">
        <v>1415</v>
      </c>
      <c r="E709" s="1" t="s">
        <v>1416</v>
      </c>
      <c r="F709" s="1" t="s">
        <v>2136</v>
      </c>
      <c r="G709" s="1" t="s">
        <v>98</v>
      </c>
      <c r="H709" s="1" t="s">
        <v>36</v>
      </c>
      <c r="I709" s="1" t="s">
        <v>27</v>
      </c>
      <c r="J709" s="1" t="s">
        <v>34</v>
      </c>
      <c r="K709" s="1" t="s">
        <v>2187</v>
      </c>
      <c r="L709" s="1" t="s">
        <v>1716</v>
      </c>
      <c r="M709" s="41">
        <v>46244</v>
      </c>
    </row>
    <row r="710" spans="1:13" x14ac:dyDescent="0.25">
      <c r="A710" s="1" t="s">
        <v>2179</v>
      </c>
      <c r="B710" s="1" t="s">
        <v>99</v>
      </c>
      <c r="C710" s="1" t="s">
        <v>7</v>
      </c>
      <c r="D710" s="1" t="s">
        <v>1415</v>
      </c>
      <c r="E710" s="1" t="s">
        <v>1416</v>
      </c>
      <c r="F710" s="1" t="s">
        <v>2136</v>
      </c>
      <c r="G710" s="1" t="s">
        <v>98</v>
      </c>
      <c r="H710" s="1" t="s">
        <v>36</v>
      </c>
      <c r="I710" s="1" t="s">
        <v>28</v>
      </c>
      <c r="J710" s="1" t="s">
        <v>34</v>
      </c>
      <c r="K710" s="1" t="s">
        <v>2188</v>
      </c>
      <c r="L710" s="1" t="s">
        <v>1716</v>
      </c>
      <c r="M710" s="41">
        <v>46244</v>
      </c>
    </row>
    <row r="711" spans="1:13" x14ac:dyDescent="0.25">
      <c r="A711" s="1" t="s">
        <v>2179</v>
      </c>
      <c r="B711" s="1" t="s">
        <v>99</v>
      </c>
      <c r="C711" s="1" t="s">
        <v>7</v>
      </c>
      <c r="D711" s="1" t="s">
        <v>1415</v>
      </c>
      <c r="E711" s="1" t="s">
        <v>1416</v>
      </c>
      <c r="F711" s="1" t="s">
        <v>2136</v>
      </c>
      <c r="G711" s="1" t="s">
        <v>98</v>
      </c>
      <c r="H711" s="1" t="s">
        <v>36</v>
      </c>
      <c r="I711" s="1" t="s">
        <v>29</v>
      </c>
      <c r="J711" s="1" t="s">
        <v>34</v>
      </c>
      <c r="K711" s="1" t="s">
        <v>2189</v>
      </c>
      <c r="L711" s="1" t="s">
        <v>1716</v>
      </c>
      <c r="M711" s="41">
        <v>46244</v>
      </c>
    </row>
    <row r="712" spans="1:13" x14ac:dyDescent="0.25">
      <c r="A712" s="1" t="s">
        <v>2179</v>
      </c>
      <c r="B712" s="1" t="s">
        <v>99</v>
      </c>
      <c r="C712" s="1" t="s">
        <v>7</v>
      </c>
      <c r="D712" s="1" t="s">
        <v>1415</v>
      </c>
      <c r="E712" s="1" t="s">
        <v>1416</v>
      </c>
      <c r="F712" s="1" t="s">
        <v>2136</v>
      </c>
      <c r="G712" s="1" t="s">
        <v>98</v>
      </c>
      <c r="H712" s="1" t="s">
        <v>36</v>
      </c>
      <c r="I712" s="1" t="s">
        <v>30</v>
      </c>
      <c r="J712" s="1" t="s">
        <v>34</v>
      </c>
      <c r="K712" s="1" t="s">
        <v>2190</v>
      </c>
      <c r="L712" s="1" t="s">
        <v>1716</v>
      </c>
      <c r="M712" s="41">
        <v>46244</v>
      </c>
    </row>
    <row r="713" spans="1:13" x14ac:dyDescent="0.25">
      <c r="A713" s="1" t="s">
        <v>2179</v>
      </c>
      <c r="B713" s="1" t="s">
        <v>99</v>
      </c>
      <c r="C713" s="1" t="s">
        <v>7</v>
      </c>
      <c r="D713" s="1" t="s">
        <v>1415</v>
      </c>
      <c r="E713" s="1" t="s">
        <v>1416</v>
      </c>
      <c r="F713" s="1" t="s">
        <v>2136</v>
      </c>
      <c r="G713" s="1" t="s">
        <v>98</v>
      </c>
      <c r="H713" s="1" t="s">
        <v>36</v>
      </c>
      <c r="I713" s="1" t="s">
        <v>31</v>
      </c>
      <c r="J713" s="1" t="s">
        <v>34</v>
      </c>
      <c r="K713" s="1" t="s">
        <v>2191</v>
      </c>
      <c r="L713" s="1" t="s">
        <v>1716</v>
      </c>
      <c r="M713" s="41">
        <v>46244</v>
      </c>
    </row>
    <row r="714" spans="1:13" x14ac:dyDescent="0.25">
      <c r="A714" s="1" t="s">
        <v>2179</v>
      </c>
      <c r="B714" s="1" t="s">
        <v>99</v>
      </c>
      <c r="C714" s="1" t="s">
        <v>7</v>
      </c>
      <c r="D714" s="1" t="s">
        <v>1415</v>
      </c>
      <c r="E714" s="1" t="s">
        <v>1416</v>
      </c>
      <c r="F714" s="1" t="s">
        <v>2136</v>
      </c>
      <c r="G714" s="1" t="s">
        <v>98</v>
      </c>
      <c r="H714" s="1" t="s">
        <v>36</v>
      </c>
      <c r="I714" s="1" t="s">
        <v>32</v>
      </c>
      <c r="J714" s="1" t="s">
        <v>34</v>
      </c>
      <c r="K714" s="1" t="s">
        <v>2192</v>
      </c>
      <c r="L714" s="1" t="s">
        <v>1716</v>
      </c>
      <c r="M714" s="41">
        <v>46244</v>
      </c>
    </row>
    <row r="715" spans="1:13" x14ac:dyDescent="0.25">
      <c r="A715" s="1" t="s">
        <v>2193</v>
      </c>
      <c r="B715" s="1" t="s">
        <v>101</v>
      </c>
      <c r="C715" s="1" t="s">
        <v>7</v>
      </c>
      <c r="D715" s="1" t="s">
        <v>1415</v>
      </c>
      <c r="E715" s="1" t="s">
        <v>1416</v>
      </c>
      <c r="F715" s="1" t="s">
        <v>2136</v>
      </c>
      <c r="G715" s="1" t="s">
        <v>100</v>
      </c>
      <c r="H715" s="1" t="s">
        <v>36</v>
      </c>
      <c r="I715" s="1" t="s">
        <v>20</v>
      </c>
      <c r="J715" s="1" t="s">
        <v>34</v>
      </c>
      <c r="K715" s="1" t="s">
        <v>2194</v>
      </c>
      <c r="L715" s="1" t="s">
        <v>2195</v>
      </c>
      <c r="M715" s="41">
        <v>46251</v>
      </c>
    </row>
    <row r="716" spans="1:13" x14ac:dyDescent="0.25">
      <c r="A716" s="1" t="s">
        <v>2193</v>
      </c>
      <c r="B716" s="1" t="s">
        <v>101</v>
      </c>
      <c r="C716" s="1" t="s">
        <v>7</v>
      </c>
      <c r="D716" s="1" t="s">
        <v>1415</v>
      </c>
      <c r="E716" s="1" t="s">
        <v>1416</v>
      </c>
      <c r="F716" s="1" t="s">
        <v>2136</v>
      </c>
      <c r="G716" s="1" t="s">
        <v>100</v>
      </c>
      <c r="H716" s="1" t="s">
        <v>36</v>
      </c>
      <c r="I716" s="1" t="s">
        <v>21</v>
      </c>
      <c r="J716" s="1" t="s">
        <v>34</v>
      </c>
      <c r="K716" s="1" t="s">
        <v>2196</v>
      </c>
      <c r="L716" s="1" t="s">
        <v>2195</v>
      </c>
      <c r="M716" s="41">
        <v>46251</v>
      </c>
    </row>
    <row r="717" spans="1:13" x14ac:dyDescent="0.25">
      <c r="A717" s="1" t="s">
        <v>2193</v>
      </c>
      <c r="B717" s="1" t="s">
        <v>101</v>
      </c>
      <c r="C717" s="1" t="s">
        <v>7</v>
      </c>
      <c r="D717" s="1" t="s">
        <v>1415</v>
      </c>
      <c r="E717" s="1" t="s">
        <v>1416</v>
      </c>
      <c r="F717" s="1" t="s">
        <v>2136</v>
      </c>
      <c r="G717" s="1" t="s">
        <v>100</v>
      </c>
      <c r="H717" s="1" t="s">
        <v>36</v>
      </c>
      <c r="I717" s="1" t="s">
        <v>22</v>
      </c>
      <c r="J717" s="1" t="s">
        <v>34</v>
      </c>
      <c r="K717" s="1" t="s">
        <v>2197</v>
      </c>
      <c r="L717" s="1" t="s">
        <v>2195</v>
      </c>
      <c r="M717" s="41">
        <v>46251</v>
      </c>
    </row>
    <row r="718" spans="1:13" x14ac:dyDescent="0.25">
      <c r="A718" s="1" t="s">
        <v>2193</v>
      </c>
      <c r="B718" s="1" t="s">
        <v>101</v>
      </c>
      <c r="C718" s="1" t="s">
        <v>7</v>
      </c>
      <c r="D718" s="1" t="s">
        <v>1415</v>
      </c>
      <c r="E718" s="1" t="s">
        <v>1416</v>
      </c>
      <c r="F718" s="1" t="s">
        <v>2136</v>
      </c>
      <c r="G718" s="1" t="s">
        <v>100</v>
      </c>
      <c r="H718" s="1" t="s">
        <v>36</v>
      </c>
      <c r="I718" s="1" t="s">
        <v>23</v>
      </c>
      <c r="J718" s="1" t="s">
        <v>34</v>
      </c>
      <c r="K718" s="1" t="s">
        <v>2198</v>
      </c>
      <c r="L718" s="1" t="s">
        <v>2195</v>
      </c>
      <c r="M718" s="41">
        <v>46251</v>
      </c>
    </row>
    <row r="719" spans="1:13" x14ac:dyDescent="0.25">
      <c r="A719" s="1" t="s">
        <v>2193</v>
      </c>
      <c r="B719" s="1" t="s">
        <v>101</v>
      </c>
      <c r="C719" s="1" t="s">
        <v>7</v>
      </c>
      <c r="D719" s="1" t="s">
        <v>1415</v>
      </c>
      <c r="E719" s="1" t="s">
        <v>1416</v>
      </c>
      <c r="F719" s="1" t="s">
        <v>2136</v>
      </c>
      <c r="G719" s="1" t="s">
        <v>100</v>
      </c>
      <c r="H719" s="1" t="s">
        <v>36</v>
      </c>
      <c r="I719" s="1" t="s">
        <v>24</v>
      </c>
      <c r="J719" s="1" t="s">
        <v>34</v>
      </c>
      <c r="K719" s="1" t="s">
        <v>2199</v>
      </c>
      <c r="L719" s="1" t="s">
        <v>2195</v>
      </c>
      <c r="M719" s="41">
        <v>46251</v>
      </c>
    </row>
    <row r="720" spans="1:13" x14ac:dyDescent="0.25">
      <c r="A720" s="1" t="s">
        <v>2193</v>
      </c>
      <c r="B720" s="1" t="s">
        <v>101</v>
      </c>
      <c r="C720" s="1" t="s">
        <v>7</v>
      </c>
      <c r="D720" s="1" t="s">
        <v>1415</v>
      </c>
      <c r="E720" s="1" t="s">
        <v>1416</v>
      </c>
      <c r="F720" s="1" t="s">
        <v>2136</v>
      </c>
      <c r="G720" s="1" t="s">
        <v>100</v>
      </c>
      <c r="H720" s="1" t="s">
        <v>36</v>
      </c>
      <c r="I720" s="1" t="s">
        <v>25</v>
      </c>
      <c r="J720" s="1" t="s">
        <v>34</v>
      </c>
      <c r="K720" s="1" t="s">
        <v>2200</v>
      </c>
      <c r="L720" s="1" t="s">
        <v>2195</v>
      </c>
      <c r="M720" s="41">
        <v>46251</v>
      </c>
    </row>
    <row r="721" spans="1:13" x14ac:dyDescent="0.25">
      <c r="A721" s="1" t="s">
        <v>2193</v>
      </c>
      <c r="B721" s="1" t="s">
        <v>101</v>
      </c>
      <c r="C721" s="1" t="s">
        <v>7</v>
      </c>
      <c r="D721" s="1" t="s">
        <v>1415</v>
      </c>
      <c r="E721" s="1" t="s">
        <v>1416</v>
      </c>
      <c r="F721" s="1" t="s">
        <v>2136</v>
      </c>
      <c r="G721" s="1" t="s">
        <v>100</v>
      </c>
      <c r="H721" s="1" t="s">
        <v>36</v>
      </c>
      <c r="I721" s="1" t="s">
        <v>26</v>
      </c>
      <c r="J721" s="1" t="s">
        <v>34</v>
      </c>
      <c r="K721" s="1" t="s">
        <v>2201</v>
      </c>
      <c r="L721" s="1" t="s">
        <v>2195</v>
      </c>
      <c r="M721" s="41">
        <v>46251</v>
      </c>
    </row>
    <row r="722" spans="1:13" x14ac:dyDescent="0.25">
      <c r="A722" s="1" t="s">
        <v>2193</v>
      </c>
      <c r="B722" s="1" t="s">
        <v>101</v>
      </c>
      <c r="C722" s="1" t="s">
        <v>7</v>
      </c>
      <c r="D722" s="1" t="s">
        <v>1415</v>
      </c>
      <c r="E722" s="1" t="s">
        <v>1416</v>
      </c>
      <c r="F722" s="1" t="s">
        <v>2136</v>
      </c>
      <c r="G722" s="1" t="s">
        <v>100</v>
      </c>
      <c r="H722" s="1" t="s">
        <v>36</v>
      </c>
      <c r="I722" s="1" t="s">
        <v>27</v>
      </c>
      <c r="J722" s="1" t="s">
        <v>34</v>
      </c>
      <c r="K722" s="1" t="s">
        <v>2202</v>
      </c>
      <c r="L722" s="1" t="s">
        <v>2195</v>
      </c>
      <c r="M722" s="41" t="s">
        <v>9</v>
      </c>
    </row>
    <row r="723" spans="1:13" x14ac:dyDescent="0.25">
      <c r="A723" s="1" t="s">
        <v>2193</v>
      </c>
      <c r="B723" s="1" t="s">
        <v>101</v>
      </c>
      <c r="C723" s="1" t="s">
        <v>7</v>
      </c>
      <c r="D723" s="1" t="s">
        <v>1415</v>
      </c>
      <c r="E723" s="1" t="s">
        <v>1416</v>
      </c>
      <c r="F723" s="1" t="s">
        <v>2136</v>
      </c>
      <c r="G723" s="1" t="s">
        <v>100</v>
      </c>
      <c r="H723" s="1" t="s">
        <v>36</v>
      </c>
      <c r="I723" s="1" t="s">
        <v>28</v>
      </c>
      <c r="J723" s="1" t="s">
        <v>34</v>
      </c>
      <c r="K723" s="1" t="s">
        <v>2203</v>
      </c>
      <c r="L723" s="1" t="s">
        <v>2195</v>
      </c>
      <c r="M723" s="41">
        <v>46251</v>
      </c>
    </row>
    <row r="724" spans="1:13" x14ac:dyDescent="0.25">
      <c r="A724" s="1" t="s">
        <v>2193</v>
      </c>
      <c r="B724" s="1" t="s">
        <v>101</v>
      </c>
      <c r="C724" s="1" t="s">
        <v>7</v>
      </c>
      <c r="D724" s="1" t="s">
        <v>1415</v>
      </c>
      <c r="E724" s="1" t="s">
        <v>1416</v>
      </c>
      <c r="F724" s="1" t="s">
        <v>2136</v>
      </c>
      <c r="G724" s="1" t="s">
        <v>100</v>
      </c>
      <c r="H724" s="1" t="s">
        <v>36</v>
      </c>
      <c r="I724" s="1" t="s">
        <v>29</v>
      </c>
      <c r="J724" s="1" t="s">
        <v>34</v>
      </c>
      <c r="K724" s="1" t="s">
        <v>2204</v>
      </c>
      <c r="L724" s="1" t="s">
        <v>2195</v>
      </c>
      <c r="M724" s="41">
        <v>46251</v>
      </c>
    </row>
    <row r="725" spans="1:13" x14ac:dyDescent="0.25">
      <c r="A725" s="1" t="s">
        <v>2193</v>
      </c>
      <c r="B725" s="1" t="s">
        <v>101</v>
      </c>
      <c r="C725" s="1" t="s">
        <v>7</v>
      </c>
      <c r="D725" s="1" t="s">
        <v>1415</v>
      </c>
      <c r="E725" s="1" t="s">
        <v>1416</v>
      </c>
      <c r="F725" s="1" t="s">
        <v>2136</v>
      </c>
      <c r="G725" s="1" t="s">
        <v>100</v>
      </c>
      <c r="H725" s="1" t="s">
        <v>36</v>
      </c>
      <c r="I725" s="1" t="s">
        <v>30</v>
      </c>
      <c r="J725" s="1" t="s">
        <v>34</v>
      </c>
      <c r="K725" s="1" t="s">
        <v>2205</v>
      </c>
      <c r="L725" s="1" t="s">
        <v>2195</v>
      </c>
      <c r="M725" s="41">
        <v>46251</v>
      </c>
    </row>
    <row r="726" spans="1:13" x14ac:dyDescent="0.25">
      <c r="A726" s="1" t="s">
        <v>2193</v>
      </c>
      <c r="B726" s="1" t="s">
        <v>101</v>
      </c>
      <c r="C726" s="1" t="s">
        <v>7</v>
      </c>
      <c r="D726" s="1" t="s">
        <v>1415</v>
      </c>
      <c r="E726" s="1" t="s">
        <v>1416</v>
      </c>
      <c r="F726" s="1" t="s">
        <v>2136</v>
      </c>
      <c r="G726" s="1" t="s">
        <v>100</v>
      </c>
      <c r="H726" s="1" t="s">
        <v>36</v>
      </c>
      <c r="I726" s="1" t="s">
        <v>31</v>
      </c>
      <c r="J726" s="1" t="s">
        <v>34</v>
      </c>
      <c r="K726" s="1" t="s">
        <v>2206</v>
      </c>
      <c r="L726" s="1" t="s">
        <v>2195</v>
      </c>
      <c r="M726" s="41">
        <v>46251</v>
      </c>
    </row>
    <row r="727" spans="1:13" x14ac:dyDescent="0.25">
      <c r="A727" s="1" t="s">
        <v>2193</v>
      </c>
      <c r="B727" s="1" t="s">
        <v>101</v>
      </c>
      <c r="C727" s="1" t="s">
        <v>7</v>
      </c>
      <c r="D727" s="1" t="s">
        <v>1415</v>
      </c>
      <c r="E727" s="1" t="s">
        <v>1416</v>
      </c>
      <c r="F727" s="1" t="s">
        <v>2136</v>
      </c>
      <c r="G727" s="1" t="s">
        <v>100</v>
      </c>
      <c r="H727" s="1" t="s">
        <v>36</v>
      </c>
      <c r="I727" s="1" t="s">
        <v>32</v>
      </c>
      <c r="J727" s="1" t="s">
        <v>34</v>
      </c>
      <c r="K727" s="1" t="s">
        <v>2207</v>
      </c>
      <c r="L727" s="1" t="s">
        <v>2195</v>
      </c>
      <c r="M727" s="41">
        <v>46251</v>
      </c>
    </row>
    <row r="728" spans="1:13" x14ac:dyDescent="0.25">
      <c r="A728" s="1" t="s">
        <v>2208</v>
      </c>
      <c r="B728" s="1" t="s">
        <v>102</v>
      </c>
      <c r="C728" s="1" t="s">
        <v>7</v>
      </c>
      <c r="D728" s="1" t="s">
        <v>1415</v>
      </c>
      <c r="E728" s="1" t="s">
        <v>1416</v>
      </c>
      <c r="F728" s="1" t="s">
        <v>2136</v>
      </c>
      <c r="G728" s="1" t="s">
        <v>46</v>
      </c>
      <c r="H728" s="1" t="s">
        <v>36</v>
      </c>
      <c r="I728" s="1" t="s">
        <v>49</v>
      </c>
      <c r="J728" s="1" t="s">
        <v>34</v>
      </c>
      <c r="K728" s="1" t="s">
        <v>2209</v>
      </c>
      <c r="L728" s="1" t="s">
        <v>2210</v>
      </c>
      <c r="M728" s="41" t="s">
        <v>9</v>
      </c>
    </row>
    <row r="729" spans="1:13" x14ac:dyDescent="0.25">
      <c r="A729" s="1" t="s">
        <v>2208</v>
      </c>
      <c r="B729" s="1" t="s">
        <v>102</v>
      </c>
      <c r="C729" s="1" t="s">
        <v>7</v>
      </c>
      <c r="D729" s="1" t="s">
        <v>1415</v>
      </c>
      <c r="E729" s="1" t="s">
        <v>1416</v>
      </c>
      <c r="F729" s="1" t="s">
        <v>2136</v>
      </c>
      <c r="G729" s="1" t="s">
        <v>46</v>
      </c>
      <c r="H729" s="1" t="s">
        <v>36</v>
      </c>
      <c r="I729" s="1" t="s">
        <v>50</v>
      </c>
      <c r="J729" s="1" t="s">
        <v>34</v>
      </c>
      <c r="K729" s="1" t="s">
        <v>2211</v>
      </c>
      <c r="L729" s="1" t="s">
        <v>2210</v>
      </c>
      <c r="M729" s="41" t="s">
        <v>9</v>
      </c>
    </row>
    <row r="730" spans="1:13" x14ac:dyDescent="0.25">
      <c r="A730" s="1" t="s">
        <v>2208</v>
      </c>
      <c r="B730" s="1" t="s">
        <v>102</v>
      </c>
      <c r="C730" s="1" t="s">
        <v>7</v>
      </c>
      <c r="D730" s="1" t="s">
        <v>1415</v>
      </c>
      <c r="E730" s="1" t="s">
        <v>1416</v>
      </c>
      <c r="F730" s="1" t="s">
        <v>2136</v>
      </c>
      <c r="G730" s="1" t="s">
        <v>46</v>
      </c>
      <c r="H730" s="1" t="s">
        <v>36</v>
      </c>
      <c r="I730" s="1" t="s">
        <v>51</v>
      </c>
      <c r="J730" s="1" t="s">
        <v>34</v>
      </c>
      <c r="K730" s="1" t="s">
        <v>2212</v>
      </c>
      <c r="L730" s="1" t="s">
        <v>2210</v>
      </c>
      <c r="M730" s="41" t="s">
        <v>9</v>
      </c>
    </row>
    <row r="731" spans="1:13" x14ac:dyDescent="0.25">
      <c r="A731" s="1" t="s">
        <v>2208</v>
      </c>
      <c r="B731" s="1" t="s">
        <v>102</v>
      </c>
      <c r="C731" s="1" t="s">
        <v>7</v>
      </c>
      <c r="D731" s="1" t="s">
        <v>1415</v>
      </c>
      <c r="E731" s="1" t="s">
        <v>1416</v>
      </c>
      <c r="F731" s="1" t="s">
        <v>2136</v>
      </c>
      <c r="G731" s="1" t="s">
        <v>46</v>
      </c>
      <c r="H731" s="1" t="s">
        <v>36</v>
      </c>
      <c r="I731" s="1" t="s">
        <v>52</v>
      </c>
      <c r="J731" s="1" t="s">
        <v>34</v>
      </c>
      <c r="K731" s="1" t="s">
        <v>2213</v>
      </c>
      <c r="L731" s="1" t="s">
        <v>2210</v>
      </c>
      <c r="M731" s="41" t="s">
        <v>9</v>
      </c>
    </row>
    <row r="732" spans="1:13" x14ac:dyDescent="0.25">
      <c r="A732" s="1" t="s">
        <v>2208</v>
      </c>
      <c r="B732" s="1" t="s">
        <v>102</v>
      </c>
      <c r="C732" s="1" t="s">
        <v>7</v>
      </c>
      <c r="D732" s="1" t="s">
        <v>1415</v>
      </c>
      <c r="E732" s="1" t="s">
        <v>1416</v>
      </c>
      <c r="F732" s="1" t="s">
        <v>2136</v>
      </c>
      <c r="G732" s="1" t="s">
        <v>46</v>
      </c>
      <c r="H732" s="1" t="s">
        <v>36</v>
      </c>
      <c r="I732" s="1" t="s">
        <v>53</v>
      </c>
      <c r="J732" s="1" t="s">
        <v>34</v>
      </c>
      <c r="K732" s="1" t="s">
        <v>2214</v>
      </c>
      <c r="L732" s="1" t="s">
        <v>2210</v>
      </c>
      <c r="M732" s="41" t="s">
        <v>9</v>
      </c>
    </row>
    <row r="733" spans="1:13" x14ac:dyDescent="0.25">
      <c r="A733" s="1" t="s">
        <v>2208</v>
      </c>
      <c r="B733" s="1" t="s">
        <v>102</v>
      </c>
      <c r="C733" s="1" t="s">
        <v>7</v>
      </c>
      <c r="D733" s="1" t="s">
        <v>1415</v>
      </c>
      <c r="E733" s="1" t="s">
        <v>1416</v>
      </c>
      <c r="F733" s="1" t="s">
        <v>2136</v>
      </c>
      <c r="G733" s="1" t="s">
        <v>46</v>
      </c>
      <c r="H733" s="1" t="s">
        <v>36</v>
      </c>
      <c r="I733" s="1" t="s">
        <v>54</v>
      </c>
      <c r="J733" s="1" t="s">
        <v>34</v>
      </c>
      <c r="K733" s="1" t="s">
        <v>2215</v>
      </c>
      <c r="L733" s="1" t="s">
        <v>2210</v>
      </c>
      <c r="M733" s="41" t="s">
        <v>9</v>
      </c>
    </row>
    <row r="734" spans="1:13" x14ac:dyDescent="0.25">
      <c r="A734" s="1" t="s">
        <v>2208</v>
      </c>
      <c r="B734" s="1" t="s">
        <v>102</v>
      </c>
      <c r="C734" s="1" t="s">
        <v>7</v>
      </c>
      <c r="D734" s="1" t="s">
        <v>1415</v>
      </c>
      <c r="E734" s="1" t="s">
        <v>1416</v>
      </c>
      <c r="F734" s="1" t="s">
        <v>2136</v>
      </c>
      <c r="G734" s="1" t="s">
        <v>46</v>
      </c>
      <c r="H734" s="1" t="s">
        <v>36</v>
      </c>
      <c r="I734" s="1" t="s">
        <v>55</v>
      </c>
      <c r="J734" s="1" t="s">
        <v>34</v>
      </c>
      <c r="K734" s="1" t="s">
        <v>2216</v>
      </c>
      <c r="L734" s="1" t="s">
        <v>2210</v>
      </c>
      <c r="M734" s="41" t="s">
        <v>9</v>
      </c>
    </row>
    <row r="735" spans="1:13" x14ac:dyDescent="0.25">
      <c r="A735" s="1" t="s">
        <v>2208</v>
      </c>
      <c r="B735" s="1" t="s">
        <v>102</v>
      </c>
      <c r="C735" s="1" t="s">
        <v>7</v>
      </c>
      <c r="D735" s="1" t="s">
        <v>1415</v>
      </c>
      <c r="E735" s="1" t="s">
        <v>1416</v>
      </c>
      <c r="F735" s="1" t="s">
        <v>2136</v>
      </c>
      <c r="G735" s="1" t="s">
        <v>46</v>
      </c>
      <c r="H735" s="1" t="s">
        <v>36</v>
      </c>
      <c r="I735" s="1" t="s">
        <v>20</v>
      </c>
      <c r="J735" s="1" t="s">
        <v>34</v>
      </c>
      <c r="K735" s="1" t="s">
        <v>2217</v>
      </c>
      <c r="L735" s="1" t="s">
        <v>2210</v>
      </c>
      <c r="M735" s="41">
        <v>46087</v>
      </c>
    </row>
    <row r="736" spans="1:13" x14ac:dyDescent="0.25">
      <c r="A736" s="1" t="s">
        <v>2208</v>
      </c>
      <c r="B736" s="1" t="s">
        <v>102</v>
      </c>
      <c r="C736" s="1" t="s">
        <v>7</v>
      </c>
      <c r="D736" s="1" t="s">
        <v>1415</v>
      </c>
      <c r="E736" s="1" t="s">
        <v>1416</v>
      </c>
      <c r="F736" s="1" t="s">
        <v>2136</v>
      </c>
      <c r="G736" s="1" t="s">
        <v>46</v>
      </c>
      <c r="H736" s="1" t="s">
        <v>36</v>
      </c>
      <c r="I736" s="1" t="s">
        <v>21</v>
      </c>
      <c r="J736" s="1" t="s">
        <v>34</v>
      </c>
      <c r="K736" s="1" t="s">
        <v>2218</v>
      </c>
      <c r="L736" s="1" t="s">
        <v>2210</v>
      </c>
      <c r="M736" s="41" t="s">
        <v>9</v>
      </c>
    </row>
    <row r="737" spans="1:13" x14ac:dyDescent="0.25">
      <c r="A737" s="1" t="s">
        <v>2208</v>
      </c>
      <c r="B737" s="1" t="s">
        <v>102</v>
      </c>
      <c r="C737" s="1" t="s">
        <v>7</v>
      </c>
      <c r="D737" s="1" t="s">
        <v>1415</v>
      </c>
      <c r="E737" s="1" t="s">
        <v>1416</v>
      </c>
      <c r="F737" s="1" t="s">
        <v>2136</v>
      </c>
      <c r="G737" s="1" t="s">
        <v>46</v>
      </c>
      <c r="H737" s="1" t="s">
        <v>36</v>
      </c>
      <c r="I737" s="1" t="s">
        <v>22</v>
      </c>
      <c r="J737" s="1" t="s">
        <v>34</v>
      </c>
      <c r="K737" s="1" t="s">
        <v>2219</v>
      </c>
      <c r="L737" s="1" t="s">
        <v>2210</v>
      </c>
      <c r="M737" s="41">
        <v>46087</v>
      </c>
    </row>
    <row r="738" spans="1:13" x14ac:dyDescent="0.25">
      <c r="A738" s="1" t="s">
        <v>2208</v>
      </c>
      <c r="B738" s="1" t="s">
        <v>102</v>
      </c>
      <c r="C738" s="1" t="s">
        <v>7</v>
      </c>
      <c r="D738" s="1" t="s">
        <v>1415</v>
      </c>
      <c r="E738" s="1" t="s">
        <v>1416</v>
      </c>
      <c r="F738" s="1" t="s">
        <v>2136</v>
      </c>
      <c r="G738" s="1" t="s">
        <v>46</v>
      </c>
      <c r="H738" s="1" t="s">
        <v>36</v>
      </c>
      <c r="I738" s="1" t="s">
        <v>23</v>
      </c>
      <c r="J738" s="1" t="s">
        <v>34</v>
      </c>
      <c r="K738" s="1" t="s">
        <v>2220</v>
      </c>
      <c r="L738" s="1" t="s">
        <v>2210</v>
      </c>
      <c r="M738" s="41">
        <v>46087</v>
      </c>
    </row>
    <row r="739" spans="1:13" x14ac:dyDescent="0.25">
      <c r="A739" s="1" t="s">
        <v>2208</v>
      </c>
      <c r="B739" s="1" t="s">
        <v>102</v>
      </c>
      <c r="C739" s="1" t="s">
        <v>7</v>
      </c>
      <c r="D739" s="1" t="s">
        <v>1415</v>
      </c>
      <c r="E739" s="1" t="s">
        <v>1416</v>
      </c>
      <c r="F739" s="1" t="s">
        <v>2136</v>
      </c>
      <c r="G739" s="1" t="s">
        <v>46</v>
      </c>
      <c r="H739" s="1" t="s">
        <v>36</v>
      </c>
      <c r="I739" s="1" t="s">
        <v>24</v>
      </c>
      <c r="J739" s="1" t="s">
        <v>34</v>
      </c>
      <c r="K739" s="1" t="s">
        <v>2221</v>
      </c>
      <c r="L739" s="1" t="s">
        <v>2210</v>
      </c>
      <c r="M739" s="41">
        <v>46088</v>
      </c>
    </row>
    <row r="740" spans="1:13" x14ac:dyDescent="0.25">
      <c r="A740" s="1" t="s">
        <v>2208</v>
      </c>
      <c r="B740" s="1" t="s">
        <v>102</v>
      </c>
      <c r="C740" s="1" t="s">
        <v>7</v>
      </c>
      <c r="D740" s="1" t="s">
        <v>1415</v>
      </c>
      <c r="E740" s="1" t="s">
        <v>1416</v>
      </c>
      <c r="F740" s="1" t="s">
        <v>2136</v>
      </c>
      <c r="G740" s="1" t="s">
        <v>46</v>
      </c>
      <c r="H740" s="1" t="s">
        <v>36</v>
      </c>
      <c r="I740" s="1" t="s">
        <v>25</v>
      </c>
      <c r="J740" s="1" t="s">
        <v>34</v>
      </c>
      <c r="K740" s="1" t="s">
        <v>2222</v>
      </c>
      <c r="L740" s="1" t="s">
        <v>2210</v>
      </c>
      <c r="M740" s="41">
        <v>46087</v>
      </c>
    </row>
    <row r="741" spans="1:13" x14ac:dyDescent="0.25">
      <c r="A741" s="1" t="s">
        <v>2208</v>
      </c>
      <c r="B741" s="1" t="s">
        <v>102</v>
      </c>
      <c r="C741" s="1" t="s">
        <v>7</v>
      </c>
      <c r="D741" s="1" t="s">
        <v>1415</v>
      </c>
      <c r="E741" s="1" t="s">
        <v>1416</v>
      </c>
      <c r="F741" s="1" t="s">
        <v>2136</v>
      </c>
      <c r="G741" s="1" t="s">
        <v>46</v>
      </c>
      <c r="H741" s="1" t="s">
        <v>36</v>
      </c>
      <c r="I741" s="1" t="s">
        <v>26</v>
      </c>
      <c r="J741" s="1" t="s">
        <v>34</v>
      </c>
      <c r="K741" s="1" t="s">
        <v>2223</v>
      </c>
      <c r="L741" s="1" t="s">
        <v>2210</v>
      </c>
      <c r="M741" s="41">
        <v>46087</v>
      </c>
    </row>
    <row r="742" spans="1:13" x14ac:dyDescent="0.25">
      <c r="A742" s="1" t="s">
        <v>2208</v>
      </c>
      <c r="B742" s="1" t="s">
        <v>102</v>
      </c>
      <c r="C742" s="1" t="s">
        <v>7</v>
      </c>
      <c r="D742" s="1" t="s">
        <v>1415</v>
      </c>
      <c r="E742" s="1" t="s">
        <v>1416</v>
      </c>
      <c r="F742" s="1" t="s">
        <v>2136</v>
      </c>
      <c r="G742" s="1" t="s">
        <v>46</v>
      </c>
      <c r="H742" s="1" t="s">
        <v>36</v>
      </c>
      <c r="I742" s="1" t="s">
        <v>27</v>
      </c>
      <c r="J742" s="1" t="s">
        <v>34</v>
      </c>
      <c r="K742" s="1" t="s">
        <v>2224</v>
      </c>
      <c r="L742" s="1" t="s">
        <v>2210</v>
      </c>
      <c r="M742" s="41">
        <v>46087</v>
      </c>
    </row>
    <row r="743" spans="1:13" x14ac:dyDescent="0.25">
      <c r="A743" s="1" t="s">
        <v>2208</v>
      </c>
      <c r="B743" s="1" t="s">
        <v>102</v>
      </c>
      <c r="C743" s="1" t="s">
        <v>7</v>
      </c>
      <c r="D743" s="1" t="s">
        <v>1415</v>
      </c>
      <c r="E743" s="1" t="s">
        <v>1416</v>
      </c>
      <c r="F743" s="1" t="s">
        <v>2136</v>
      </c>
      <c r="G743" s="1" t="s">
        <v>46</v>
      </c>
      <c r="H743" s="1" t="s">
        <v>36</v>
      </c>
      <c r="I743" s="1" t="s">
        <v>28</v>
      </c>
      <c r="J743" s="1" t="s">
        <v>34</v>
      </c>
      <c r="K743" s="1" t="s">
        <v>2225</v>
      </c>
      <c r="L743" s="1" t="s">
        <v>2210</v>
      </c>
      <c r="M743" s="41">
        <v>46087</v>
      </c>
    </row>
    <row r="744" spans="1:13" x14ac:dyDescent="0.25">
      <c r="A744" s="1" t="s">
        <v>2208</v>
      </c>
      <c r="B744" s="1" t="s">
        <v>102</v>
      </c>
      <c r="C744" s="1" t="s">
        <v>7</v>
      </c>
      <c r="D744" s="1" t="s">
        <v>1415</v>
      </c>
      <c r="E744" s="1" t="s">
        <v>1416</v>
      </c>
      <c r="F744" s="1" t="s">
        <v>2136</v>
      </c>
      <c r="G744" s="1" t="s">
        <v>46</v>
      </c>
      <c r="H744" s="1" t="s">
        <v>36</v>
      </c>
      <c r="I744" s="1" t="s">
        <v>29</v>
      </c>
      <c r="J744" s="1" t="s">
        <v>34</v>
      </c>
      <c r="K744" s="1" t="s">
        <v>2226</v>
      </c>
      <c r="L744" s="1" t="s">
        <v>2210</v>
      </c>
      <c r="M744" s="41">
        <v>46087</v>
      </c>
    </row>
    <row r="745" spans="1:13" x14ac:dyDescent="0.25">
      <c r="A745" s="1" t="s">
        <v>2208</v>
      </c>
      <c r="B745" s="1" t="s">
        <v>102</v>
      </c>
      <c r="C745" s="1" t="s">
        <v>7</v>
      </c>
      <c r="D745" s="1" t="s">
        <v>1415</v>
      </c>
      <c r="E745" s="1" t="s">
        <v>1416</v>
      </c>
      <c r="F745" s="1" t="s">
        <v>2136</v>
      </c>
      <c r="G745" s="1" t="s">
        <v>46</v>
      </c>
      <c r="H745" s="1" t="s">
        <v>36</v>
      </c>
      <c r="I745" s="1" t="s">
        <v>30</v>
      </c>
      <c r="J745" s="1" t="s">
        <v>34</v>
      </c>
      <c r="K745" s="1" t="s">
        <v>2227</v>
      </c>
      <c r="L745" s="1" t="s">
        <v>2210</v>
      </c>
      <c r="M745" s="41">
        <v>46087</v>
      </c>
    </row>
    <row r="746" spans="1:13" x14ac:dyDescent="0.25">
      <c r="A746" s="1" t="s">
        <v>2208</v>
      </c>
      <c r="B746" s="1" t="s">
        <v>102</v>
      </c>
      <c r="C746" s="1" t="s">
        <v>7</v>
      </c>
      <c r="D746" s="1" t="s">
        <v>1415</v>
      </c>
      <c r="E746" s="1" t="s">
        <v>1416</v>
      </c>
      <c r="F746" s="1" t="s">
        <v>2136</v>
      </c>
      <c r="G746" s="1" t="s">
        <v>46</v>
      </c>
      <c r="H746" s="1" t="s">
        <v>36</v>
      </c>
      <c r="I746" s="1" t="s">
        <v>31</v>
      </c>
      <c r="J746" s="1" t="s">
        <v>34</v>
      </c>
      <c r="K746" s="1" t="s">
        <v>2228</v>
      </c>
      <c r="L746" s="1" t="s">
        <v>2210</v>
      </c>
      <c r="M746" s="41">
        <v>46087</v>
      </c>
    </row>
    <row r="747" spans="1:13" x14ac:dyDescent="0.25">
      <c r="A747" s="1" t="s">
        <v>2208</v>
      </c>
      <c r="B747" s="1" t="s">
        <v>102</v>
      </c>
      <c r="C747" s="1" t="s">
        <v>7</v>
      </c>
      <c r="D747" s="1" t="s">
        <v>1415</v>
      </c>
      <c r="E747" s="1" t="s">
        <v>1416</v>
      </c>
      <c r="F747" s="1" t="s">
        <v>2136</v>
      </c>
      <c r="G747" s="1" t="s">
        <v>46</v>
      </c>
      <c r="H747" s="1" t="s">
        <v>36</v>
      </c>
      <c r="I747" s="1" t="s">
        <v>32</v>
      </c>
      <c r="J747" s="1" t="s">
        <v>34</v>
      </c>
      <c r="K747" s="1" t="s">
        <v>2229</v>
      </c>
      <c r="L747" s="1" t="s">
        <v>2210</v>
      </c>
      <c r="M747" s="41" t="s">
        <v>9</v>
      </c>
    </row>
    <row r="748" spans="1:13" x14ac:dyDescent="0.25">
      <c r="A748" s="1" t="s">
        <v>2230</v>
      </c>
      <c r="B748" s="1" t="s">
        <v>103</v>
      </c>
      <c r="C748" s="1" t="s">
        <v>7</v>
      </c>
      <c r="D748" s="1" t="s">
        <v>1415</v>
      </c>
      <c r="E748" s="1" t="s">
        <v>1416</v>
      </c>
      <c r="F748" s="1" t="s">
        <v>2136</v>
      </c>
      <c r="G748" s="1" t="s">
        <v>76</v>
      </c>
      <c r="H748" s="1" t="s">
        <v>36</v>
      </c>
      <c r="I748" s="1" t="s">
        <v>20</v>
      </c>
      <c r="J748" s="1" t="s">
        <v>34</v>
      </c>
      <c r="K748" s="1" t="s">
        <v>2231</v>
      </c>
      <c r="L748" s="1" t="s">
        <v>1716</v>
      </c>
      <c r="M748" s="41">
        <v>46087</v>
      </c>
    </row>
    <row r="749" spans="1:13" x14ac:dyDescent="0.25">
      <c r="A749" s="1" t="s">
        <v>2230</v>
      </c>
      <c r="B749" s="1" t="s">
        <v>103</v>
      </c>
      <c r="C749" s="1" t="s">
        <v>7</v>
      </c>
      <c r="D749" s="1" t="s">
        <v>1415</v>
      </c>
      <c r="E749" s="1" t="s">
        <v>1416</v>
      </c>
      <c r="F749" s="1" t="s">
        <v>2136</v>
      </c>
      <c r="G749" s="1" t="s">
        <v>76</v>
      </c>
      <c r="H749" s="1" t="s">
        <v>36</v>
      </c>
      <c r="I749" s="1" t="s">
        <v>21</v>
      </c>
      <c r="J749" s="1" t="s">
        <v>34</v>
      </c>
      <c r="K749" s="1" t="s">
        <v>2232</v>
      </c>
      <c r="L749" s="1" t="s">
        <v>1716</v>
      </c>
      <c r="M749" s="41">
        <v>46087</v>
      </c>
    </row>
    <row r="750" spans="1:13" x14ac:dyDescent="0.25">
      <c r="A750" s="1" t="s">
        <v>2230</v>
      </c>
      <c r="B750" s="1" t="s">
        <v>103</v>
      </c>
      <c r="C750" s="1" t="s">
        <v>7</v>
      </c>
      <c r="D750" s="1" t="s">
        <v>1415</v>
      </c>
      <c r="E750" s="1" t="s">
        <v>1416</v>
      </c>
      <c r="F750" s="1" t="s">
        <v>2136</v>
      </c>
      <c r="G750" s="1" t="s">
        <v>76</v>
      </c>
      <c r="H750" s="1" t="s">
        <v>36</v>
      </c>
      <c r="I750" s="1" t="s">
        <v>22</v>
      </c>
      <c r="J750" s="1" t="s">
        <v>34</v>
      </c>
      <c r="K750" s="1" t="s">
        <v>2233</v>
      </c>
      <c r="L750" s="1" t="s">
        <v>1716</v>
      </c>
      <c r="M750" s="41" t="s">
        <v>9</v>
      </c>
    </row>
    <row r="751" spans="1:13" x14ac:dyDescent="0.25">
      <c r="A751" s="1" t="s">
        <v>2230</v>
      </c>
      <c r="B751" s="1" t="s">
        <v>103</v>
      </c>
      <c r="C751" s="1" t="s">
        <v>7</v>
      </c>
      <c r="D751" s="1" t="s">
        <v>1415</v>
      </c>
      <c r="E751" s="1" t="s">
        <v>1416</v>
      </c>
      <c r="F751" s="1" t="s">
        <v>2136</v>
      </c>
      <c r="G751" s="1" t="s">
        <v>76</v>
      </c>
      <c r="H751" s="1" t="s">
        <v>36</v>
      </c>
      <c r="I751" s="1" t="s">
        <v>23</v>
      </c>
      <c r="J751" s="1" t="s">
        <v>34</v>
      </c>
      <c r="K751" s="1" t="s">
        <v>2234</v>
      </c>
      <c r="L751" s="1" t="s">
        <v>1716</v>
      </c>
      <c r="M751" s="41" t="s">
        <v>9</v>
      </c>
    </row>
    <row r="752" spans="1:13" x14ac:dyDescent="0.25">
      <c r="A752" s="1" t="s">
        <v>2230</v>
      </c>
      <c r="B752" s="1" t="s">
        <v>103</v>
      </c>
      <c r="C752" s="1" t="s">
        <v>7</v>
      </c>
      <c r="D752" s="1" t="s">
        <v>1415</v>
      </c>
      <c r="E752" s="1" t="s">
        <v>1416</v>
      </c>
      <c r="F752" s="1" t="s">
        <v>2136</v>
      </c>
      <c r="G752" s="1" t="s">
        <v>76</v>
      </c>
      <c r="H752" s="1" t="s">
        <v>36</v>
      </c>
      <c r="I752" s="1" t="s">
        <v>24</v>
      </c>
      <c r="J752" s="1" t="s">
        <v>34</v>
      </c>
      <c r="K752" s="1" t="s">
        <v>2235</v>
      </c>
      <c r="L752" s="1" t="s">
        <v>1716</v>
      </c>
      <c r="M752" s="41" t="s">
        <v>9</v>
      </c>
    </row>
    <row r="753" spans="1:13" x14ac:dyDescent="0.25">
      <c r="A753" s="1" t="s">
        <v>2230</v>
      </c>
      <c r="B753" s="1" t="s">
        <v>103</v>
      </c>
      <c r="C753" s="1" t="s">
        <v>7</v>
      </c>
      <c r="D753" s="1" t="s">
        <v>1415</v>
      </c>
      <c r="E753" s="1" t="s">
        <v>1416</v>
      </c>
      <c r="F753" s="1" t="s">
        <v>2136</v>
      </c>
      <c r="G753" s="1" t="s">
        <v>76</v>
      </c>
      <c r="H753" s="1" t="s">
        <v>36</v>
      </c>
      <c r="I753" s="1" t="s">
        <v>25</v>
      </c>
      <c r="J753" s="1" t="s">
        <v>34</v>
      </c>
      <c r="K753" s="1" t="s">
        <v>2236</v>
      </c>
      <c r="L753" s="1" t="s">
        <v>1716</v>
      </c>
      <c r="M753" s="41" t="s">
        <v>9</v>
      </c>
    </row>
    <row r="754" spans="1:13" x14ac:dyDescent="0.25">
      <c r="A754" s="1" t="s">
        <v>2230</v>
      </c>
      <c r="B754" s="1" t="s">
        <v>103</v>
      </c>
      <c r="C754" s="1" t="s">
        <v>7</v>
      </c>
      <c r="D754" s="1" t="s">
        <v>1415</v>
      </c>
      <c r="E754" s="1" t="s">
        <v>1416</v>
      </c>
      <c r="F754" s="1" t="s">
        <v>2136</v>
      </c>
      <c r="G754" s="1" t="s">
        <v>76</v>
      </c>
      <c r="H754" s="1" t="s">
        <v>36</v>
      </c>
      <c r="I754" s="1" t="s">
        <v>26</v>
      </c>
      <c r="J754" s="1" t="s">
        <v>34</v>
      </c>
      <c r="K754" s="1" t="s">
        <v>2237</v>
      </c>
      <c r="L754" s="1" t="s">
        <v>1716</v>
      </c>
      <c r="M754" s="41">
        <v>46087</v>
      </c>
    </row>
    <row r="755" spans="1:13" x14ac:dyDescent="0.25">
      <c r="A755" s="1" t="s">
        <v>2230</v>
      </c>
      <c r="B755" s="1" t="s">
        <v>103</v>
      </c>
      <c r="C755" s="1" t="s">
        <v>7</v>
      </c>
      <c r="D755" s="1" t="s">
        <v>1415</v>
      </c>
      <c r="E755" s="1" t="s">
        <v>1416</v>
      </c>
      <c r="F755" s="1" t="s">
        <v>2136</v>
      </c>
      <c r="G755" s="1" t="s">
        <v>76</v>
      </c>
      <c r="H755" s="1" t="s">
        <v>36</v>
      </c>
      <c r="I755" s="1" t="s">
        <v>27</v>
      </c>
      <c r="J755" s="1" t="s">
        <v>34</v>
      </c>
      <c r="K755" s="1" t="s">
        <v>2238</v>
      </c>
      <c r="L755" s="1" t="s">
        <v>1716</v>
      </c>
      <c r="M755" s="41">
        <v>46087</v>
      </c>
    </row>
    <row r="756" spans="1:13" x14ac:dyDescent="0.25">
      <c r="A756" s="1" t="s">
        <v>2230</v>
      </c>
      <c r="B756" s="1" t="s">
        <v>103</v>
      </c>
      <c r="C756" s="1" t="s">
        <v>7</v>
      </c>
      <c r="D756" s="1" t="s">
        <v>1415</v>
      </c>
      <c r="E756" s="1" t="s">
        <v>1416</v>
      </c>
      <c r="F756" s="1" t="s">
        <v>2136</v>
      </c>
      <c r="G756" s="1" t="s">
        <v>76</v>
      </c>
      <c r="H756" s="1" t="s">
        <v>36</v>
      </c>
      <c r="I756" s="1" t="s">
        <v>28</v>
      </c>
      <c r="J756" s="1" t="s">
        <v>34</v>
      </c>
      <c r="K756" s="1" t="s">
        <v>2239</v>
      </c>
      <c r="L756" s="1" t="s">
        <v>1716</v>
      </c>
      <c r="M756" s="41">
        <v>46087</v>
      </c>
    </row>
    <row r="757" spans="1:13" x14ac:dyDescent="0.25">
      <c r="A757" s="1" t="s">
        <v>2230</v>
      </c>
      <c r="B757" s="1" t="s">
        <v>103</v>
      </c>
      <c r="C757" s="1" t="s">
        <v>7</v>
      </c>
      <c r="D757" s="1" t="s">
        <v>1415</v>
      </c>
      <c r="E757" s="1" t="s">
        <v>1416</v>
      </c>
      <c r="F757" s="1" t="s">
        <v>2136</v>
      </c>
      <c r="G757" s="1" t="s">
        <v>76</v>
      </c>
      <c r="H757" s="1" t="s">
        <v>36</v>
      </c>
      <c r="I757" s="1" t="s">
        <v>29</v>
      </c>
      <c r="J757" s="1" t="s">
        <v>34</v>
      </c>
      <c r="K757" s="1" t="s">
        <v>2240</v>
      </c>
      <c r="L757" s="1" t="s">
        <v>1716</v>
      </c>
      <c r="M757" s="41">
        <v>46087</v>
      </c>
    </row>
    <row r="758" spans="1:13" x14ac:dyDescent="0.25">
      <c r="A758" s="1" t="s">
        <v>2230</v>
      </c>
      <c r="B758" s="1" t="s">
        <v>103</v>
      </c>
      <c r="C758" s="1" t="s">
        <v>7</v>
      </c>
      <c r="D758" s="1" t="s">
        <v>1415</v>
      </c>
      <c r="E758" s="1" t="s">
        <v>1416</v>
      </c>
      <c r="F758" s="1" t="s">
        <v>2136</v>
      </c>
      <c r="G758" s="1" t="s">
        <v>76</v>
      </c>
      <c r="H758" s="1" t="s">
        <v>36</v>
      </c>
      <c r="I758" s="1" t="s">
        <v>30</v>
      </c>
      <c r="J758" s="1" t="s">
        <v>34</v>
      </c>
      <c r="K758" s="1" t="s">
        <v>2241</v>
      </c>
      <c r="L758" s="1" t="s">
        <v>1716</v>
      </c>
      <c r="M758" s="41" t="s">
        <v>9</v>
      </c>
    </row>
    <row r="759" spans="1:13" x14ac:dyDescent="0.25">
      <c r="A759" s="1" t="s">
        <v>2230</v>
      </c>
      <c r="B759" s="1" t="s">
        <v>103</v>
      </c>
      <c r="C759" s="1" t="s">
        <v>7</v>
      </c>
      <c r="D759" s="1" t="s">
        <v>1415</v>
      </c>
      <c r="E759" s="1" t="s">
        <v>1416</v>
      </c>
      <c r="F759" s="1" t="s">
        <v>2136</v>
      </c>
      <c r="G759" s="1" t="s">
        <v>76</v>
      </c>
      <c r="H759" s="1" t="s">
        <v>36</v>
      </c>
      <c r="I759" s="1" t="s">
        <v>31</v>
      </c>
      <c r="J759" s="1" t="s">
        <v>34</v>
      </c>
      <c r="K759" s="1" t="s">
        <v>2242</v>
      </c>
      <c r="L759" s="1" t="s">
        <v>1716</v>
      </c>
      <c r="M759" s="41">
        <v>46087</v>
      </c>
    </row>
    <row r="760" spans="1:13" x14ac:dyDescent="0.25">
      <c r="A760" s="1" t="s">
        <v>2230</v>
      </c>
      <c r="B760" s="1" t="s">
        <v>103</v>
      </c>
      <c r="C760" s="1" t="s">
        <v>7</v>
      </c>
      <c r="D760" s="1" t="s">
        <v>1415</v>
      </c>
      <c r="E760" s="1" t="s">
        <v>1416</v>
      </c>
      <c r="F760" s="1" t="s">
        <v>2136</v>
      </c>
      <c r="G760" s="1" t="s">
        <v>76</v>
      </c>
      <c r="H760" s="1" t="s">
        <v>36</v>
      </c>
      <c r="I760" s="1" t="s">
        <v>32</v>
      </c>
      <c r="J760" s="1" t="s">
        <v>34</v>
      </c>
      <c r="K760" s="1" t="s">
        <v>2243</v>
      </c>
      <c r="L760" s="1" t="s">
        <v>1716</v>
      </c>
      <c r="M760" s="41">
        <v>46087</v>
      </c>
    </row>
    <row r="761" spans="1:13" x14ac:dyDescent="0.25">
      <c r="A761" s="1" t="s">
        <v>2244</v>
      </c>
      <c r="B761" s="1" t="s">
        <v>105</v>
      </c>
      <c r="C761" s="1" t="s">
        <v>7</v>
      </c>
      <c r="D761" s="1" t="s">
        <v>1415</v>
      </c>
      <c r="E761" s="1" t="s">
        <v>1416</v>
      </c>
      <c r="F761" s="1" t="s">
        <v>2136</v>
      </c>
      <c r="G761" s="1" t="s">
        <v>104</v>
      </c>
      <c r="H761" s="1" t="s">
        <v>36</v>
      </c>
      <c r="I761" s="1" t="s">
        <v>20</v>
      </c>
      <c r="J761" s="1" t="s">
        <v>57</v>
      </c>
      <c r="K761" s="1" t="s">
        <v>2245</v>
      </c>
      <c r="L761" s="1" t="s">
        <v>1816</v>
      </c>
      <c r="M761" s="41" t="s">
        <v>9</v>
      </c>
    </row>
    <row r="762" spans="1:13" x14ac:dyDescent="0.25">
      <c r="A762" s="1" t="s">
        <v>2244</v>
      </c>
      <c r="B762" s="1" t="s">
        <v>105</v>
      </c>
      <c r="C762" s="1" t="s">
        <v>7</v>
      </c>
      <c r="D762" s="1" t="s">
        <v>1415</v>
      </c>
      <c r="E762" s="1" t="s">
        <v>1416</v>
      </c>
      <c r="F762" s="1" t="s">
        <v>2136</v>
      </c>
      <c r="G762" s="1" t="s">
        <v>104</v>
      </c>
      <c r="H762" s="1" t="s">
        <v>36</v>
      </c>
      <c r="I762" s="1" t="s">
        <v>21</v>
      </c>
      <c r="J762" s="1" t="s">
        <v>57</v>
      </c>
      <c r="K762" s="1" t="s">
        <v>2246</v>
      </c>
      <c r="L762" s="1" t="s">
        <v>1816</v>
      </c>
      <c r="M762" s="41" t="s">
        <v>9</v>
      </c>
    </row>
    <row r="763" spans="1:13" x14ac:dyDescent="0.25">
      <c r="A763" s="1" t="s">
        <v>2244</v>
      </c>
      <c r="B763" s="1" t="s">
        <v>105</v>
      </c>
      <c r="C763" s="1" t="s">
        <v>7</v>
      </c>
      <c r="D763" s="1" t="s">
        <v>1415</v>
      </c>
      <c r="E763" s="1" t="s">
        <v>1416</v>
      </c>
      <c r="F763" s="1" t="s">
        <v>2136</v>
      </c>
      <c r="G763" s="1" t="s">
        <v>104</v>
      </c>
      <c r="H763" s="1" t="s">
        <v>36</v>
      </c>
      <c r="I763" s="1" t="s">
        <v>22</v>
      </c>
      <c r="J763" s="1" t="s">
        <v>57</v>
      </c>
      <c r="K763" s="1" t="s">
        <v>2247</v>
      </c>
      <c r="L763" s="1" t="s">
        <v>1816</v>
      </c>
      <c r="M763" s="41" t="s">
        <v>9</v>
      </c>
    </row>
    <row r="764" spans="1:13" x14ac:dyDescent="0.25">
      <c r="A764" s="1" t="s">
        <v>2244</v>
      </c>
      <c r="B764" s="1" t="s">
        <v>105</v>
      </c>
      <c r="C764" s="1" t="s">
        <v>7</v>
      </c>
      <c r="D764" s="1" t="s">
        <v>1415</v>
      </c>
      <c r="E764" s="1" t="s">
        <v>1416</v>
      </c>
      <c r="F764" s="1" t="s">
        <v>2136</v>
      </c>
      <c r="G764" s="1" t="s">
        <v>104</v>
      </c>
      <c r="H764" s="1" t="s">
        <v>36</v>
      </c>
      <c r="I764" s="1" t="s">
        <v>23</v>
      </c>
      <c r="J764" s="1" t="s">
        <v>57</v>
      </c>
      <c r="K764" s="1" t="s">
        <v>2248</v>
      </c>
      <c r="L764" s="1" t="s">
        <v>1816</v>
      </c>
      <c r="M764" s="41" t="s">
        <v>9</v>
      </c>
    </row>
    <row r="765" spans="1:13" x14ac:dyDescent="0.25">
      <c r="A765" s="1" t="s">
        <v>2244</v>
      </c>
      <c r="B765" s="1" t="s">
        <v>105</v>
      </c>
      <c r="C765" s="1" t="s">
        <v>7</v>
      </c>
      <c r="D765" s="1" t="s">
        <v>1415</v>
      </c>
      <c r="E765" s="1" t="s">
        <v>1416</v>
      </c>
      <c r="F765" s="1" t="s">
        <v>2136</v>
      </c>
      <c r="G765" s="1" t="s">
        <v>104</v>
      </c>
      <c r="H765" s="1" t="s">
        <v>36</v>
      </c>
      <c r="I765" s="1" t="s">
        <v>24</v>
      </c>
      <c r="J765" s="1" t="s">
        <v>57</v>
      </c>
      <c r="K765" s="1" t="s">
        <v>2249</v>
      </c>
      <c r="L765" s="1" t="s">
        <v>1816</v>
      </c>
      <c r="M765" s="41" t="s">
        <v>9</v>
      </c>
    </row>
    <row r="766" spans="1:13" x14ac:dyDescent="0.25">
      <c r="A766" s="1" t="s">
        <v>2244</v>
      </c>
      <c r="B766" s="1" t="s">
        <v>105</v>
      </c>
      <c r="C766" s="1" t="s">
        <v>7</v>
      </c>
      <c r="D766" s="1" t="s">
        <v>1415</v>
      </c>
      <c r="E766" s="1" t="s">
        <v>1416</v>
      </c>
      <c r="F766" s="1" t="s">
        <v>2136</v>
      </c>
      <c r="G766" s="1" t="s">
        <v>104</v>
      </c>
      <c r="H766" s="1" t="s">
        <v>36</v>
      </c>
      <c r="I766" s="1" t="s">
        <v>25</v>
      </c>
      <c r="J766" s="1" t="s">
        <v>57</v>
      </c>
      <c r="K766" s="1" t="s">
        <v>2250</v>
      </c>
      <c r="L766" s="1" t="s">
        <v>1816</v>
      </c>
      <c r="M766" s="41" t="s">
        <v>9</v>
      </c>
    </row>
    <row r="767" spans="1:13" x14ac:dyDescent="0.25">
      <c r="A767" s="1" t="s">
        <v>2244</v>
      </c>
      <c r="B767" s="1" t="s">
        <v>105</v>
      </c>
      <c r="C767" s="1" t="s">
        <v>7</v>
      </c>
      <c r="D767" s="1" t="s">
        <v>1415</v>
      </c>
      <c r="E767" s="1" t="s">
        <v>1416</v>
      </c>
      <c r="F767" s="1" t="s">
        <v>2136</v>
      </c>
      <c r="G767" s="1" t="s">
        <v>104</v>
      </c>
      <c r="H767" s="1" t="s">
        <v>36</v>
      </c>
      <c r="I767" s="1" t="s">
        <v>26</v>
      </c>
      <c r="J767" s="1" t="s">
        <v>57</v>
      </c>
      <c r="K767" s="1" t="s">
        <v>2251</v>
      </c>
      <c r="L767" s="1" t="s">
        <v>1816</v>
      </c>
      <c r="M767" s="41" t="s">
        <v>9</v>
      </c>
    </row>
    <row r="768" spans="1:13" x14ac:dyDescent="0.25">
      <c r="A768" s="1" t="s">
        <v>2244</v>
      </c>
      <c r="B768" s="1" t="s">
        <v>105</v>
      </c>
      <c r="C768" s="1" t="s">
        <v>7</v>
      </c>
      <c r="D768" s="1" t="s">
        <v>1415</v>
      </c>
      <c r="E768" s="1" t="s">
        <v>1416</v>
      </c>
      <c r="F768" s="1" t="s">
        <v>2136</v>
      </c>
      <c r="G768" s="1" t="s">
        <v>104</v>
      </c>
      <c r="H768" s="1" t="s">
        <v>36</v>
      </c>
      <c r="I768" s="1" t="s">
        <v>27</v>
      </c>
      <c r="J768" s="1" t="s">
        <v>57</v>
      </c>
      <c r="K768" s="1" t="s">
        <v>2252</v>
      </c>
      <c r="L768" s="1" t="s">
        <v>1816</v>
      </c>
      <c r="M768" s="41" t="s">
        <v>9</v>
      </c>
    </row>
    <row r="769" spans="1:13" x14ac:dyDescent="0.25">
      <c r="A769" s="1" t="s">
        <v>2244</v>
      </c>
      <c r="B769" s="1" t="s">
        <v>105</v>
      </c>
      <c r="C769" s="1" t="s">
        <v>7</v>
      </c>
      <c r="D769" s="1" t="s">
        <v>1415</v>
      </c>
      <c r="E769" s="1" t="s">
        <v>1416</v>
      </c>
      <c r="F769" s="1" t="s">
        <v>2136</v>
      </c>
      <c r="G769" s="1" t="s">
        <v>104</v>
      </c>
      <c r="H769" s="1" t="s">
        <v>36</v>
      </c>
      <c r="I769" s="1" t="s">
        <v>28</v>
      </c>
      <c r="J769" s="1" t="s">
        <v>57</v>
      </c>
      <c r="K769" s="1" t="s">
        <v>2253</v>
      </c>
      <c r="L769" s="1" t="s">
        <v>1816</v>
      </c>
      <c r="M769" s="41" t="s">
        <v>9</v>
      </c>
    </row>
    <row r="770" spans="1:13" x14ac:dyDescent="0.25">
      <c r="A770" s="1" t="s">
        <v>2244</v>
      </c>
      <c r="B770" s="1" t="s">
        <v>105</v>
      </c>
      <c r="C770" s="1" t="s">
        <v>7</v>
      </c>
      <c r="D770" s="1" t="s">
        <v>1415</v>
      </c>
      <c r="E770" s="1" t="s">
        <v>1416</v>
      </c>
      <c r="F770" s="1" t="s">
        <v>2136</v>
      </c>
      <c r="G770" s="1" t="s">
        <v>104</v>
      </c>
      <c r="H770" s="1" t="s">
        <v>36</v>
      </c>
      <c r="I770" s="1" t="s">
        <v>56</v>
      </c>
      <c r="J770" s="1" t="s">
        <v>57</v>
      </c>
      <c r="K770" s="1" t="s">
        <v>2254</v>
      </c>
      <c r="L770" s="1" t="s">
        <v>1816</v>
      </c>
      <c r="M770" s="41" t="s">
        <v>9</v>
      </c>
    </row>
    <row r="771" spans="1:13" x14ac:dyDescent="0.25">
      <c r="A771" s="1" t="s">
        <v>2244</v>
      </c>
      <c r="B771" s="1" t="s">
        <v>105</v>
      </c>
      <c r="C771" s="1" t="s">
        <v>7</v>
      </c>
      <c r="D771" s="1" t="s">
        <v>1415</v>
      </c>
      <c r="E771" s="1" t="s">
        <v>1416</v>
      </c>
      <c r="F771" s="1" t="s">
        <v>2136</v>
      </c>
      <c r="G771" s="1" t="s">
        <v>104</v>
      </c>
      <c r="H771" s="1" t="s">
        <v>36</v>
      </c>
      <c r="I771" s="1" t="s">
        <v>29</v>
      </c>
      <c r="J771" s="1" t="s">
        <v>57</v>
      </c>
      <c r="K771" s="1" t="s">
        <v>2255</v>
      </c>
      <c r="L771" s="1" t="s">
        <v>1816</v>
      </c>
      <c r="M771" s="41" t="s">
        <v>9</v>
      </c>
    </row>
    <row r="772" spans="1:13" x14ac:dyDescent="0.25">
      <c r="A772" s="1" t="s">
        <v>2244</v>
      </c>
      <c r="B772" s="1" t="s">
        <v>105</v>
      </c>
      <c r="C772" s="1" t="s">
        <v>7</v>
      </c>
      <c r="D772" s="1" t="s">
        <v>1415</v>
      </c>
      <c r="E772" s="1" t="s">
        <v>1416</v>
      </c>
      <c r="F772" s="1" t="s">
        <v>2136</v>
      </c>
      <c r="G772" s="1" t="s">
        <v>104</v>
      </c>
      <c r="H772" s="1" t="s">
        <v>36</v>
      </c>
      <c r="I772" s="1" t="s">
        <v>30</v>
      </c>
      <c r="J772" s="1" t="s">
        <v>57</v>
      </c>
      <c r="K772" s="1" t="s">
        <v>2256</v>
      </c>
      <c r="L772" s="1" t="s">
        <v>1816</v>
      </c>
      <c r="M772" s="41" t="s">
        <v>9</v>
      </c>
    </row>
    <row r="773" spans="1:13" x14ac:dyDescent="0.25">
      <c r="A773" s="1" t="s">
        <v>2244</v>
      </c>
      <c r="B773" s="1" t="s">
        <v>105</v>
      </c>
      <c r="C773" s="1" t="s">
        <v>7</v>
      </c>
      <c r="D773" s="1" t="s">
        <v>1415</v>
      </c>
      <c r="E773" s="1" t="s">
        <v>1416</v>
      </c>
      <c r="F773" s="1" t="s">
        <v>2136</v>
      </c>
      <c r="G773" s="1" t="s">
        <v>104</v>
      </c>
      <c r="H773" s="1" t="s">
        <v>36</v>
      </c>
      <c r="I773" s="1" t="s">
        <v>31</v>
      </c>
      <c r="J773" s="1" t="s">
        <v>57</v>
      </c>
      <c r="K773" s="1" t="s">
        <v>2257</v>
      </c>
      <c r="L773" s="1" t="s">
        <v>1816</v>
      </c>
      <c r="M773" s="41" t="s">
        <v>9</v>
      </c>
    </row>
    <row r="774" spans="1:13" x14ac:dyDescent="0.25">
      <c r="A774" s="1" t="s">
        <v>2244</v>
      </c>
      <c r="B774" s="1" t="s">
        <v>105</v>
      </c>
      <c r="C774" s="1" t="s">
        <v>7</v>
      </c>
      <c r="D774" s="1" t="s">
        <v>1415</v>
      </c>
      <c r="E774" s="1" t="s">
        <v>1416</v>
      </c>
      <c r="F774" s="1" t="s">
        <v>2136</v>
      </c>
      <c r="G774" s="1" t="s">
        <v>104</v>
      </c>
      <c r="H774" s="1" t="s">
        <v>36</v>
      </c>
      <c r="I774" s="1" t="s">
        <v>32</v>
      </c>
      <c r="J774" s="1" t="s">
        <v>57</v>
      </c>
      <c r="K774" s="1" t="s">
        <v>2258</v>
      </c>
      <c r="L774" s="1" t="s">
        <v>1816</v>
      </c>
      <c r="M774" s="41" t="s">
        <v>9</v>
      </c>
    </row>
    <row r="775" spans="1:13" x14ac:dyDescent="0.25">
      <c r="A775" s="1" t="s">
        <v>2244</v>
      </c>
      <c r="B775" s="1" t="s">
        <v>105</v>
      </c>
      <c r="C775" s="1" t="s">
        <v>7</v>
      </c>
      <c r="D775" s="1" t="s">
        <v>1415</v>
      </c>
      <c r="E775" s="1" t="s">
        <v>1416</v>
      </c>
      <c r="F775" s="1" t="s">
        <v>2136</v>
      </c>
      <c r="G775" s="1" t="s">
        <v>104</v>
      </c>
      <c r="H775" s="1" t="s">
        <v>36</v>
      </c>
      <c r="I775" s="1" t="s">
        <v>20</v>
      </c>
      <c r="J775" s="1" t="s">
        <v>34</v>
      </c>
      <c r="K775" s="1" t="s">
        <v>2259</v>
      </c>
      <c r="L775" s="1" t="s">
        <v>1816</v>
      </c>
      <c r="M775" s="41">
        <v>46087</v>
      </c>
    </row>
    <row r="776" spans="1:13" x14ac:dyDescent="0.25">
      <c r="A776" s="1" t="s">
        <v>2244</v>
      </c>
      <c r="B776" s="1" t="s">
        <v>105</v>
      </c>
      <c r="C776" s="1" t="s">
        <v>7</v>
      </c>
      <c r="D776" s="1" t="s">
        <v>1415</v>
      </c>
      <c r="E776" s="1" t="s">
        <v>1416</v>
      </c>
      <c r="F776" s="1" t="s">
        <v>2136</v>
      </c>
      <c r="G776" s="1" t="s">
        <v>104</v>
      </c>
      <c r="H776" s="1" t="s">
        <v>36</v>
      </c>
      <c r="I776" s="1" t="s">
        <v>21</v>
      </c>
      <c r="J776" s="1" t="s">
        <v>34</v>
      </c>
      <c r="K776" s="1" t="s">
        <v>2260</v>
      </c>
      <c r="L776" s="1" t="s">
        <v>1816</v>
      </c>
      <c r="M776" s="41">
        <v>46188</v>
      </c>
    </row>
    <row r="777" spans="1:13" x14ac:dyDescent="0.25">
      <c r="A777" s="1" t="s">
        <v>2244</v>
      </c>
      <c r="B777" s="1" t="s">
        <v>105</v>
      </c>
      <c r="C777" s="1" t="s">
        <v>7</v>
      </c>
      <c r="D777" s="1" t="s">
        <v>1415</v>
      </c>
      <c r="E777" s="1" t="s">
        <v>1416</v>
      </c>
      <c r="F777" s="1" t="s">
        <v>2136</v>
      </c>
      <c r="G777" s="1" t="s">
        <v>104</v>
      </c>
      <c r="H777" s="1" t="s">
        <v>36</v>
      </c>
      <c r="I777" s="1" t="s">
        <v>22</v>
      </c>
      <c r="J777" s="1" t="s">
        <v>34</v>
      </c>
      <c r="K777" s="1" t="s">
        <v>2261</v>
      </c>
      <c r="L777" s="1" t="s">
        <v>1816</v>
      </c>
      <c r="M777" s="41">
        <v>46188</v>
      </c>
    </row>
    <row r="778" spans="1:13" x14ac:dyDescent="0.25">
      <c r="A778" s="1" t="s">
        <v>2244</v>
      </c>
      <c r="B778" s="1" t="s">
        <v>105</v>
      </c>
      <c r="C778" s="1" t="s">
        <v>7</v>
      </c>
      <c r="D778" s="1" t="s">
        <v>1415</v>
      </c>
      <c r="E778" s="1" t="s">
        <v>1416</v>
      </c>
      <c r="F778" s="1" t="s">
        <v>2136</v>
      </c>
      <c r="G778" s="1" t="s">
        <v>104</v>
      </c>
      <c r="H778" s="1" t="s">
        <v>36</v>
      </c>
      <c r="I778" s="1" t="s">
        <v>23</v>
      </c>
      <c r="J778" s="1" t="s">
        <v>34</v>
      </c>
      <c r="K778" s="1" t="s">
        <v>2262</v>
      </c>
      <c r="L778" s="1" t="s">
        <v>1816</v>
      </c>
      <c r="M778" s="41">
        <v>46295</v>
      </c>
    </row>
    <row r="779" spans="1:13" x14ac:dyDescent="0.25">
      <c r="A779" s="1" t="s">
        <v>2244</v>
      </c>
      <c r="B779" s="1" t="s">
        <v>105</v>
      </c>
      <c r="C779" s="1" t="s">
        <v>7</v>
      </c>
      <c r="D779" s="1" t="s">
        <v>1415</v>
      </c>
      <c r="E779" s="1" t="s">
        <v>1416</v>
      </c>
      <c r="F779" s="1" t="s">
        <v>2136</v>
      </c>
      <c r="G779" s="1" t="s">
        <v>104</v>
      </c>
      <c r="H779" s="1" t="s">
        <v>36</v>
      </c>
      <c r="I779" s="1" t="s">
        <v>24</v>
      </c>
      <c r="J779" s="1" t="s">
        <v>34</v>
      </c>
      <c r="K779" s="1" t="s">
        <v>2263</v>
      </c>
      <c r="L779" s="1" t="s">
        <v>1816</v>
      </c>
      <c r="M779" s="41">
        <v>46188</v>
      </c>
    </row>
    <row r="780" spans="1:13" x14ac:dyDescent="0.25">
      <c r="A780" s="1" t="s">
        <v>2244</v>
      </c>
      <c r="B780" s="1" t="s">
        <v>105</v>
      </c>
      <c r="C780" s="1" t="s">
        <v>7</v>
      </c>
      <c r="D780" s="1" t="s">
        <v>1415</v>
      </c>
      <c r="E780" s="1" t="s">
        <v>1416</v>
      </c>
      <c r="F780" s="1" t="s">
        <v>2136</v>
      </c>
      <c r="G780" s="1" t="s">
        <v>104</v>
      </c>
      <c r="H780" s="1" t="s">
        <v>36</v>
      </c>
      <c r="I780" s="1" t="s">
        <v>25</v>
      </c>
      <c r="J780" s="1" t="s">
        <v>34</v>
      </c>
      <c r="K780" s="1" t="s">
        <v>2264</v>
      </c>
      <c r="L780" s="1" t="s">
        <v>1816</v>
      </c>
      <c r="M780" s="41">
        <v>46295</v>
      </c>
    </row>
    <row r="781" spans="1:13" x14ac:dyDescent="0.25">
      <c r="A781" s="1" t="s">
        <v>2244</v>
      </c>
      <c r="B781" s="1" t="s">
        <v>105</v>
      </c>
      <c r="C781" s="1" t="s">
        <v>7</v>
      </c>
      <c r="D781" s="1" t="s">
        <v>1415</v>
      </c>
      <c r="E781" s="1" t="s">
        <v>1416</v>
      </c>
      <c r="F781" s="1" t="s">
        <v>2136</v>
      </c>
      <c r="G781" s="1" t="s">
        <v>104</v>
      </c>
      <c r="H781" s="1" t="s">
        <v>36</v>
      </c>
      <c r="I781" s="1" t="s">
        <v>26</v>
      </c>
      <c r="J781" s="1" t="s">
        <v>34</v>
      </c>
      <c r="K781" s="1" t="s">
        <v>2265</v>
      </c>
      <c r="L781" s="1" t="s">
        <v>1816</v>
      </c>
      <c r="M781" s="41">
        <v>46188</v>
      </c>
    </row>
    <row r="782" spans="1:13" x14ac:dyDescent="0.25">
      <c r="A782" s="1" t="s">
        <v>2244</v>
      </c>
      <c r="B782" s="1" t="s">
        <v>105</v>
      </c>
      <c r="C782" s="1" t="s">
        <v>7</v>
      </c>
      <c r="D782" s="1" t="s">
        <v>1415</v>
      </c>
      <c r="E782" s="1" t="s">
        <v>1416</v>
      </c>
      <c r="F782" s="1" t="s">
        <v>2136</v>
      </c>
      <c r="G782" s="1" t="s">
        <v>104</v>
      </c>
      <c r="H782" s="1" t="s">
        <v>36</v>
      </c>
      <c r="I782" s="1" t="s">
        <v>27</v>
      </c>
      <c r="J782" s="1" t="s">
        <v>34</v>
      </c>
      <c r="K782" s="1" t="s">
        <v>2266</v>
      </c>
      <c r="L782" s="1" t="s">
        <v>1816</v>
      </c>
      <c r="M782" s="41">
        <v>46295</v>
      </c>
    </row>
    <row r="783" spans="1:13" x14ac:dyDescent="0.25">
      <c r="A783" s="1" t="s">
        <v>2244</v>
      </c>
      <c r="B783" s="1" t="s">
        <v>105</v>
      </c>
      <c r="C783" s="1" t="s">
        <v>7</v>
      </c>
      <c r="D783" s="1" t="s">
        <v>1415</v>
      </c>
      <c r="E783" s="1" t="s">
        <v>1416</v>
      </c>
      <c r="F783" s="1" t="s">
        <v>2136</v>
      </c>
      <c r="G783" s="1" t="s">
        <v>104</v>
      </c>
      <c r="H783" s="1" t="s">
        <v>36</v>
      </c>
      <c r="I783" s="1" t="s">
        <v>28</v>
      </c>
      <c r="J783" s="1" t="s">
        <v>34</v>
      </c>
      <c r="K783" s="1" t="s">
        <v>2267</v>
      </c>
      <c r="L783" s="1" t="s">
        <v>1816</v>
      </c>
      <c r="M783" s="41">
        <v>46188</v>
      </c>
    </row>
    <row r="784" spans="1:13" x14ac:dyDescent="0.25">
      <c r="A784" s="1" t="s">
        <v>2244</v>
      </c>
      <c r="B784" s="1" t="s">
        <v>105</v>
      </c>
      <c r="C784" s="1" t="s">
        <v>7</v>
      </c>
      <c r="D784" s="1" t="s">
        <v>1415</v>
      </c>
      <c r="E784" s="1" t="s">
        <v>1416</v>
      </c>
      <c r="F784" s="1" t="s">
        <v>2136</v>
      </c>
      <c r="G784" s="1" t="s">
        <v>104</v>
      </c>
      <c r="H784" s="1" t="s">
        <v>36</v>
      </c>
      <c r="I784" s="1" t="s">
        <v>56</v>
      </c>
      <c r="J784" s="1" t="s">
        <v>34</v>
      </c>
      <c r="K784" s="1" t="s">
        <v>2268</v>
      </c>
      <c r="L784" s="1" t="s">
        <v>1816</v>
      </c>
      <c r="M784" s="41" t="s">
        <v>9</v>
      </c>
    </row>
    <row r="785" spans="1:13" x14ac:dyDescent="0.25">
      <c r="A785" s="1" t="s">
        <v>2244</v>
      </c>
      <c r="B785" s="1" t="s">
        <v>105</v>
      </c>
      <c r="C785" s="1" t="s">
        <v>7</v>
      </c>
      <c r="D785" s="1" t="s">
        <v>1415</v>
      </c>
      <c r="E785" s="1" t="s">
        <v>1416</v>
      </c>
      <c r="F785" s="1" t="s">
        <v>2136</v>
      </c>
      <c r="G785" s="1" t="s">
        <v>104</v>
      </c>
      <c r="H785" s="1" t="s">
        <v>36</v>
      </c>
      <c r="I785" s="1" t="s">
        <v>29</v>
      </c>
      <c r="J785" s="1" t="s">
        <v>34</v>
      </c>
      <c r="K785" s="1" t="s">
        <v>2269</v>
      </c>
      <c r="L785" s="1" t="s">
        <v>1816</v>
      </c>
      <c r="M785" s="41">
        <v>46188</v>
      </c>
    </row>
    <row r="786" spans="1:13" x14ac:dyDescent="0.25">
      <c r="A786" s="1" t="s">
        <v>2244</v>
      </c>
      <c r="B786" s="1" t="s">
        <v>105</v>
      </c>
      <c r="C786" s="1" t="s">
        <v>7</v>
      </c>
      <c r="D786" s="1" t="s">
        <v>1415</v>
      </c>
      <c r="E786" s="1" t="s">
        <v>1416</v>
      </c>
      <c r="F786" s="1" t="s">
        <v>2136</v>
      </c>
      <c r="G786" s="1" t="s">
        <v>104</v>
      </c>
      <c r="H786" s="1" t="s">
        <v>36</v>
      </c>
      <c r="I786" s="1" t="s">
        <v>30</v>
      </c>
      <c r="J786" s="1" t="s">
        <v>34</v>
      </c>
      <c r="K786" s="1" t="s">
        <v>2270</v>
      </c>
      <c r="L786" s="1" t="s">
        <v>1816</v>
      </c>
      <c r="M786" s="41">
        <v>46188</v>
      </c>
    </row>
    <row r="787" spans="1:13" x14ac:dyDescent="0.25">
      <c r="A787" s="1" t="s">
        <v>2244</v>
      </c>
      <c r="B787" s="1" t="s">
        <v>105</v>
      </c>
      <c r="C787" s="1" t="s">
        <v>7</v>
      </c>
      <c r="D787" s="1" t="s">
        <v>1415</v>
      </c>
      <c r="E787" s="1" t="s">
        <v>1416</v>
      </c>
      <c r="F787" s="1" t="s">
        <v>2136</v>
      </c>
      <c r="G787" s="1" t="s">
        <v>104</v>
      </c>
      <c r="H787" s="1" t="s">
        <v>36</v>
      </c>
      <c r="I787" s="1" t="s">
        <v>31</v>
      </c>
      <c r="J787" s="1" t="s">
        <v>34</v>
      </c>
      <c r="K787" s="1" t="s">
        <v>2271</v>
      </c>
      <c r="L787" s="1" t="s">
        <v>1816</v>
      </c>
      <c r="M787" s="41">
        <v>46087</v>
      </c>
    </row>
    <row r="788" spans="1:13" x14ac:dyDescent="0.25">
      <c r="A788" s="1" t="s">
        <v>2244</v>
      </c>
      <c r="B788" s="1" t="s">
        <v>105</v>
      </c>
      <c r="C788" s="1" t="s">
        <v>7</v>
      </c>
      <c r="D788" s="1" t="s">
        <v>1415</v>
      </c>
      <c r="E788" s="1" t="s">
        <v>1416</v>
      </c>
      <c r="F788" s="1" t="s">
        <v>2136</v>
      </c>
      <c r="G788" s="1" t="s">
        <v>104</v>
      </c>
      <c r="H788" s="1" t="s">
        <v>36</v>
      </c>
      <c r="I788" s="1" t="s">
        <v>32</v>
      </c>
      <c r="J788" s="1" t="s">
        <v>34</v>
      </c>
      <c r="K788" s="1" t="s">
        <v>2272</v>
      </c>
      <c r="L788" s="1" t="s">
        <v>1816</v>
      </c>
      <c r="M788" s="41">
        <v>46188</v>
      </c>
    </row>
    <row r="789" spans="1:13" x14ac:dyDescent="0.25">
      <c r="A789" s="1" t="s">
        <v>2273</v>
      </c>
      <c r="B789" s="1" t="s">
        <v>106</v>
      </c>
      <c r="C789" s="1" t="s">
        <v>7</v>
      </c>
      <c r="D789" s="1" t="s">
        <v>1415</v>
      </c>
      <c r="E789" s="1" t="s">
        <v>1416</v>
      </c>
      <c r="F789" s="1" t="s">
        <v>2136</v>
      </c>
      <c r="G789" s="1" t="s">
        <v>68</v>
      </c>
      <c r="H789" s="1" t="s">
        <v>36</v>
      </c>
      <c r="I789" s="1" t="s">
        <v>20</v>
      </c>
      <c r="J789" s="1" t="s">
        <v>34</v>
      </c>
      <c r="K789" s="1" t="s">
        <v>2274</v>
      </c>
      <c r="L789" s="1" t="s">
        <v>2275</v>
      </c>
      <c r="M789" s="41">
        <v>46087</v>
      </c>
    </row>
    <row r="790" spans="1:13" x14ac:dyDescent="0.25">
      <c r="A790" s="1" t="s">
        <v>2273</v>
      </c>
      <c r="B790" s="1" t="s">
        <v>106</v>
      </c>
      <c r="C790" s="1" t="s">
        <v>7</v>
      </c>
      <c r="D790" s="1" t="s">
        <v>1415</v>
      </c>
      <c r="E790" s="1" t="s">
        <v>1416</v>
      </c>
      <c r="F790" s="1" t="s">
        <v>2136</v>
      </c>
      <c r="G790" s="1" t="s">
        <v>68</v>
      </c>
      <c r="H790" s="1" t="s">
        <v>36</v>
      </c>
      <c r="I790" s="1" t="s">
        <v>21</v>
      </c>
      <c r="J790" s="1" t="s">
        <v>34</v>
      </c>
      <c r="K790" s="1" t="s">
        <v>2276</v>
      </c>
      <c r="L790" s="1" t="s">
        <v>2275</v>
      </c>
      <c r="M790" s="41">
        <v>46087</v>
      </c>
    </row>
    <row r="791" spans="1:13" x14ac:dyDescent="0.25">
      <c r="A791" s="1" t="s">
        <v>2273</v>
      </c>
      <c r="B791" s="1" t="s">
        <v>106</v>
      </c>
      <c r="C791" s="1" t="s">
        <v>7</v>
      </c>
      <c r="D791" s="1" t="s">
        <v>1415</v>
      </c>
      <c r="E791" s="1" t="s">
        <v>1416</v>
      </c>
      <c r="F791" s="1" t="s">
        <v>2136</v>
      </c>
      <c r="G791" s="1" t="s">
        <v>68</v>
      </c>
      <c r="H791" s="1" t="s">
        <v>36</v>
      </c>
      <c r="I791" s="1" t="s">
        <v>22</v>
      </c>
      <c r="J791" s="1" t="s">
        <v>34</v>
      </c>
      <c r="K791" s="1" t="s">
        <v>2277</v>
      </c>
      <c r="L791" s="1" t="s">
        <v>2275</v>
      </c>
      <c r="M791" s="41">
        <v>46087</v>
      </c>
    </row>
    <row r="792" spans="1:13" x14ac:dyDescent="0.25">
      <c r="A792" s="1" t="s">
        <v>2273</v>
      </c>
      <c r="B792" s="1" t="s">
        <v>106</v>
      </c>
      <c r="C792" s="1" t="s">
        <v>7</v>
      </c>
      <c r="D792" s="1" t="s">
        <v>1415</v>
      </c>
      <c r="E792" s="1" t="s">
        <v>1416</v>
      </c>
      <c r="F792" s="1" t="s">
        <v>2136</v>
      </c>
      <c r="G792" s="1" t="s">
        <v>68</v>
      </c>
      <c r="H792" s="1" t="s">
        <v>36</v>
      </c>
      <c r="I792" s="1" t="s">
        <v>23</v>
      </c>
      <c r="J792" s="1" t="s">
        <v>34</v>
      </c>
      <c r="K792" s="1" t="s">
        <v>2278</v>
      </c>
      <c r="L792" s="1" t="s">
        <v>2275</v>
      </c>
      <c r="M792" s="41">
        <v>46087</v>
      </c>
    </row>
    <row r="793" spans="1:13" x14ac:dyDescent="0.25">
      <c r="A793" s="1" t="s">
        <v>2273</v>
      </c>
      <c r="B793" s="1" t="s">
        <v>106</v>
      </c>
      <c r="C793" s="1" t="s">
        <v>7</v>
      </c>
      <c r="D793" s="1" t="s">
        <v>1415</v>
      </c>
      <c r="E793" s="1" t="s">
        <v>1416</v>
      </c>
      <c r="F793" s="1" t="s">
        <v>2136</v>
      </c>
      <c r="G793" s="1" t="s">
        <v>68</v>
      </c>
      <c r="H793" s="1" t="s">
        <v>36</v>
      </c>
      <c r="I793" s="1" t="s">
        <v>24</v>
      </c>
      <c r="J793" s="1" t="s">
        <v>34</v>
      </c>
      <c r="K793" s="1" t="s">
        <v>2279</v>
      </c>
      <c r="L793" s="1" t="s">
        <v>2275</v>
      </c>
      <c r="M793" s="41">
        <v>46087</v>
      </c>
    </row>
    <row r="794" spans="1:13" x14ac:dyDescent="0.25">
      <c r="A794" s="1" t="s">
        <v>2273</v>
      </c>
      <c r="B794" s="1" t="s">
        <v>106</v>
      </c>
      <c r="C794" s="1" t="s">
        <v>7</v>
      </c>
      <c r="D794" s="1" t="s">
        <v>1415</v>
      </c>
      <c r="E794" s="1" t="s">
        <v>1416</v>
      </c>
      <c r="F794" s="1" t="s">
        <v>2136</v>
      </c>
      <c r="G794" s="1" t="s">
        <v>68</v>
      </c>
      <c r="H794" s="1" t="s">
        <v>36</v>
      </c>
      <c r="I794" s="1" t="s">
        <v>25</v>
      </c>
      <c r="J794" s="1" t="s">
        <v>34</v>
      </c>
      <c r="K794" s="1" t="s">
        <v>2280</v>
      </c>
      <c r="L794" s="1" t="s">
        <v>2275</v>
      </c>
      <c r="M794" s="41">
        <v>46087</v>
      </c>
    </row>
    <row r="795" spans="1:13" x14ac:dyDescent="0.25">
      <c r="A795" s="1" t="s">
        <v>2273</v>
      </c>
      <c r="B795" s="1" t="s">
        <v>106</v>
      </c>
      <c r="C795" s="1" t="s">
        <v>7</v>
      </c>
      <c r="D795" s="1" t="s">
        <v>1415</v>
      </c>
      <c r="E795" s="1" t="s">
        <v>1416</v>
      </c>
      <c r="F795" s="1" t="s">
        <v>2136</v>
      </c>
      <c r="G795" s="1" t="s">
        <v>68</v>
      </c>
      <c r="H795" s="1" t="s">
        <v>36</v>
      </c>
      <c r="I795" s="1" t="s">
        <v>26</v>
      </c>
      <c r="J795" s="1" t="s">
        <v>34</v>
      </c>
      <c r="K795" s="1" t="s">
        <v>2281</v>
      </c>
      <c r="L795" s="1" t="s">
        <v>2275</v>
      </c>
      <c r="M795" s="41">
        <v>46087</v>
      </c>
    </row>
    <row r="796" spans="1:13" x14ac:dyDescent="0.25">
      <c r="A796" s="1" t="s">
        <v>2273</v>
      </c>
      <c r="B796" s="1" t="s">
        <v>106</v>
      </c>
      <c r="C796" s="1" t="s">
        <v>7</v>
      </c>
      <c r="D796" s="1" t="s">
        <v>1415</v>
      </c>
      <c r="E796" s="1" t="s">
        <v>1416</v>
      </c>
      <c r="F796" s="1" t="s">
        <v>2136</v>
      </c>
      <c r="G796" s="1" t="s">
        <v>68</v>
      </c>
      <c r="H796" s="1" t="s">
        <v>36</v>
      </c>
      <c r="I796" s="1" t="s">
        <v>27</v>
      </c>
      <c r="J796" s="1" t="s">
        <v>34</v>
      </c>
      <c r="K796" s="1" t="s">
        <v>2282</v>
      </c>
      <c r="L796" s="1" t="s">
        <v>2275</v>
      </c>
      <c r="M796" s="41">
        <v>46087</v>
      </c>
    </row>
    <row r="797" spans="1:13" x14ac:dyDescent="0.25">
      <c r="A797" s="1" t="s">
        <v>2273</v>
      </c>
      <c r="B797" s="1" t="s">
        <v>106</v>
      </c>
      <c r="C797" s="1" t="s">
        <v>7</v>
      </c>
      <c r="D797" s="1" t="s">
        <v>1415</v>
      </c>
      <c r="E797" s="1" t="s">
        <v>1416</v>
      </c>
      <c r="F797" s="1" t="s">
        <v>2136</v>
      </c>
      <c r="G797" s="1" t="s">
        <v>68</v>
      </c>
      <c r="H797" s="1" t="s">
        <v>36</v>
      </c>
      <c r="I797" s="1" t="s">
        <v>28</v>
      </c>
      <c r="J797" s="1" t="s">
        <v>34</v>
      </c>
      <c r="K797" s="1" t="s">
        <v>2283</v>
      </c>
      <c r="L797" s="1" t="s">
        <v>2275</v>
      </c>
      <c r="M797" s="41">
        <v>46087</v>
      </c>
    </row>
    <row r="798" spans="1:13" x14ac:dyDescent="0.25">
      <c r="A798" s="1" t="s">
        <v>2273</v>
      </c>
      <c r="B798" s="1" t="s">
        <v>106</v>
      </c>
      <c r="C798" s="1" t="s">
        <v>7</v>
      </c>
      <c r="D798" s="1" t="s">
        <v>1415</v>
      </c>
      <c r="E798" s="1" t="s">
        <v>1416</v>
      </c>
      <c r="F798" s="1" t="s">
        <v>2136</v>
      </c>
      <c r="G798" s="1" t="s">
        <v>68</v>
      </c>
      <c r="H798" s="1" t="s">
        <v>36</v>
      </c>
      <c r="I798" s="1" t="s">
        <v>29</v>
      </c>
      <c r="J798" s="1" t="s">
        <v>34</v>
      </c>
      <c r="K798" s="1" t="s">
        <v>2284</v>
      </c>
      <c r="L798" s="1" t="s">
        <v>2275</v>
      </c>
      <c r="M798" s="41">
        <v>46087</v>
      </c>
    </row>
    <row r="799" spans="1:13" x14ac:dyDescent="0.25">
      <c r="A799" s="1" t="s">
        <v>2273</v>
      </c>
      <c r="B799" s="1" t="s">
        <v>106</v>
      </c>
      <c r="C799" s="1" t="s">
        <v>7</v>
      </c>
      <c r="D799" s="1" t="s">
        <v>1415</v>
      </c>
      <c r="E799" s="1" t="s">
        <v>1416</v>
      </c>
      <c r="F799" s="1" t="s">
        <v>2136</v>
      </c>
      <c r="G799" s="1" t="s">
        <v>68</v>
      </c>
      <c r="H799" s="1" t="s">
        <v>36</v>
      </c>
      <c r="I799" s="1" t="s">
        <v>30</v>
      </c>
      <c r="J799" s="1" t="s">
        <v>34</v>
      </c>
      <c r="K799" s="1" t="s">
        <v>2285</v>
      </c>
      <c r="L799" s="1" t="s">
        <v>2275</v>
      </c>
      <c r="M799" s="41">
        <v>46087</v>
      </c>
    </row>
    <row r="800" spans="1:13" x14ac:dyDescent="0.25">
      <c r="A800" s="1" t="s">
        <v>2273</v>
      </c>
      <c r="B800" s="1" t="s">
        <v>106</v>
      </c>
      <c r="C800" s="1" t="s">
        <v>7</v>
      </c>
      <c r="D800" s="1" t="s">
        <v>1415</v>
      </c>
      <c r="E800" s="1" t="s">
        <v>1416</v>
      </c>
      <c r="F800" s="1" t="s">
        <v>2136</v>
      </c>
      <c r="G800" s="1" t="s">
        <v>68</v>
      </c>
      <c r="H800" s="1" t="s">
        <v>36</v>
      </c>
      <c r="I800" s="1" t="s">
        <v>31</v>
      </c>
      <c r="J800" s="1" t="s">
        <v>34</v>
      </c>
      <c r="K800" s="1" t="s">
        <v>2286</v>
      </c>
      <c r="L800" s="1" t="s">
        <v>2275</v>
      </c>
      <c r="M800" s="41">
        <v>46087</v>
      </c>
    </row>
    <row r="801" spans="1:13" x14ac:dyDescent="0.25">
      <c r="A801" s="1" t="s">
        <v>2273</v>
      </c>
      <c r="B801" s="1" t="s">
        <v>106</v>
      </c>
      <c r="C801" s="1" t="s">
        <v>7</v>
      </c>
      <c r="D801" s="1" t="s">
        <v>1415</v>
      </c>
      <c r="E801" s="1" t="s">
        <v>1416</v>
      </c>
      <c r="F801" s="1" t="s">
        <v>2136</v>
      </c>
      <c r="G801" s="1" t="s">
        <v>68</v>
      </c>
      <c r="H801" s="1" t="s">
        <v>36</v>
      </c>
      <c r="I801" s="1" t="s">
        <v>32</v>
      </c>
      <c r="J801" s="1" t="s">
        <v>34</v>
      </c>
      <c r="K801" s="1" t="s">
        <v>2287</v>
      </c>
      <c r="L801" s="1" t="s">
        <v>2275</v>
      </c>
      <c r="M801" s="41">
        <v>46087</v>
      </c>
    </row>
    <row r="802" spans="1:13" x14ac:dyDescent="0.25">
      <c r="A802" s="1" t="s">
        <v>2288</v>
      </c>
      <c r="B802" s="1" t="s">
        <v>106</v>
      </c>
      <c r="C802" s="1" t="s">
        <v>7</v>
      </c>
      <c r="D802" s="1" t="s">
        <v>1415</v>
      </c>
      <c r="E802" s="1" t="s">
        <v>1416</v>
      </c>
      <c r="F802" s="1" t="s">
        <v>2136</v>
      </c>
      <c r="G802" s="1" t="s">
        <v>46</v>
      </c>
      <c r="H802" s="1" t="s">
        <v>36</v>
      </c>
      <c r="I802" s="1" t="s">
        <v>20</v>
      </c>
      <c r="J802" s="1" t="s">
        <v>34</v>
      </c>
      <c r="K802" s="1" t="s">
        <v>2289</v>
      </c>
      <c r="L802" s="1" t="s">
        <v>2275</v>
      </c>
      <c r="M802" s="41">
        <v>46087</v>
      </c>
    </row>
    <row r="803" spans="1:13" x14ac:dyDescent="0.25">
      <c r="A803" s="1" t="s">
        <v>2288</v>
      </c>
      <c r="B803" s="1" t="s">
        <v>106</v>
      </c>
      <c r="C803" s="1" t="s">
        <v>7</v>
      </c>
      <c r="D803" s="1" t="s">
        <v>1415</v>
      </c>
      <c r="E803" s="1" t="s">
        <v>1416</v>
      </c>
      <c r="F803" s="1" t="s">
        <v>2136</v>
      </c>
      <c r="G803" s="1" t="s">
        <v>46</v>
      </c>
      <c r="H803" s="1" t="s">
        <v>36</v>
      </c>
      <c r="I803" s="1" t="s">
        <v>21</v>
      </c>
      <c r="J803" s="1" t="s">
        <v>34</v>
      </c>
      <c r="K803" s="1" t="s">
        <v>2290</v>
      </c>
      <c r="L803" s="1" t="s">
        <v>2275</v>
      </c>
      <c r="M803" s="41">
        <v>46251</v>
      </c>
    </row>
    <row r="804" spans="1:13" x14ac:dyDescent="0.25">
      <c r="A804" s="1" t="s">
        <v>2288</v>
      </c>
      <c r="B804" s="1" t="s">
        <v>106</v>
      </c>
      <c r="C804" s="1" t="s">
        <v>7</v>
      </c>
      <c r="D804" s="1" t="s">
        <v>1415</v>
      </c>
      <c r="E804" s="1" t="s">
        <v>1416</v>
      </c>
      <c r="F804" s="1" t="s">
        <v>2136</v>
      </c>
      <c r="G804" s="1" t="s">
        <v>46</v>
      </c>
      <c r="H804" s="1" t="s">
        <v>36</v>
      </c>
      <c r="I804" s="1" t="s">
        <v>22</v>
      </c>
      <c r="J804" s="1" t="s">
        <v>34</v>
      </c>
      <c r="K804" s="1" t="s">
        <v>2291</v>
      </c>
      <c r="L804" s="1" t="s">
        <v>2275</v>
      </c>
      <c r="M804" s="41">
        <v>46087</v>
      </c>
    </row>
    <row r="805" spans="1:13" x14ac:dyDescent="0.25">
      <c r="A805" s="1" t="s">
        <v>2288</v>
      </c>
      <c r="B805" s="1" t="s">
        <v>106</v>
      </c>
      <c r="C805" s="1" t="s">
        <v>7</v>
      </c>
      <c r="D805" s="1" t="s">
        <v>1415</v>
      </c>
      <c r="E805" s="1" t="s">
        <v>1416</v>
      </c>
      <c r="F805" s="1" t="s">
        <v>2136</v>
      </c>
      <c r="G805" s="1" t="s">
        <v>46</v>
      </c>
      <c r="H805" s="1" t="s">
        <v>36</v>
      </c>
      <c r="I805" s="1" t="s">
        <v>23</v>
      </c>
      <c r="J805" s="1" t="s">
        <v>34</v>
      </c>
      <c r="K805" s="1" t="s">
        <v>2292</v>
      </c>
      <c r="L805" s="1" t="s">
        <v>2275</v>
      </c>
      <c r="M805" s="41">
        <v>46251</v>
      </c>
    </row>
    <row r="806" spans="1:13" x14ac:dyDescent="0.25">
      <c r="A806" s="1" t="s">
        <v>2288</v>
      </c>
      <c r="B806" s="1" t="s">
        <v>106</v>
      </c>
      <c r="C806" s="1" t="s">
        <v>7</v>
      </c>
      <c r="D806" s="1" t="s">
        <v>1415</v>
      </c>
      <c r="E806" s="1" t="s">
        <v>1416</v>
      </c>
      <c r="F806" s="1" t="s">
        <v>2136</v>
      </c>
      <c r="G806" s="1" t="s">
        <v>46</v>
      </c>
      <c r="H806" s="1" t="s">
        <v>36</v>
      </c>
      <c r="I806" s="1" t="s">
        <v>24</v>
      </c>
      <c r="J806" s="1" t="s">
        <v>34</v>
      </c>
      <c r="K806" s="1" t="s">
        <v>2293</v>
      </c>
      <c r="L806" s="1" t="s">
        <v>2275</v>
      </c>
      <c r="M806" s="41">
        <v>46087</v>
      </c>
    </row>
    <row r="807" spans="1:13" x14ac:dyDescent="0.25">
      <c r="A807" s="1" t="s">
        <v>2288</v>
      </c>
      <c r="B807" s="1" t="s">
        <v>106</v>
      </c>
      <c r="C807" s="1" t="s">
        <v>7</v>
      </c>
      <c r="D807" s="1" t="s">
        <v>1415</v>
      </c>
      <c r="E807" s="1" t="s">
        <v>1416</v>
      </c>
      <c r="F807" s="1" t="s">
        <v>2136</v>
      </c>
      <c r="G807" s="1" t="s">
        <v>46</v>
      </c>
      <c r="H807" s="1" t="s">
        <v>36</v>
      </c>
      <c r="I807" s="1" t="s">
        <v>25</v>
      </c>
      <c r="J807" s="1" t="s">
        <v>34</v>
      </c>
      <c r="K807" s="1" t="s">
        <v>2294</v>
      </c>
      <c r="L807" s="1" t="s">
        <v>2275</v>
      </c>
      <c r="M807" s="41">
        <v>46087</v>
      </c>
    </row>
    <row r="808" spans="1:13" x14ac:dyDescent="0.25">
      <c r="A808" s="1" t="s">
        <v>2288</v>
      </c>
      <c r="B808" s="1" t="s">
        <v>106</v>
      </c>
      <c r="C808" s="1" t="s">
        <v>7</v>
      </c>
      <c r="D808" s="1" t="s">
        <v>1415</v>
      </c>
      <c r="E808" s="1" t="s">
        <v>1416</v>
      </c>
      <c r="F808" s="1" t="s">
        <v>2136</v>
      </c>
      <c r="G808" s="1" t="s">
        <v>46</v>
      </c>
      <c r="H808" s="1" t="s">
        <v>36</v>
      </c>
      <c r="I808" s="1" t="s">
        <v>26</v>
      </c>
      <c r="J808" s="1" t="s">
        <v>34</v>
      </c>
      <c r="K808" s="1" t="s">
        <v>2295</v>
      </c>
      <c r="L808" s="1" t="s">
        <v>2275</v>
      </c>
      <c r="M808" s="41">
        <v>46087</v>
      </c>
    </row>
    <row r="809" spans="1:13" x14ac:dyDescent="0.25">
      <c r="A809" s="1" t="s">
        <v>2288</v>
      </c>
      <c r="B809" s="1" t="s">
        <v>106</v>
      </c>
      <c r="C809" s="1" t="s">
        <v>7</v>
      </c>
      <c r="D809" s="1" t="s">
        <v>1415</v>
      </c>
      <c r="E809" s="1" t="s">
        <v>1416</v>
      </c>
      <c r="F809" s="1" t="s">
        <v>2136</v>
      </c>
      <c r="G809" s="1" t="s">
        <v>46</v>
      </c>
      <c r="H809" s="1" t="s">
        <v>36</v>
      </c>
      <c r="I809" s="1" t="s">
        <v>27</v>
      </c>
      <c r="J809" s="1" t="s">
        <v>34</v>
      </c>
      <c r="K809" s="1" t="s">
        <v>2296</v>
      </c>
      <c r="L809" s="1" t="s">
        <v>2275</v>
      </c>
      <c r="M809" s="41">
        <v>46087</v>
      </c>
    </row>
    <row r="810" spans="1:13" x14ac:dyDescent="0.25">
      <c r="A810" s="1" t="s">
        <v>2288</v>
      </c>
      <c r="B810" s="1" t="s">
        <v>106</v>
      </c>
      <c r="C810" s="1" t="s">
        <v>7</v>
      </c>
      <c r="D810" s="1" t="s">
        <v>1415</v>
      </c>
      <c r="E810" s="1" t="s">
        <v>1416</v>
      </c>
      <c r="F810" s="1" t="s">
        <v>2136</v>
      </c>
      <c r="G810" s="1" t="s">
        <v>46</v>
      </c>
      <c r="H810" s="1" t="s">
        <v>36</v>
      </c>
      <c r="I810" s="1" t="s">
        <v>28</v>
      </c>
      <c r="J810" s="1" t="s">
        <v>34</v>
      </c>
      <c r="K810" s="1" t="s">
        <v>2297</v>
      </c>
      <c r="L810" s="1" t="s">
        <v>2275</v>
      </c>
      <c r="M810" s="41">
        <v>46087</v>
      </c>
    </row>
    <row r="811" spans="1:13" x14ac:dyDescent="0.25">
      <c r="A811" s="1" t="s">
        <v>2288</v>
      </c>
      <c r="B811" s="1" t="s">
        <v>106</v>
      </c>
      <c r="C811" s="1" t="s">
        <v>7</v>
      </c>
      <c r="D811" s="1" t="s">
        <v>1415</v>
      </c>
      <c r="E811" s="1" t="s">
        <v>1416</v>
      </c>
      <c r="F811" s="1" t="s">
        <v>2136</v>
      </c>
      <c r="G811" s="1" t="s">
        <v>46</v>
      </c>
      <c r="H811" s="1" t="s">
        <v>36</v>
      </c>
      <c r="I811" s="1" t="s">
        <v>29</v>
      </c>
      <c r="J811" s="1" t="s">
        <v>34</v>
      </c>
      <c r="K811" s="1" t="s">
        <v>2298</v>
      </c>
      <c r="L811" s="1" t="s">
        <v>2275</v>
      </c>
      <c r="M811" s="41">
        <v>46087</v>
      </c>
    </row>
    <row r="812" spans="1:13" x14ac:dyDescent="0.25">
      <c r="A812" s="1" t="s">
        <v>2288</v>
      </c>
      <c r="B812" s="1" t="s">
        <v>106</v>
      </c>
      <c r="C812" s="1" t="s">
        <v>7</v>
      </c>
      <c r="D812" s="1" t="s">
        <v>1415</v>
      </c>
      <c r="E812" s="1" t="s">
        <v>1416</v>
      </c>
      <c r="F812" s="1" t="s">
        <v>2136</v>
      </c>
      <c r="G812" s="1" t="s">
        <v>46</v>
      </c>
      <c r="H812" s="1" t="s">
        <v>36</v>
      </c>
      <c r="I812" s="1" t="s">
        <v>30</v>
      </c>
      <c r="J812" s="1" t="s">
        <v>34</v>
      </c>
      <c r="K812" s="1" t="s">
        <v>2299</v>
      </c>
      <c r="L812" s="1" t="s">
        <v>2275</v>
      </c>
      <c r="M812" s="41">
        <v>46087</v>
      </c>
    </row>
    <row r="813" spans="1:13" x14ac:dyDescent="0.25">
      <c r="A813" s="1" t="s">
        <v>2288</v>
      </c>
      <c r="B813" s="1" t="s">
        <v>106</v>
      </c>
      <c r="C813" s="1" t="s">
        <v>7</v>
      </c>
      <c r="D813" s="1" t="s">
        <v>1415</v>
      </c>
      <c r="E813" s="1" t="s">
        <v>1416</v>
      </c>
      <c r="F813" s="1" t="s">
        <v>2136</v>
      </c>
      <c r="G813" s="1" t="s">
        <v>46</v>
      </c>
      <c r="H813" s="1" t="s">
        <v>36</v>
      </c>
      <c r="I813" s="1" t="s">
        <v>31</v>
      </c>
      <c r="J813" s="1" t="s">
        <v>34</v>
      </c>
      <c r="K813" s="1" t="s">
        <v>2300</v>
      </c>
      <c r="L813" s="1" t="s">
        <v>2275</v>
      </c>
      <c r="M813" s="41">
        <v>46251</v>
      </c>
    </row>
    <row r="814" spans="1:13" x14ac:dyDescent="0.25">
      <c r="A814" s="1" t="s">
        <v>2288</v>
      </c>
      <c r="B814" s="1" t="s">
        <v>106</v>
      </c>
      <c r="C814" s="1" t="s">
        <v>7</v>
      </c>
      <c r="D814" s="1" t="s">
        <v>1415</v>
      </c>
      <c r="E814" s="1" t="s">
        <v>1416</v>
      </c>
      <c r="F814" s="1" t="s">
        <v>2136</v>
      </c>
      <c r="G814" s="1" t="s">
        <v>46</v>
      </c>
      <c r="H814" s="1" t="s">
        <v>36</v>
      </c>
      <c r="I814" s="1" t="s">
        <v>32</v>
      </c>
      <c r="J814" s="1" t="s">
        <v>34</v>
      </c>
      <c r="K814" s="1" t="s">
        <v>2301</v>
      </c>
      <c r="L814" s="1" t="s">
        <v>2275</v>
      </c>
      <c r="M814" s="41">
        <v>46251</v>
      </c>
    </row>
    <row r="815" spans="1:13" x14ac:dyDescent="0.25">
      <c r="A815" s="1" t="s">
        <v>2302</v>
      </c>
      <c r="B815" s="1" t="s">
        <v>107</v>
      </c>
      <c r="C815" s="1" t="s">
        <v>7</v>
      </c>
      <c r="D815" s="1" t="s">
        <v>1415</v>
      </c>
      <c r="E815" s="1" t="s">
        <v>1416</v>
      </c>
      <c r="F815" s="1" t="s">
        <v>2136</v>
      </c>
      <c r="G815" s="1" t="s">
        <v>76</v>
      </c>
      <c r="H815" s="1" t="s">
        <v>36</v>
      </c>
      <c r="I815" s="1" t="s">
        <v>20</v>
      </c>
      <c r="J815" s="1" t="s">
        <v>34</v>
      </c>
      <c r="K815" s="1" t="s">
        <v>2303</v>
      </c>
      <c r="L815" s="1" t="s">
        <v>1716</v>
      </c>
      <c r="M815" s="41">
        <v>46297</v>
      </c>
    </row>
    <row r="816" spans="1:13" x14ac:dyDescent="0.25">
      <c r="A816" s="1" t="s">
        <v>2302</v>
      </c>
      <c r="B816" s="1" t="s">
        <v>107</v>
      </c>
      <c r="C816" s="1" t="s">
        <v>7</v>
      </c>
      <c r="D816" s="1" t="s">
        <v>1415</v>
      </c>
      <c r="E816" s="1" t="s">
        <v>1416</v>
      </c>
      <c r="F816" s="1" t="s">
        <v>2136</v>
      </c>
      <c r="G816" s="1" t="s">
        <v>76</v>
      </c>
      <c r="H816" s="1" t="s">
        <v>36</v>
      </c>
      <c r="I816" s="1" t="s">
        <v>21</v>
      </c>
      <c r="J816" s="1" t="s">
        <v>34</v>
      </c>
      <c r="K816" s="1" t="s">
        <v>2304</v>
      </c>
      <c r="L816" s="1" t="s">
        <v>1716</v>
      </c>
      <c r="M816" s="41">
        <v>46297</v>
      </c>
    </row>
    <row r="817" spans="1:13" x14ac:dyDescent="0.25">
      <c r="A817" s="1" t="s">
        <v>2302</v>
      </c>
      <c r="B817" s="1" t="s">
        <v>107</v>
      </c>
      <c r="C817" s="1" t="s">
        <v>7</v>
      </c>
      <c r="D817" s="1" t="s">
        <v>1415</v>
      </c>
      <c r="E817" s="1" t="s">
        <v>1416</v>
      </c>
      <c r="F817" s="1" t="s">
        <v>2136</v>
      </c>
      <c r="G817" s="1" t="s">
        <v>76</v>
      </c>
      <c r="H817" s="1" t="s">
        <v>36</v>
      </c>
      <c r="I817" s="1" t="s">
        <v>22</v>
      </c>
      <c r="J817" s="1" t="s">
        <v>34</v>
      </c>
      <c r="K817" s="1" t="s">
        <v>2305</v>
      </c>
      <c r="L817" s="1" t="s">
        <v>1716</v>
      </c>
      <c r="M817" s="41">
        <v>46297</v>
      </c>
    </row>
    <row r="818" spans="1:13" x14ac:dyDescent="0.25">
      <c r="A818" s="1" t="s">
        <v>2302</v>
      </c>
      <c r="B818" s="1" t="s">
        <v>107</v>
      </c>
      <c r="C818" s="1" t="s">
        <v>7</v>
      </c>
      <c r="D818" s="1" t="s">
        <v>1415</v>
      </c>
      <c r="E818" s="1" t="s">
        <v>1416</v>
      </c>
      <c r="F818" s="1" t="s">
        <v>2136</v>
      </c>
      <c r="G818" s="1" t="s">
        <v>76</v>
      </c>
      <c r="H818" s="1" t="s">
        <v>36</v>
      </c>
      <c r="I818" s="1" t="s">
        <v>23</v>
      </c>
      <c r="J818" s="1" t="s">
        <v>34</v>
      </c>
      <c r="K818" s="1" t="s">
        <v>2306</v>
      </c>
      <c r="L818" s="1" t="s">
        <v>1716</v>
      </c>
      <c r="M818" s="41">
        <v>46251</v>
      </c>
    </row>
    <row r="819" spans="1:13" x14ac:dyDescent="0.25">
      <c r="A819" s="1" t="s">
        <v>2302</v>
      </c>
      <c r="B819" s="1" t="s">
        <v>107</v>
      </c>
      <c r="C819" s="1" t="s">
        <v>7</v>
      </c>
      <c r="D819" s="1" t="s">
        <v>1415</v>
      </c>
      <c r="E819" s="1" t="s">
        <v>1416</v>
      </c>
      <c r="F819" s="1" t="s">
        <v>2136</v>
      </c>
      <c r="G819" s="1" t="s">
        <v>76</v>
      </c>
      <c r="H819" s="1" t="s">
        <v>36</v>
      </c>
      <c r="I819" s="1" t="s">
        <v>24</v>
      </c>
      <c r="J819" s="1" t="s">
        <v>34</v>
      </c>
      <c r="K819" s="1" t="s">
        <v>2307</v>
      </c>
      <c r="L819" s="1" t="s">
        <v>1716</v>
      </c>
      <c r="M819" s="41">
        <v>46216</v>
      </c>
    </row>
    <row r="820" spans="1:13" x14ac:dyDescent="0.25">
      <c r="A820" s="1" t="s">
        <v>2302</v>
      </c>
      <c r="B820" s="1" t="s">
        <v>107</v>
      </c>
      <c r="C820" s="1" t="s">
        <v>7</v>
      </c>
      <c r="D820" s="1" t="s">
        <v>1415</v>
      </c>
      <c r="E820" s="1" t="s">
        <v>1416</v>
      </c>
      <c r="F820" s="1" t="s">
        <v>2136</v>
      </c>
      <c r="G820" s="1" t="s">
        <v>76</v>
      </c>
      <c r="H820" s="1" t="s">
        <v>36</v>
      </c>
      <c r="I820" s="1" t="s">
        <v>25</v>
      </c>
      <c r="J820" s="1" t="s">
        <v>34</v>
      </c>
      <c r="K820" s="1" t="s">
        <v>2308</v>
      </c>
      <c r="L820" s="1" t="s">
        <v>1716</v>
      </c>
      <c r="M820" s="41">
        <v>46216</v>
      </c>
    </row>
    <row r="821" spans="1:13" x14ac:dyDescent="0.25">
      <c r="A821" s="1" t="s">
        <v>2302</v>
      </c>
      <c r="B821" s="1" t="s">
        <v>107</v>
      </c>
      <c r="C821" s="1" t="s">
        <v>7</v>
      </c>
      <c r="D821" s="1" t="s">
        <v>1415</v>
      </c>
      <c r="E821" s="1" t="s">
        <v>1416</v>
      </c>
      <c r="F821" s="1" t="s">
        <v>2136</v>
      </c>
      <c r="G821" s="1" t="s">
        <v>76</v>
      </c>
      <c r="H821" s="1" t="s">
        <v>36</v>
      </c>
      <c r="I821" s="1" t="s">
        <v>26</v>
      </c>
      <c r="J821" s="1" t="s">
        <v>34</v>
      </c>
      <c r="K821" s="1" t="s">
        <v>2309</v>
      </c>
      <c r="L821" s="1" t="s">
        <v>1716</v>
      </c>
      <c r="M821" s="41">
        <v>46297</v>
      </c>
    </row>
    <row r="822" spans="1:13" x14ac:dyDescent="0.25">
      <c r="A822" s="1" t="s">
        <v>2302</v>
      </c>
      <c r="B822" s="1" t="s">
        <v>107</v>
      </c>
      <c r="C822" s="1" t="s">
        <v>7</v>
      </c>
      <c r="D822" s="1" t="s">
        <v>1415</v>
      </c>
      <c r="E822" s="1" t="s">
        <v>1416</v>
      </c>
      <c r="F822" s="1" t="s">
        <v>2136</v>
      </c>
      <c r="G822" s="1" t="s">
        <v>76</v>
      </c>
      <c r="H822" s="1" t="s">
        <v>36</v>
      </c>
      <c r="I822" s="1" t="s">
        <v>27</v>
      </c>
      <c r="J822" s="1" t="s">
        <v>34</v>
      </c>
      <c r="K822" s="1" t="s">
        <v>2310</v>
      </c>
      <c r="L822" s="1" t="s">
        <v>1716</v>
      </c>
      <c r="M822" s="41">
        <v>46297</v>
      </c>
    </row>
    <row r="823" spans="1:13" x14ac:dyDescent="0.25">
      <c r="A823" s="1" t="s">
        <v>2302</v>
      </c>
      <c r="B823" s="1" t="s">
        <v>107</v>
      </c>
      <c r="C823" s="1" t="s">
        <v>7</v>
      </c>
      <c r="D823" s="1" t="s">
        <v>1415</v>
      </c>
      <c r="E823" s="1" t="s">
        <v>1416</v>
      </c>
      <c r="F823" s="1" t="s">
        <v>2136</v>
      </c>
      <c r="G823" s="1" t="s">
        <v>76</v>
      </c>
      <c r="H823" s="1" t="s">
        <v>36</v>
      </c>
      <c r="I823" s="1" t="s">
        <v>28</v>
      </c>
      <c r="J823" s="1" t="s">
        <v>34</v>
      </c>
      <c r="K823" s="1" t="s">
        <v>2311</v>
      </c>
      <c r="L823" s="1" t="s">
        <v>1716</v>
      </c>
      <c r="M823" s="41">
        <v>46297</v>
      </c>
    </row>
    <row r="824" spans="1:13" x14ac:dyDescent="0.25">
      <c r="A824" s="1" t="s">
        <v>2302</v>
      </c>
      <c r="B824" s="1" t="s">
        <v>107</v>
      </c>
      <c r="C824" s="1" t="s">
        <v>7</v>
      </c>
      <c r="D824" s="1" t="s">
        <v>1415</v>
      </c>
      <c r="E824" s="1" t="s">
        <v>1416</v>
      </c>
      <c r="F824" s="1" t="s">
        <v>2136</v>
      </c>
      <c r="G824" s="1" t="s">
        <v>76</v>
      </c>
      <c r="H824" s="1" t="s">
        <v>36</v>
      </c>
      <c r="I824" s="1" t="s">
        <v>29</v>
      </c>
      <c r="J824" s="1" t="s">
        <v>34</v>
      </c>
      <c r="K824" s="1" t="s">
        <v>2312</v>
      </c>
      <c r="L824" s="1" t="s">
        <v>1716</v>
      </c>
      <c r="M824" s="41">
        <v>46188</v>
      </c>
    </row>
    <row r="825" spans="1:13" x14ac:dyDescent="0.25">
      <c r="A825" s="1" t="s">
        <v>2302</v>
      </c>
      <c r="B825" s="1" t="s">
        <v>107</v>
      </c>
      <c r="C825" s="1" t="s">
        <v>7</v>
      </c>
      <c r="D825" s="1" t="s">
        <v>1415</v>
      </c>
      <c r="E825" s="1" t="s">
        <v>1416</v>
      </c>
      <c r="F825" s="1" t="s">
        <v>2136</v>
      </c>
      <c r="G825" s="1" t="s">
        <v>76</v>
      </c>
      <c r="H825" s="1" t="s">
        <v>36</v>
      </c>
      <c r="I825" s="1" t="s">
        <v>30</v>
      </c>
      <c r="J825" s="1" t="s">
        <v>34</v>
      </c>
      <c r="K825" s="1" t="s">
        <v>2313</v>
      </c>
      <c r="L825" s="1" t="s">
        <v>1716</v>
      </c>
      <c r="M825" s="41">
        <v>46251</v>
      </c>
    </row>
    <row r="826" spans="1:13" x14ac:dyDescent="0.25">
      <c r="A826" s="1" t="s">
        <v>2302</v>
      </c>
      <c r="B826" s="1" t="s">
        <v>107</v>
      </c>
      <c r="C826" s="1" t="s">
        <v>7</v>
      </c>
      <c r="D826" s="1" t="s">
        <v>1415</v>
      </c>
      <c r="E826" s="1" t="s">
        <v>1416</v>
      </c>
      <c r="F826" s="1" t="s">
        <v>2136</v>
      </c>
      <c r="G826" s="1" t="s">
        <v>76</v>
      </c>
      <c r="H826" s="1" t="s">
        <v>36</v>
      </c>
      <c r="I826" s="1" t="s">
        <v>31</v>
      </c>
      <c r="J826" s="1" t="s">
        <v>34</v>
      </c>
      <c r="K826" s="1" t="s">
        <v>2314</v>
      </c>
      <c r="L826" s="1" t="s">
        <v>1716</v>
      </c>
      <c r="M826" s="41">
        <v>46297</v>
      </c>
    </row>
    <row r="827" spans="1:13" x14ac:dyDescent="0.25">
      <c r="A827" s="1" t="s">
        <v>2302</v>
      </c>
      <c r="B827" s="1" t="s">
        <v>107</v>
      </c>
      <c r="C827" s="1" t="s">
        <v>7</v>
      </c>
      <c r="D827" s="1" t="s">
        <v>1415</v>
      </c>
      <c r="E827" s="1" t="s">
        <v>1416</v>
      </c>
      <c r="F827" s="1" t="s">
        <v>2136</v>
      </c>
      <c r="G827" s="1" t="s">
        <v>76</v>
      </c>
      <c r="H827" s="1" t="s">
        <v>36</v>
      </c>
      <c r="I827" s="1" t="s">
        <v>32</v>
      </c>
      <c r="J827" s="1" t="s">
        <v>34</v>
      </c>
      <c r="K827" s="1" t="s">
        <v>2315</v>
      </c>
      <c r="L827" s="1" t="s">
        <v>1716</v>
      </c>
      <c r="M827" s="41">
        <v>46087</v>
      </c>
    </row>
    <row r="828" spans="1:13" x14ac:dyDescent="0.25">
      <c r="A828" s="1" t="s">
        <v>2316</v>
      </c>
      <c r="B828" s="1" t="s">
        <v>109</v>
      </c>
      <c r="C828" s="1" t="s">
        <v>7</v>
      </c>
      <c r="D828" s="1" t="s">
        <v>1415</v>
      </c>
      <c r="E828" s="1" t="s">
        <v>1416</v>
      </c>
      <c r="F828" s="1" t="s">
        <v>2317</v>
      </c>
      <c r="G828" s="1" t="s">
        <v>68</v>
      </c>
      <c r="H828" s="1" t="s">
        <v>36</v>
      </c>
      <c r="I828" s="1" t="s">
        <v>20</v>
      </c>
      <c r="J828" s="1" t="s">
        <v>57</v>
      </c>
      <c r="K828" s="1" t="s">
        <v>2318</v>
      </c>
      <c r="L828" s="1" t="s">
        <v>1642</v>
      </c>
      <c r="M828" s="41">
        <v>46087</v>
      </c>
    </row>
    <row r="829" spans="1:13" x14ac:dyDescent="0.25">
      <c r="A829" s="1" t="s">
        <v>2316</v>
      </c>
      <c r="B829" s="1" t="s">
        <v>109</v>
      </c>
      <c r="C829" s="1" t="s">
        <v>7</v>
      </c>
      <c r="D829" s="1" t="s">
        <v>1415</v>
      </c>
      <c r="E829" s="1" t="s">
        <v>1416</v>
      </c>
      <c r="F829" s="1" t="s">
        <v>2317</v>
      </c>
      <c r="G829" s="1" t="s">
        <v>68</v>
      </c>
      <c r="H829" s="1" t="s">
        <v>36</v>
      </c>
      <c r="I829" s="1" t="s">
        <v>21</v>
      </c>
      <c r="J829" s="1" t="s">
        <v>57</v>
      </c>
      <c r="K829" s="1" t="s">
        <v>2319</v>
      </c>
      <c r="L829" s="1" t="s">
        <v>1642</v>
      </c>
      <c r="M829" s="41">
        <v>46300</v>
      </c>
    </row>
    <row r="830" spans="1:13" x14ac:dyDescent="0.25">
      <c r="A830" s="1" t="s">
        <v>2316</v>
      </c>
      <c r="B830" s="1" t="s">
        <v>109</v>
      </c>
      <c r="C830" s="1" t="s">
        <v>7</v>
      </c>
      <c r="D830" s="1" t="s">
        <v>1415</v>
      </c>
      <c r="E830" s="1" t="s">
        <v>1416</v>
      </c>
      <c r="F830" s="1" t="s">
        <v>2317</v>
      </c>
      <c r="G830" s="1" t="s">
        <v>68</v>
      </c>
      <c r="H830" s="1" t="s">
        <v>36</v>
      </c>
      <c r="I830" s="1" t="s">
        <v>22</v>
      </c>
      <c r="J830" s="1" t="s">
        <v>57</v>
      </c>
      <c r="K830" s="1" t="s">
        <v>2320</v>
      </c>
      <c r="L830" s="1" t="s">
        <v>1642</v>
      </c>
      <c r="M830" s="41">
        <v>46087</v>
      </c>
    </row>
    <row r="831" spans="1:13" x14ac:dyDescent="0.25">
      <c r="A831" s="1" t="s">
        <v>2316</v>
      </c>
      <c r="B831" s="1" t="s">
        <v>109</v>
      </c>
      <c r="C831" s="1" t="s">
        <v>7</v>
      </c>
      <c r="D831" s="1" t="s">
        <v>1415</v>
      </c>
      <c r="E831" s="1" t="s">
        <v>1416</v>
      </c>
      <c r="F831" s="1" t="s">
        <v>2317</v>
      </c>
      <c r="G831" s="1" t="s">
        <v>68</v>
      </c>
      <c r="H831" s="1" t="s">
        <v>36</v>
      </c>
      <c r="I831" s="1" t="s">
        <v>23</v>
      </c>
      <c r="J831" s="1" t="s">
        <v>57</v>
      </c>
      <c r="K831" s="1" t="s">
        <v>2321</v>
      </c>
      <c r="L831" s="1" t="s">
        <v>1642</v>
      </c>
      <c r="M831" s="41">
        <v>46090</v>
      </c>
    </row>
    <row r="832" spans="1:13" x14ac:dyDescent="0.25">
      <c r="A832" s="1" t="s">
        <v>2316</v>
      </c>
      <c r="B832" s="1" t="s">
        <v>109</v>
      </c>
      <c r="C832" s="1" t="s">
        <v>7</v>
      </c>
      <c r="D832" s="1" t="s">
        <v>1415</v>
      </c>
      <c r="E832" s="1" t="s">
        <v>1416</v>
      </c>
      <c r="F832" s="1" t="s">
        <v>2317</v>
      </c>
      <c r="G832" s="1" t="s">
        <v>68</v>
      </c>
      <c r="H832" s="1" t="s">
        <v>36</v>
      </c>
      <c r="I832" s="1" t="s">
        <v>24</v>
      </c>
      <c r="J832" s="1" t="s">
        <v>57</v>
      </c>
      <c r="K832" s="1" t="s">
        <v>2322</v>
      </c>
      <c r="L832" s="1" t="s">
        <v>1642</v>
      </c>
      <c r="M832" s="41">
        <v>46090</v>
      </c>
    </row>
    <row r="833" spans="1:13" x14ac:dyDescent="0.25">
      <c r="A833" s="1" t="s">
        <v>2316</v>
      </c>
      <c r="B833" s="1" t="s">
        <v>109</v>
      </c>
      <c r="C833" s="1" t="s">
        <v>7</v>
      </c>
      <c r="D833" s="1" t="s">
        <v>1415</v>
      </c>
      <c r="E833" s="1" t="s">
        <v>1416</v>
      </c>
      <c r="F833" s="1" t="s">
        <v>2317</v>
      </c>
      <c r="G833" s="1" t="s">
        <v>68</v>
      </c>
      <c r="H833" s="1" t="s">
        <v>36</v>
      </c>
      <c r="I833" s="1" t="s">
        <v>25</v>
      </c>
      <c r="J833" s="1" t="s">
        <v>57</v>
      </c>
      <c r="K833" s="1" t="s">
        <v>2323</v>
      </c>
      <c r="L833" s="1" t="s">
        <v>1642</v>
      </c>
      <c r="M833" s="41">
        <v>46120</v>
      </c>
    </row>
    <row r="834" spans="1:13" x14ac:dyDescent="0.25">
      <c r="A834" s="1" t="s">
        <v>2316</v>
      </c>
      <c r="B834" s="1" t="s">
        <v>109</v>
      </c>
      <c r="C834" s="1" t="s">
        <v>7</v>
      </c>
      <c r="D834" s="1" t="s">
        <v>1415</v>
      </c>
      <c r="E834" s="1" t="s">
        <v>1416</v>
      </c>
      <c r="F834" s="1" t="s">
        <v>2317</v>
      </c>
      <c r="G834" s="1" t="s">
        <v>68</v>
      </c>
      <c r="H834" s="1" t="s">
        <v>36</v>
      </c>
      <c r="I834" s="1" t="s">
        <v>26</v>
      </c>
      <c r="J834" s="1" t="s">
        <v>57</v>
      </c>
      <c r="K834" s="1" t="s">
        <v>2324</v>
      </c>
      <c r="L834" s="1" t="s">
        <v>1642</v>
      </c>
      <c r="M834" s="41">
        <v>46120</v>
      </c>
    </row>
    <row r="835" spans="1:13" x14ac:dyDescent="0.25">
      <c r="A835" s="1" t="s">
        <v>2316</v>
      </c>
      <c r="B835" s="1" t="s">
        <v>109</v>
      </c>
      <c r="C835" s="1" t="s">
        <v>7</v>
      </c>
      <c r="D835" s="1" t="s">
        <v>1415</v>
      </c>
      <c r="E835" s="1" t="s">
        <v>1416</v>
      </c>
      <c r="F835" s="1" t="s">
        <v>2317</v>
      </c>
      <c r="G835" s="1" t="s">
        <v>68</v>
      </c>
      <c r="H835" s="1" t="s">
        <v>36</v>
      </c>
      <c r="I835" s="1" t="s">
        <v>27</v>
      </c>
      <c r="J835" s="1" t="s">
        <v>57</v>
      </c>
      <c r="K835" s="1" t="s">
        <v>2325</v>
      </c>
      <c r="L835" s="1" t="s">
        <v>1642</v>
      </c>
      <c r="M835" s="41">
        <v>46120</v>
      </c>
    </row>
    <row r="836" spans="1:13" x14ac:dyDescent="0.25">
      <c r="A836" s="1" t="s">
        <v>2316</v>
      </c>
      <c r="B836" s="1" t="s">
        <v>109</v>
      </c>
      <c r="C836" s="1" t="s">
        <v>7</v>
      </c>
      <c r="D836" s="1" t="s">
        <v>1415</v>
      </c>
      <c r="E836" s="1" t="s">
        <v>1416</v>
      </c>
      <c r="F836" s="1" t="s">
        <v>2317</v>
      </c>
      <c r="G836" s="1" t="s">
        <v>68</v>
      </c>
      <c r="H836" s="1" t="s">
        <v>36</v>
      </c>
      <c r="I836" s="1" t="s">
        <v>28</v>
      </c>
      <c r="J836" s="1" t="s">
        <v>57</v>
      </c>
      <c r="K836" s="1" t="s">
        <v>2326</v>
      </c>
      <c r="L836" s="1" t="s">
        <v>1642</v>
      </c>
      <c r="M836" s="41">
        <v>46088</v>
      </c>
    </row>
    <row r="837" spans="1:13" x14ac:dyDescent="0.25">
      <c r="A837" s="1" t="s">
        <v>2316</v>
      </c>
      <c r="B837" s="1" t="s">
        <v>109</v>
      </c>
      <c r="C837" s="1" t="s">
        <v>7</v>
      </c>
      <c r="D837" s="1" t="s">
        <v>1415</v>
      </c>
      <c r="E837" s="1" t="s">
        <v>1416</v>
      </c>
      <c r="F837" s="1" t="s">
        <v>2317</v>
      </c>
      <c r="G837" s="1" t="s">
        <v>68</v>
      </c>
      <c r="H837" s="1" t="s">
        <v>36</v>
      </c>
      <c r="I837" s="1" t="s">
        <v>29</v>
      </c>
      <c r="J837" s="1" t="s">
        <v>57</v>
      </c>
      <c r="K837" s="1" t="s">
        <v>2327</v>
      </c>
      <c r="L837" s="1" t="s">
        <v>1642</v>
      </c>
      <c r="M837" s="41">
        <v>46090</v>
      </c>
    </row>
    <row r="838" spans="1:13" x14ac:dyDescent="0.25">
      <c r="A838" s="1" t="s">
        <v>2316</v>
      </c>
      <c r="B838" s="1" t="s">
        <v>109</v>
      </c>
      <c r="C838" s="1" t="s">
        <v>7</v>
      </c>
      <c r="D838" s="1" t="s">
        <v>1415</v>
      </c>
      <c r="E838" s="1" t="s">
        <v>1416</v>
      </c>
      <c r="F838" s="1" t="s">
        <v>2317</v>
      </c>
      <c r="G838" s="1" t="s">
        <v>68</v>
      </c>
      <c r="H838" s="1" t="s">
        <v>36</v>
      </c>
      <c r="I838" s="1" t="s">
        <v>30</v>
      </c>
      <c r="J838" s="1" t="s">
        <v>57</v>
      </c>
      <c r="K838" s="1" t="s">
        <v>2328</v>
      </c>
      <c r="L838" s="1" t="s">
        <v>1642</v>
      </c>
      <c r="M838" s="41">
        <v>46090</v>
      </c>
    </row>
    <row r="839" spans="1:13" x14ac:dyDescent="0.25">
      <c r="A839" s="1" t="s">
        <v>2316</v>
      </c>
      <c r="B839" s="1" t="s">
        <v>109</v>
      </c>
      <c r="C839" s="1" t="s">
        <v>7</v>
      </c>
      <c r="D839" s="1" t="s">
        <v>1415</v>
      </c>
      <c r="E839" s="1" t="s">
        <v>1416</v>
      </c>
      <c r="F839" s="1" t="s">
        <v>2317</v>
      </c>
      <c r="G839" s="1" t="s">
        <v>68</v>
      </c>
      <c r="H839" s="1" t="s">
        <v>36</v>
      </c>
      <c r="I839" s="1" t="s">
        <v>31</v>
      </c>
      <c r="J839" s="1" t="s">
        <v>57</v>
      </c>
      <c r="K839" s="1" t="s">
        <v>2329</v>
      </c>
      <c r="L839" s="1" t="s">
        <v>1642</v>
      </c>
      <c r="M839" s="41">
        <v>46300</v>
      </c>
    </row>
    <row r="840" spans="1:13" x14ac:dyDescent="0.25">
      <c r="A840" s="1" t="s">
        <v>2316</v>
      </c>
      <c r="B840" s="1" t="s">
        <v>109</v>
      </c>
      <c r="C840" s="1" t="s">
        <v>7</v>
      </c>
      <c r="D840" s="1" t="s">
        <v>1415</v>
      </c>
      <c r="E840" s="1" t="s">
        <v>1416</v>
      </c>
      <c r="F840" s="1" t="s">
        <v>2317</v>
      </c>
      <c r="G840" s="1" t="s">
        <v>68</v>
      </c>
      <c r="H840" s="1" t="s">
        <v>36</v>
      </c>
      <c r="I840" s="1" t="s">
        <v>32</v>
      </c>
      <c r="J840" s="1" t="s">
        <v>57</v>
      </c>
      <c r="K840" s="1" t="s">
        <v>2330</v>
      </c>
      <c r="L840" s="1" t="s">
        <v>1642</v>
      </c>
      <c r="M840" s="41">
        <v>46087</v>
      </c>
    </row>
    <row r="841" spans="1:13" x14ac:dyDescent="0.25">
      <c r="A841" s="1" t="s">
        <v>2331</v>
      </c>
      <c r="B841" s="1" t="s">
        <v>109</v>
      </c>
      <c r="C841" s="1" t="s">
        <v>7</v>
      </c>
      <c r="D841" s="1" t="s">
        <v>1415</v>
      </c>
      <c r="E841" s="1" t="s">
        <v>1416</v>
      </c>
      <c r="F841" s="1" t="s">
        <v>2317</v>
      </c>
      <c r="G841" s="1" t="s">
        <v>46</v>
      </c>
      <c r="H841" s="1" t="s">
        <v>36</v>
      </c>
      <c r="I841" s="1" t="s">
        <v>20</v>
      </c>
      <c r="J841" s="1" t="s">
        <v>57</v>
      </c>
      <c r="K841" s="1" t="s">
        <v>2332</v>
      </c>
      <c r="L841" s="1" t="s">
        <v>1642</v>
      </c>
      <c r="M841" s="41">
        <v>46087</v>
      </c>
    </row>
    <row r="842" spans="1:13" x14ac:dyDescent="0.25">
      <c r="A842" s="1" t="s">
        <v>2331</v>
      </c>
      <c r="B842" s="1" t="s">
        <v>109</v>
      </c>
      <c r="C842" s="1" t="s">
        <v>7</v>
      </c>
      <c r="D842" s="1" t="s">
        <v>1415</v>
      </c>
      <c r="E842" s="1" t="s">
        <v>1416</v>
      </c>
      <c r="F842" s="1" t="s">
        <v>2317</v>
      </c>
      <c r="G842" s="1" t="s">
        <v>46</v>
      </c>
      <c r="H842" s="1" t="s">
        <v>36</v>
      </c>
      <c r="I842" s="1" t="s">
        <v>21</v>
      </c>
      <c r="J842" s="1" t="s">
        <v>57</v>
      </c>
      <c r="K842" s="1" t="s">
        <v>2333</v>
      </c>
      <c r="L842" s="1" t="s">
        <v>1642</v>
      </c>
      <c r="M842" s="41">
        <v>46087</v>
      </c>
    </row>
    <row r="843" spans="1:13" x14ac:dyDescent="0.25">
      <c r="A843" s="1" t="s">
        <v>2331</v>
      </c>
      <c r="B843" s="1" t="s">
        <v>109</v>
      </c>
      <c r="C843" s="1" t="s">
        <v>7</v>
      </c>
      <c r="D843" s="1" t="s">
        <v>1415</v>
      </c>
      <c r="E843" s="1" t="s">
        <v>1416</v>
      </c>
      <c r="F843" s="1" t="s">
        <v>2317</v>
      </c>
      <c r="G843" s="1" t="s">
        <v>46</v>
      </c>
      <c r="H843" s="1" t="s">
        <v>36</v>
      </c>
      <c r="I843" s="1" t="s">
        <v>22</v>
      </c>
      <c r="J843" s="1" t="s">
        <v>57</v>
      </c>
      <c r="K843" s="1" t="s">
        <v>2334</v>
      </c>
      <c r="L843" s="1" t="s">
        <v>1642</v>
      </c>
      <c r="M843" s="41">
        <v>46307</v>
      </c>
    </row>
    <row r="844" spans="1:13" x14ac:dyDescent="0.25">
      <c r="A844" s="1" t="s">
        <v>2331</v>
      </c>
      <c r="B844" s="1" t="s">
        <v>109</v>
      </c>
      <c r="C844" s="1" t="s">
        <v>7</v>
      </c>
      <c r="D844" s="1" t="s">
        <v>1415</v>
      </c>
      <c r="E844" s="1" t="s">
        <v>1416</v>
      </c>
      <c r="F844" s="1" t="s">
        <v>2317</v>
      </c>
      <c r="G844" s="1" t="s">
        <v>46</v>
      </c>
      <c r="H844" s="1" t="s">
        <v>36</v>
      </c>
      <c r="I844" s="1" t="s">
        <v>23</v>
      </c>
      <c r="J844" s="1" t="s">
        <v>57</v>
      </c>
      <c r="K844" s="1" t="s">
        <v>2335</v>
      </c>
      <c r="L844" s="1" t="s">
        <v>1642</v>
      </c>
      <c r="M844" s="41">
        <v>46307</v>
      </c>
    </row>
    <row r="845" spans="1:13" x14ac:dyDescent="0.25">
      <c r="A845" s="1" t="s">
        <v>2331</v>
      </c>
      <c r="B845" s="1" t="s">
        <v>109</v>
      </c>
      <c r="C845" s="1" t="s">
        <v>7</v>
      </c>
      <c r="D845" s="1" t="s">
        <v>1415</v>
      </c>
      <c r="E845" s="1" t="s">
        <v>1416</v>
      </c>
      <c r="F845" s="1" t="s">
        <v>2317</v>
      </c>
      <c r="G845" s="1" t="s">
        <v>46</v>
      </c>
      <c r="H845" s="1" t="s">
        <v>36</v>
      </c>
      <c r="I845" s="1" t="s">
        <v>24</v>
      </c>
      <c r="J845" s="1" t="s">
        <v>57</v>
      </c>
      <c r="K845" s="1" t="s">
        <v>2336</v>
      </c>
      <c r="L845" s="1" t="s">
        <v>1642</v>
      </c>
      <c r="M845" s="41">
        <v>46307</v>
      </c>
    </row>
    <row r="846" spans="1:13" x14ac:dyDescent="0.25">
      <c r="A846" s="1" t="s">
        <v>2331</v>
      </c>
      <c r="B846" s="1" t="s">
        <v>109</v>
      </c>
      <c r="C846" s="1" t="s">
        <v>7</v>
      </c>
      <c r="D846" s="1" t="s">
        <v>1415</v>
      </c>
      <c r="E846" s="1" t="s">
        <v>1416</v>
      </c>
      <c r="F846" s="1" t="s">
        <v>2317</v>
      </c>
      <c r="G846" s="1" t="s">
        <v>46</v>
      </c>
      <c r="H846" s="1" t="s">
        <v>36</v>
      </c>
      <c r="I846" s="1" t="s">
        <v>25</v>
      </c>
      <c r="J846" s="1" t="s">
        <v>57</v>
      </c>
      <c r="K846" s="1" t="s">
        <v>2337</v>
      </c>
      <c r="L846" s="1" t="s">
        <v>1642</v>
      </c>
      <c r="M846" s="41">
        <v>46307</v>
      </c>
    </row>
    <row r="847" spans="1:13" x14ac:dyDescent="0.25">
      <c r="A847" s="1" t="s">
        <v>2331</v>
      </c>
      <c r="B847" s="1" t="s">
        <v>109</v>
      </c>
      <c r="C847" s="1" t="s">
        <v>7</v>
      </c>
      <c r="D847" s="1" t="s">
        <v>1415</v>
      </c>
      <c r="E847" s="1" t="s">
        <v>1416</v>
      </c>
      <c r="F847" s="1" t="s">
        <v>2317</v>
      </c>
      <c r="G847" s="1" t="s">
        <v>46</v>
      </c>
      <c r="H847" s="1" t="s">
        <v>36</v>
      </c>
      <c r="I847" s="1" t="s">
        <v>26</v>
      </c>
      <c r="J847" s="1" t="s">
        <v>57</v>
      </c>
      <c r="K847" s="1" t="s">
        <v>2338</v>
      </c>
      <c r="L847" s="1" t="s">
        <v>1642</v>
      </c>
      <c r="M847" s="41">
        <v>46122</v>
      </c>
    </row>
    <row r="848" spans="1:13" x14ac:dyDescent="0.25">
      <c r="A848" s="1" t="s">
        <v>2331</v>
      </c>
      <c r="B848" s="1" t="s">
        <v>109</v>
      </c>
      <c r="C848" s="1" t="s">
        <v>7</v>
      </c>
      <c r="D848" s="1" t="s">
        <v>1415</v>
      </c>
      <c r="E848" s="1" t="s">
        <v>1416</v>
      </c>
      <c r="F848" s="1" t="s">
        <v>2317</v>
      </c>
      <c r="G848" s="1" t="s">
        <v>46</v>
      </c>
      <c r="H848" s="1" t="s">
        <v>36</v>
      </c>
      <c r="I848" s="1" t="s">
        <v>27</v>
      </c>
      <c r="J848" s="1" t="s">
        <v>57</v>
      </c>
      <c r="K848" s="1" t="s">
        <v>2339</v>
      </c>
      <c r="L848" s="1" t="s">
        <v>1642</v>
      </c>
      <c r="M848" s="41">
        <v>46122</v>
      </c>
    </row>
    <row r="849" spans="1:13" x14ac:dyDescent="0.25">
      <c r="A849" s="1" t="s">
        <v>2331</v>
      </c>
      <c r="B849" s="1" t="s">
        <v>109</v>
      </c>
      <c r="C849" s="1" t="s">
        <v>7</v>
      </c>
      <c r="D849" s="1" t="s">
        <v>1415</v>
      </c>
      <c r="E849" s="1" t="s">
        <v>1416</v>
      </c>
      <c r="F849" s="1" t="s">
        <v>2317</v>
      </c>
      <c r="G849" s="1" t="s">
        <v>46</v>
      </c>
      <c r="H849" s="1" t="s">
        <v>36</v>
      </c>
      <c r="I849" s="1" t="s">
        <v>28</v>
      </c>
      <c r="J849" s="1" t="s">
        <v>57</v>
      </c>
      <c r="K849" s="1" t="s">
        <v>2340</v>
      </c>
      <c r="L849" s="1" t="s">
        <v>1642</v>
      </c>
      <c r="M849" s="41">
        <v>46122</v>
      </c>
    </row>
    <row r="850" spans="1:13" x14ac:dyDescent="0.25">
      <c r="A850" s="1" t="s">
        <v>2331</v>
      </c>
      <c r="B850" s="1" t="s">
        <v>109</v>
      </c>
      <c r="C850" s="1" t="s">
        <v>7</v>
      </c>
      <c r="D850" s="1" t="s">
        <v>1415</v>
      </c>
      <c r="E850" s="1" t="s">
        <v>1416</v>
      </c>
      <c r="F850" s="1" t="s">
        <v>2317</v>
      </c>
      <c r="G850" s="1" t="s">
        <v>46</v>
      </c>
      <c r="H850" s="1" t="s">
        <v>36</v>
      </c>
      <c r="I850" s="1" t="s">
        <v>29</v>
      </c>
      <c r="J850" s="1" t="s">
        <v>57</v>
      </c>
      <c r="K850" s="1" t="s">
        <v>2341</v>
      </c>
      <c r="L850" s="1" t="s">
        <v>1642</v>
      </c>
      <c r="M850" s="41">
        <v>46122</v>
      </c>
    </row>
    <row r="851" spans="1:13" x14ac:dyDescent="0.25">
      <c r="A851" s="1" t="s">
        <v>2331</v>
      </c>
      <c r="B851" s="1" t="s">
        <v>109</v>
      </c>
      <c r="C851" s="1" t="s">
        <v>7</v>
      </c>
      <c r="D851" s="1" t="s">
        <v>1415</v>
      </c>
      <c r="E851" s="1" t="s">
        <v>1416</v>
      </c>
      <c r="F851" s="1" t="s">
        <v>2317</v>
      </c>
      <c r="G851" s="1" t="s">
        <v>46</v>
      </c>
      <c r="H851" s="1" t="s">
        <v>36</v>
      </c>
      <c r="I851" s="1" t="s">
        <v>30</v>
      </c>
      <c r="J851" s="1" t="s">
        <v>57</v>
      </c>
      <c r="K851" s="1" t="s">
        <v>2342</v>
      </c>
      <c r="L851" s="1" t="s">
        <v>1642</v>
      </c>
      <c r="M851" s="41">
        <v>46122</v>
      </c>
    </row>
    <row r="852" spans="1:13" x14ac:dyDescent="0.25">
      <c r="A852" s="1" t="s">
        <v>2331</v>
      </c>
      <c r="B852" s="1" t="s">
        <v>109</v>
      </c>
      <c r="C852" s="1" t="s">
        <v>7</v>
      </c>
      <c r="D852" s="1" t="s">
        <v>1415</v>
      </c>
      <c r="E852" s="1" t="s">
        <v>1416</v>
      </c>
      <c r="F852" s="1" t="s">
        <v>2317</v>
      </c>
      <c r="G852" s="1" t="s">
        <v>46</v>
      </c>
      <c r="H852" s="1" t="s">
        <v>36</v>
      </c>
      <c r="I852" s="1" t="s">
        <v>31</v>
      </c>
      <c r="J852" s="1" t="s">
        <v>57</v>
      </c>
      <c r="K852" s="1" t="s">
        <v>2343</v>
      </c>
      <c r="L852" s="1" t="s">
        <v>1642</v>
      </c>
      <c r="M852" s="41">
        <v>46087</v>
      </c>
    </row>
    <row r="853" spans="1:13" x14ac:dyDescent="0.25">
      <c r="A853" s="1" t="s">
        <v>2331</v>
      </c>
      <c r="B853" s="1" t="s">
        <v>109</v>
      </c>
      <c r="C853" s="1" t="s">
        <v>7</v>
      </c>
      <c r="D853" s="1" t="s">
        <v>1415</v>
      </c>
      <c r="E853" s="1" t="s">
        <v>1416</v>
      </c>
      <c r="F853" s="1" t="s">
        <v>2317</v>
      </c>
      <c r="G853" s="1" t="s">
        <v>46</v>
      </c>
      <c r="H853" s="1" t="s">
        <v>36</v>
      </c>
      <c r="I853" s="1" t="s">
        <v>32</v>
      </c>
      <c r="J853" s="1" t="s">
        <v>57</v>
      </c>
      <c r="K853" s="1" t="s">
        <v>2344</v>
      </c>
      <c r="L853" s="1" t="s">
        <v>1642</v>
      </c>
      <c r="M853" s="41">
        <v>46087</v>
      </c>
    </row>
    <row r="854" spans="1:13" x14ac:dyDescent="0.25">
      <c r="A854" s="1" t="s">
        <v>2345</v>
      </c>
      <c r="B854" s="1" t="s">
        <v>110</v>
      </c>
      <c r="C854" s="1" t="s">
        <v>7</v>
      </c>
      <c r="D854" s="1" t="s">
        <v>1415</v>
      </c>
      <c r="E854" s="1" t="s">
        <v>1416</v>
      </c>
      <c r="F854" s="1" t="s">
        <v>2317</v>
      </c>
      <c r="G854" s="1" t="s">
        <v>68</v>
      </c>
      <c r="H854" s="1" t="s">
        <v>36</v>
      </c>
      <c r="I854" s="1" t="s">
        <v>20</v>
      </c>
      <c r="J854" s="1" t="s">
        <v>34</v>
      </c>
      <c r="K854" s="1" t="s">
        <v>2346</v>
      </c>
      <c r="L854" s="1" t="s">
        <v>1716</v>
      </c>
      <c r="M854" s="41">
        <v>46302</v>
      </c>
    </row>
    <row r="855" spans="1:13" x14ac:dyDescent="0.25">
      <c r="A855" s="1" t="s">
        <v>2345</v>
      </c>
      <c r="B855" s="1" t="s">
        <v>110</v>
      </c>
      <c r="C855" s="1" t="s">
        <v>7</v>
      </c>
      <c r="D855" s="1" t="s">
        <v>1415</v>
      </c>
      <c r="E855" s="1" t="s">
        <v>1416</v>
      </c>
      <c r="F855" s="1" t="s">
        <v>2317</v>
      </c>
      <c r="G855" s="1" t="s">
        <v>68</v>
      </c>
      <c r="H855" s="1" t="s">
        <v>36</v>
      </c>
      <c r="I855" s="1" t="s">
        <v>21</v>
      </c>
      <c r="J855" s="1" t="s">
        <v>34</v>
      </c>
      <c r="K855" s="1" t="s">
        <v>2347</v>
      </c>
      <c r="L855" s="1" t="s">
        <v>1716</v>
      </c>
      <c r="M855" s="41">
        <v>46302</v>
      </c>
    </row>
    <row r="856" spans="1:13" x14ac:dyDescent="0.25">
      <c r="A856" s="1" t="s">
        <v>2345</v>
      </c>
      <c r="B856" s="1" t="s">
        <v>110</v>
      </c>
      <c r="C856" s="1" t="s">
        <v>7</v>
      </c>
      <c r="D856" s="1" t="s">
        <v>1415</v>
      </c>
      <c r="E856" s="1" t="s">
        <v>1416</v>
      </c>
      <c r="F856" s="1" t="s">
        <v>2317</v>
      </c>
      <c r="G856" s="1" t="s">
        <v>68</v>
      </c>
      <c r="H856" s="1" t="s">
        <v>36</v>
      </c>
      <c r="I856" s="1" t="s">
        <v>22</v>
      </c>
      <c r="J856" s="1" t="s">
        <v>34</v>
      </c>
      <c r="K856" s="1" t="s">
        <v>2348</v>
      </c>
      <c r="L856" s="1" t="s">
        <v>1716</v>
      </c>
      <c r="M856" s="41">
        <v>46302</v>
      </c>
    </row>
    <row r="857" spans="1:13" x14ac:dyDescent="0.25">
      <c r="A857" s="1" t="s">
        <v>2345</v>
      </c>
      <c r="B857" s="1" t="s">
        <v>110</v>
      </c>
      <c r="C857" s="1" t="s">
        <v>7</v>
      </c>
      <c r="D857" s="1" t="s">
        <v>1415</v>
      </c>
      <c r="E857" s="1" t="s">
        <v>1416</v>
      </c>
      <c r="F857" s="1" t="s">
        <v>2317</v>
      </c>
      <c r="G857" s="1" t="s">
        <v>68</v>
      </c>
      <c r="H857" s="1" t="s">
        <v>36</v>
      </c>
      <c r="I857" s="1" t="s">
        <v>23</v>
      </c>
      <c r="J857" s="1" t="s">
        <v>34</v>
      </c>
      <c r="K857" s="1" t="s">
        <v>2349</v>
      </c>
      <c r="L857" s="1" t="s">
        <v>1716</v>
      </c>
      <c r="M857" s="41">
        <v>46302</v>
      </c>
    </row>
    <row r="858" spans="1:13" x14ac:dyDescent="0.25">
      <c r="A858" s="1" t="s">
        <v>2345</v>
      </c>
      <c r="B858" s="1" t="s">
        <v>110</v>
      </c>
      <c r="C858" s="1" t="s">
        <v>7</v>
      </c>
      <c r="D858" s="1" t="s">
        <v>1415</v>
      </c>
      <c r="E858" s="1" t="s">
        <v>1416</v>
      </c>
      <c r="F858" s="1" t="s">
        <v>2317</v>
      </c>
      <c r="G858" s="1" t="s">
        <v>68</v>
      </c>
      <c r="H858" s="1" t="s">
        <v>36</v>
      </c>
      <c r="I858" s="1" t="s">
        <v>24</v>
      </c>
      <c r="J858" s="1" t="s">
        <v>34</v>
      </c>
      <c r="K858" s="1" t="s">
        <v>2350</v>
      </c>
      <c r="L858" s="1" t="s">
        <v>1716</v>
      </c>
      <c r="M858" s="41">
        <v>46302</v>
      </c>
    </row>
    <row r="859" spans="1:13" x14ac:dyDescent="0.25">
      <c r="A859" s="1" t="s">
        <v>2345</v>
      </c>
      <c r="B859" s="1" t="s">
        <v>110</v>
      </c>
      <c r="C859" s="1" t="s">
        <v>7</v>
      </c>
      <c r="D859" s="1" t="s">
        <v>1415</v>
      </c>
      <c r="E859" s="1" t="s">
        <v>1416</v>
      </c>
      <c r="F859" s="1" t="s">
        <v>2317</v>
      </c>
      <c r="G859" s="1" t="s">
        <v>68</v>
      </c>
      <c r="H859" s="1" t="s">
        <v>36</v>
      </c>
      <c r="I859" s="1" t="s">
        <v>25</v>
      </c>
      <c r="J859" s="1" t="s">
        <v>34</v>
      </c>
      <c r="K859" s="1" t="s">
        <v>2351</v>
      </c>
      <c r="L859" s="1" t="s">
        <v>1716</v>
      </c>
      <c r="M859" s="41">
        <v>46302</v>
      </c>
    </row>
    <row r="860" spans="1:13" x14ac:dyDescent="0.25">
      <c r="A860" s="1" t="s">
        <v>2345</v>
      </c>
      <c r="B860" s="1" t="s">
        <v>110</v>
      </c>
      <c r="C860" s="1" t="s">
        <v>7</v>
      </c>
      <c r="D860" s="1" t="s">
        <v>1415</v>
      </c>
      <c r="E860" s="1" t="s">
        <v>1416</v>
      </c>
      <c r="F860" s="1" t="s">
        <v>2317</v>
      </c>
      <c r="G860" s="1" t="s">
        <v>68</v>
      </c>
      <c r="H860" s="1" t="s">
        <v>36</v>
      </c>
      <c r="I860" s="1" t="s">
        <v>26</v>
      </c>
      <c r="J860" s="1" t="s">
        <v>34</v>
      </c>
      <c r="K860" s="1" t="s">
        <v>2352</v>
      </c>
      <c r="L860" s="1" t="s">
        <v>1716</v>
      </c>
      <c r="M860" s="41">
        <v>46302</v>
      </c>
    </row>
    <row r="861" spans="1:13" x14ac:dyDescent="0.25">
      <c r="A861" s="1" t="s">
        <v>2345</v>
      </c>
      <c r="B861" s="1" t="s">
        <v>110</v>
      </c>
      <c r="C861" s="1" t="s">
        <v>7</v>
      </c>
      <c r="D861" s="1" t="s">
        <v>1415</v>
      </c>
      <c r="E861" s="1" t="s">
        <v>1416</v>
      </c>
      <c r="F861" s="1" t="s">
        <v>2317</v>
      </c>
      <c r="G861" s="1" t="s">
        <v>68</v>
      </c>
      <c r="H861" s="1" t="s">
        <v>36</v>
      </c>
      <c r="I861" s="1" t="s">
        <v>27</v>
      </c>
      <c r="J861" s="1" t="s">
        <v>34</v>
      </c>
      <c r="K861" s="1" t="s">
        <v>2353</v>
      </c>
      <c r="L861" s="1" t="s">
        <v>1716</v>
      </c>
      <c r="M861" s="41">
        <v>46302</v>
      </c>
    </row>
    <row r="862" spans="1:13" x14ac:dyDescent="0.25">
      <c r="A862" s="1" t="s">
        <v>2345</v>
      </c>
      <c r="B862" s="1" t="s">
        <v>110</v>
      </c>
      <c r="C862" s="1" t="s">
        <v>7</v>
      </c>
      <c r="D862" s="1" t="s">
        <v>1415</v>
      </c>
      <c r="E862" s="1" t="s">
        <v>1416</v>
      </c>
      <c r="F862" s="1" t="s">
        <v>2317</v>
      </c>
      <c r="G862" s="1" t="s">
        <v>68</v>
      </c>
      <c r="H862" s="1" t="s">
        <v>36</v>
      </c>
      <c r="I862" s="1" t="s">
        <v>28</v>
      </c>
      <c r="J862" s="1" t="s">
        <v>34</v>
      </c>
      <c r="K862" s="1" t="s">
        <v>2354</v>
      </c>
      <c r="L862" s="1" t="s">
        <v>1716</v>
      </c>
      <c r="M862" s="41">
        <v>46302</v>
      </c>
    </row>
    <row r="863" spans="1:13" x14ac:dyDescent="0.25">
      <c r="A863" s="1" t="s">
        <v>2345</v>
      </c>
      <c r="B863" s="1" t="s">
        <v>110</v>
      </c>
      <c r="C863" s="1" t="s">
        <v>7</v>
      </c>
      <c r="D863" s="1" t="s">
        <v>1415</v>
      </c>
      <c r="E863" s="1" t="s">
        <v>1416</v>
      </c>
      <c r="F863" s="1" t="s">
        <v>2317</v>
      </c>
      <c r="G863" s="1" t="s">
        <v>68</v>
      </c>
      <c r="H863" s="1" t="s">
        <v>36</v>
      </c>
      <c r="I863" s="1" t="s">
        <v>29</v>
      </c>
      <c r="J863" s="1" t="s">
        <v>34</v>
      </c>
      <c r="K863" s="1" t="s">
        <v>2355</v>
      </c>
      <c r="L863" s="1" t="s">
        <v>1716</v>
      </c>
      <c r="M863" s="41">
        <v>46302</v>
      </c>
    </row>
    <row r="864" spans="1:13" x14ac:dyDescent="0.25">
      <c r="A864" s="1" t="s">
        <v>2345</v>
      </c>
      <c r="B864" s="1" t="s">
        <v>110</v>
      </c>
      <c r="C864" s="1" t="s">
        <v>7</v>
      </c>
      <c r="D864" s="1" t="s">
        <v>1415</v>
      </c>
      <c r="E864" s="1" t="s">
        <v>1416</v>
      </c>
      <c r="F864" s="1" t="s">
        <v>2317</v>
      </c>
      <c r="G864" s="1" t="s">
        <v>68</v>
      </c>
      <c r="H864" s="1" t="s">
        <v>36</v>
      </c>
      <c r="I864" s="1" t="s">
        <v>30</v>
      </c>
      <c r="J864" s="1" t="s">
        <v>34</v>
      </c>
      <c r="K864" s="1" t="s">
        <v>2356</v>
      </c>
      <c r="L864" s="1" t="s">
        <v>1716</v>
      </c>
      <c r="M864" s="41">
        <v>46087</v>
      </c>
    </row>
    <row r="865" spans="1:13" x14ac:dyDescent="0.25">
      <c r="A865" s="1" t="s">
        <v>2345</v>
      </c>
      <c r="B865" s="1" t="s">
        <v>110</v>
      </c>
      <c r="C865" s="1" t="s">
        <v>7</v>
      </c>
      <c r="D865" s="1" t="s">
        <v>1415</v>
      </c>
      <c r="E865" s="1" t="s">
        <v>1416</v>
      </c>
      <c r="F865" s="1" t="s">
        <v>2317</v>
      </c>
      <c r="G865" s="1" t="s">
        <v>68</v>
      </c>
      <c r="H865" s="1" t="s">
        <v>36</v>
      </c>
      <c r="I865" s="1" t="s">
        <v>31</v>
      </c>
      <c r="J865" s="1" t="s">
        <v>34</v>
      </c>
      <c r="K865" s="1" t="s">
        <v>2357</v>
      </c>
      <c r="L865" s="1" t="s">
        <v>1716</v>
      </c>
      <c r="M865" s="41">
        <v>46302</v>
      </c>
    </row>
    <row r="866" spans="1:13" x14ac:dyDescent="0.25">
      <c r="A866" s="1" t="s">
        <v>2345</v>
      </c>
      <c r="B866" s="1" t="s">
        <v>110</v>
      </c>
      <c r="C866" s="1" t="s">
        <v>7</v>
      </c>
      <c r="D866" s="1" t="s">
        <v>1415</v>
      </c>
      <c r="E866" s="1" t="s">
        <v>1416</v>
      </c>
      <c r="F866" s="1" t="s">
        <v>2317</v>
      </c>
      <c r="G866" s="1" t="s">
        <v>68</v>
      </c>
      <c r="H866" s="1" t="s">
        <v>36</v>
      </c>
      <c r="I866" s="1" t="s">
        <v>32</v>
      </c>
      <c r="J866" s="1" t="s">
        <v>34</v>
      </c>
      <c r="K866" s="1" t="s">
        <v>2358</v>
      </c>
      <c r="L866" s="1" t="s">
        <v>1716</v>
      </c>
      <c r="M866" s="41">
        <v>46302</v>
      </c>
    </row>
    <row r="867" spans="1:13" x14ac:dyDescent="0.25">
      <c r="A867" s="1" t="s">
        <v>2359</v>
      </c>
      <c r="B867" s="1" t="s">
        <v>110</v>
      </c>
      <c r="C867" s="1" t="s">
        <v>7</v>
      </c>
      <c r="D867" s="1" t="s">
        <v>1415</v>
      </c>
      <c r="E867" s="1" t="s">
        <v>1416</v>
      </c>
      <c r="F867" s="1" t="s">
        <v>2317</v>
      </c>
      <c r="G867" s="1" t="s">
        <v>46</v>
      </c>
      <c r="H867" s="1" t="s">
        <v>36</v>
      </c>
      <c r="I867" s="1" t="s">
        <v>20</v>
      </c>
      <c r="J867" s="1" t="s">
        <v>34</v>
      </c>
      <c r="K867" s="1" t="s">
        <v>2360</v>
      </c>
      <c r="L867" s="1" t="s">
        <v>1716</v>
      </c>
      <c r="M867" s="41">
        <v>46302</v>
      </c>
    </row>
    <row r="868" spans="1:13" x14ac:dyDescent="0.25">
      <c r="A868" s="1" t="s">
        <v>2359</v>
      </c>
      <c r="B868" s="1" t="s">
        <v>110</v>
      </c>
      <c r="C868" s="1" t="s">
        <v>7</v>
      </c>
      <c r="D868" s="1" t="s">
        <v>1415</v>
      </c>
      <c r="E868" s="1" t="s">
        <v>1416</v>
      </c>
      <c r="F868" s="1" t="s">
        <v>2317</v>
      </c>
      <c r="G868" s="1" t="s">
        <v>46</v>
      </c>
      <c r="H868" s="1" t="s">
        <v>36</v>
      </c>
      <c r="I868" s="1" t="s">
        <v>21</v>
      </c>
      <c r="J868" s="1" t="s">
        <v>34</v>
      </c>
      <c r="K868" s="1" t="s">
        <v>2361</v>
      </c>
      <c r="L868" s="1" t="s">
        <v>1716</v>
      </c>
      <c r="M868" s="41">
        <v>46302</v>
      </c>
    </row>
    <row r="869" spans="1:13" x14ac:dyDescent="0.25">
      <c r="A869" s="1" t="s">
        <v>2359</v>
      </c>
      <c r="B869" s="1" t="s">
        <v>110</v>
      </c>
      <c r="C869" s="1" t="s">
        <v>7</v>
      </c>
      <c r="D869" s="1" t="s">
        <v>1415</v>
      </c>
      <c r="E869" s="1" t="s">
        <v>1416</v>
      </c>
      <c r="F869" s="1" t="s">
        <v>2317</v>
      </c>
      <c r="G869" s="1" t="s">
        <v>46</v>
      </c>
      <c r="H869" s="1" t="s">
        <v>36</v>
      </c>
      <c r="I869" s="1" t="s">
        <v>22</v>
      </c>
      <c r="J869" s="1" t="s">
        <v>34</v>
      </c>
      <c r="K869" s="1" t="s">
        <v>2362</v>
      </c>
      <c r="L869" s="1" t="s">
        <v>1716</v>
      </c>
      <c r="M869" s="41">
        <v>46302</v>
      </c>
    </row>
    <row r="870" spans="1:13" x14ac:dyDescent="0.25">
      <c r="A870" s="1" t="s">
        <v>2359</v>
      </c>
      <c r="B870" s="1" t="s">
        <v>110</v>
      </c>
      <c r="C870" s="1" t="s">
        <v>7</v>
      </c>
      <c r="D870" s="1" t="s">
        <v>1415</v>
      </c>
      <c r="E870" s="1" t="s">
        <v>1416</v>
      </c>
      <c r="F870" s="1" t="s">
        <v>2317</v>
      </c>
      <c r="G870" s="1" t="s">
        <v>46</v>
      </c>
      <c r="H870" s="1" t="s">
        <v>36</v>
      </c>
      <c r="I870" s="1" t="s">
        <v>23</v>
      </c>
      <c r="J870" s="1" t="s">
        <v>34</v>
      </c>
      <c r="K870" s="1" t="s">
        <v>2363</v>
      </c>
      <c r="L870" s="1" t="s">
        <v>1716</v>
      </c>
      <c r="M870" s="41">
        <v>46302</v>
      </c>
    </row>
    <row r="871" spans="1:13" x14ac:dyDescent="0.25">
      <c r="A871" s="1" t="s">
        <v>2359</v>
      </c>
      <c r="B871" s="1" t="s">
        <v>110</v>
      </c>
      <c r="C871" s="1" t="s">
        <v>7</v>
      </c>
      <c r="D871" s="1" t="s">
        <v>1415</v>
      </c>
      <c r="E871" s="1" t="s">
        <v>1416</v>
      </c>
      <c r="F871" s="1" t="s">
        <v>2317</v>
      </c>
      <c r="G871" s="1" t="s">
        <v>46</v>
      </c>
      <c r="H871" s="1" t="s">
        <v>36</v>
      </c>
      <c r="I871" s="1" t="s">
        <v>24</v>
      </c>
      <c r="J871" s="1" t="s">
        <v>34</v>
      </c>
      <c r="K871" s="1" t="s">
        <v>2364</v>
      </c>
      <c r="L871" s="1" t="s">
        <v>1716</v>
      </c>
      <c r="M871" s="41">
        <v>46302</v>
      </c>
    </row>
    <row r="872" spans="1:13" x14ac:dyDescent="0.25">
      <c r="A872" s="1" t="s">
        <v>2359</v>
      </c>
      <c r="B872" s="1" t="s">
        <v>110</v>
      </c>
      <c r="C872" s="1" t="s">
        <v>7</v>
      </c>
      <c r="D872" s="1" t="s">
        <v>1415</v>
      </c>
      <c r="E872" s="1" t="s">
        <v>1416</v>
      </c>
      <c r="F872" s="1" t="s">
        <v>2317</v>
      </c>
      <c r="G872" s="1" t="s">
        <v>46</v>
      </c>
      <c r="H872" s="1" t="s">
        <v>36</v>
      </c>
      <c r="I872" s="1" t="s">
        <v>25</v>
      </c>
      <c r="J872" s="1" t="s">
        <v>34</v>
      </c>
      <c r="K872" s="1" t="s">
        <v>2365</v>
      </c>
      <c r="L872" s="1" t="s">
        <v>1716</v>
      </c>
      <c r="M872" s="41">
        <v>46087</v>
      </c>
    </row>
    <row r="873" spans="1:13" x14ac:dyDescent="0.25">
      <c r="A873" s="1" t="s">
        <v>2359</v>
      </c>
      <c r="B873" s="1" t="s">
        <v>110</v>
      </c>
      <c r="C873" s="1" t="s">
        <v>7</v>
      </c>
      <c r="D873" s="1" t="s">
        <v>1415</v>
      </c>
      <c r="E873" s="1" t="s">
        <v>1416</v>
      </c>
      <c r="F873" s="1" t="s">
        <v>2317</v>
      </c>
      <c r="G873" s="1" t="s">
        <v>46</v>
      </c>
      <c r="H873" s="1" t="s">
        <v>36</v>
      </c>
      <c r="I873" s="1" t="s">
        <v>26</v>
      </c>
      <c r="J873" s="1" t="s">
        <v>34</v>
      </c>
      <c r="K873" s="1" t="s">
        <v>2366</v>
      </c>
      <c r="L873" s="1" t="s">
        <v>1716</v>
      </c>
      <c r="M873" s="41">
        <v>46302</v>
      </c>
    </row>
    <row r="874" spans="1:13" x14ac:dyDescent="0.25">
      <c r="A874" s="1" t="s">
        <v>2359</v>
      </c>
      <c r="B874" s="1" t="s">
        <v>110</v>
      </c>
      <c r="C874" s="1" t="s">
        <v>7</v>
      </c>
      <c r="D874" s="1" t="s">
        <v>1415</v>
      </c>
      <c r="E874" s="1" t="s">
        <v>1416</v>
      </c>
      <c r="F874" s="1" t="s">
        <v>2317</v>
      </c>
      <c r="G874" s="1" t="s">
        <v>46</v>
      </c>
      <c r="H874" s="1" t="s">
        <v>36</v>
      </c>
      <c r="I874" s="1" t="s">
        <v>27</v>
      </c>
      <c r="J874" s="1" t="s">
        <v>34</v>
      </c>
      <c r="K874" s="1" t="s">
        <v>2367</v>
      </c>
      <c r="L874" s="1" t="s">
        <v>1716</v>
      </c>
      <c r="M874" s="41">
        <v>46087</v>
      </c>
    </row>
    <row r="875" spans="1:13" x14ac:dyDescent="0.25">
      <c r="A875" s="1" t="s">
        <v>2359</v>
      </c>
      <c r="B875" s="1" t="s">
        <v>110</v>
      </c>
      <c r="C875" s="1" t="s">
        <v>7</v>
      </c>
      <c r="D875" s="1" t="s">
        <v>1415</v>
      </c>
      <c r="E875" s="1" t="s">
        <v>1416</v>
      </c>
      <c r="F875" s="1" t="s">
        <v>2317</v>
      </c>
      <c r="G875" s="1" t="s">
        <v>46</v>
      </c>
      <c r="H875" s="1" t="s">
        <v>36</v>
      </c>
      <c r="I875" s="1" t="s">
        <v>28</v>
      </c>
      <c r="J875" s="1" t="s">
        <v>34</v>
      </c>
      <c r="K875" s="1" t="s">
        <v>2368</v>
      </c>
      <c r="L875" s="1" t="s">
        <v>1716</v>
      </c>
      <c r="M875" s="41">
        <v>46087</v>
      </c>
    </row>
    <row r="876" spans="1:13" x14ac:dyDescent="0.25">
      <c r="A876" s="1" t="s">
        <v>2359</v>
      </c>
      <c r="B876" s="1" t="s">
        <v>110</v>
      </c>
      <c r="C876" s="1" t="s">
        <v>7</v>
      </c>
      <c r="D876" s="1" t="s">
        <v>1415</v>
      </c>
      <c r="E876" s="1" t="s">
        <v>1416</v>
      </c>
      <c r="F876" s="1" t="s">
        <v>2317</v>
      </c>
      <c r="G876" s="1" t="s">
        <v>46</v>
      </c>
      <c r="H876" s="1" t="s">
        <v>36</v>
      </c>
      <c r="I876" s="1" t="s">
        <v>56</v>
      </c>
      <c r="J876" s="1" t="s">
        <v>34</v>
      </c>
      <c r="K876" s="1" t="s">
        <v>2369</v>
      </c>
      <c r="L876" s="1" t="s">
        <v>1716</v>
      </c>
      <c r="M876" s="41" t="s">
        <v>9</v>
      </c>
    </row>
    <row r="877" spans="1:13" x14ac:dyDescent="0.25">
      <c r="A877" s="1" t="s">
        <v>2359</v>
      </c>
      <c r="B877" s="1" t="s">
        <v>110</v>
      </c>
      <c r="C877" s="1" t="s">
        <v>7</v>
      </c>
      <c r="D877" s="1" t="s">
        <v>1415</v>
      </c>
      <c r="E877" s="1" t="s">
        <v>1416</v>
      </c>
      <c r="F877" s="1" t="s">
        <v>2317</v>
      </c>
      <c r="G877" s="1" t="s">
        <v>46</v>
      </c>
      <c r="H877" s="1" t="s">
        <v>36</v>
      </c>
      <c r="I877" s="1" t="s">
        <v>29</v>
      </c>
      <c r="J877" s="1" t="s">
        <v>34</v>
      </c>
      <c r="K877" s="1" t="s">
        <v>2370</v>
      </c>
      <c r="L877" s="1" t="s">
        <v>1716</v>
      </c>
      <c r="M877" s="41">
        <v>46302</v>
      </c>
    </row>
    <row r="878" spans="1:13" x14ac:dyDescent="0.25">
      <c r="A878" s="1" t="s">
        <v>2359</v>
      </c>
      <c r="B878" s="1" t="s">
        <v>110</v>
      </c>
      <c r="C878" s="1" t="s">
        <v>7</v>
      </c>
      <c r="D878" s="1" t="s">
        <v>1415</v>
      </c>
      <c r="E878" s="1" t="s">
        <v>1416</v>
      </c>
      <c r="F878" s="1" t="s">
        <v>2317</v>
      </c>
      <c r="G878" s="1" t="s">
        <v>46</v>
      </c>
      <c r="H878" s="1" t="s">
        <v>36</v>
      </c>
      <c r="I878" s="1" t="s">
        <v>30</v>
      </c>
      <c r="J878" s="1" t="s">
        <v>34</v>
      </c>
      <c r="K878" s="1" t="s">
        <v>2371</v>
      </c>
      <c r="L878" s="1" t="s">
        <v>1716</v>
      </c>
      <c r="M878" s="41">
        <v>46302</v>
      </c>
    </row>
    <row r="879" spans="1:13" x14ac:dyDescent="0.25">
      <c r="A879" s="1" t="s">
        <v>2359</v>
      </c>
      <c r="B879" s="1" t="s">
        <v>110</v>
      </c>
      <c r="C879" s="1" t="s">
        <v>7</v>
      </c>
      <c r="D879" s="1" t="s">
        <v>1415</v>
      </c>
      <c r="E879" s="1" t="s">
        <v>1416</v>
      </c>
      <c r="F879" s="1" t="s">
        <v>2317</v>
      </c>
      <c r="G879" s="1" t="s">
        <v>46</v>
      </c>
      <c r="H879" s="1" t="s">
        <v>36</v>
      </c>
      <c r="I879" s="1" t="s">
        <v>31</v>
      </c>
      <c r="J879" s="1" t="s">
        <v>34</v>
      </c>
      <c r="K879" s="1" t="s">
        <v>2372</v>
      </c>
      <c r="L879" s="1" t="s">
        <v>1716</v>
      </c>
      <c r="M879" s="41">
        <v>46302</v>
      </c>
    </row>
    <row r="880" spans="1:13" x14ac:dyDescent="0.25">
      <c r="A880" s="1" t="s">
        <v>2359</v>
      </c>
      <c r="B880" s="1" t="s">
        <v>110</v>
      </c>
      <c r="C880" s="1" t="s">
        <v>7</v>
      </c>
      <c r="D880" s="1" t="s">
        <v>1415</v>
      </c>
      <c r="E880" s="1" t="s">
        <v>1416</v>
      </c>
      <c r="F880" s="1" t="s">
        <v>2317</v>
      </c>
      <c r="G880" s="1" t="s">
        <v>46</v>
      </c>
      <c r="H880" s="1" t="s">
        <v>36</v>
      </c>
      <c r="I880" s="1" t="s">
        <v>32</v>
      </c>
      <c r="J880" s="1" t="s">
        <v>34</v>
      </c>
      <c r="K880" s="1" t="s">
        <v>2373</v>
      </c>
      <c r="L880" s="1" t="s">
        <v>1716</v>
      </c>
      <c r="M880" s="41">
        <v>46302</v>
      </c>
    </row>
    <row r="881" spans="1:13" x14ac:dyDescent="0.25">
      <c r="A881" s="1" t="s">
        <v>2374</v>
      </c>
      <c r="B881" s="1" t="s">
        <v>113</v>
      </c>
      <c r="C881" s="1" t="s">
        <v>7</v>
      </c>
      <c r="D881" s="1" t="s">
        <v>1415</v>
      </c>
      <c r="E881" s="1" t="s">
        <v>1416</v>
      </c>
      <c r="F881" s="1" t="s">
        <v>2375</v>
      </c>
      <c r="G881" s="1" t="s">
        <v>112</v>
      </c>
      <c r="H881" s="1" t="s">
        <v>36</v>
      </c>
      <c r="I881" s="1" t="s">
        <v>20</v>
      </c>
      <c r="J881" s="1" t="s">
        <v>57</v>
      </c>
      <c r="K881" s="1" t="s">
        <v>2376</v>
      </c>
      <c r="L881" s="1" t="s">
        <v>2377</v>
      </c>
      <c r="M881" s="41" t="s">
        <v>9</v>
      </c>
    </row>
    <row r="882" spans="1:13" x14ac:dyDescent="0.25">
      <c r="A882" s="1" t="s">
        <v>2374</v>
      </c>
      <c r="B882" s="1" t="s">
        <v>113</v>
      </c>
      <c r="C882" s="1" t="s">
        <v>7</v>
      </c>
      <c r="D882" s="1" t="s">
        <v>1415</v>
      </c>
      <c r="E882" s="1" t="s">
        <v>1416</v>
      </c>
      <c r="F882" s="1" t="s">
        <v>2375</v>
      </c>
      <c r="G882" s="1" t="s">
        <v>112</v>
      </c>
      <c r="H882" s="1" t="s">
        <v>36</v>
      </c>
      <c r="I882" s="1" t="s">
        <v>21</v>
      </c>
      <c r="J882" s="1" t="s">
        <v>57</v>
      </c>
      <c r="K882" s="1" t="s">
        <v>2378</v>
      </c>
      <c r="L882" s="1" t="s">
        <v>2377</v>
      </c>
      <c r="M882" s="41" t="s">
        <v>9</v>
      </c>
    </row>
    <row r="883" spans="1:13" x14ac:dyDescent="0.25">
      <c r="A883" s="1" t="s">
        <v>2374</v>
      </c>
      <c r="B883" s="1" t="s">
        <v>113</v>
      </c>
      <c r="C883" s="1" t="s">
        <v>7</v>
      </c>
      <c r="D883" s="1" t="s">
        <v>1415</v>
      </c>
      <c r="E883" s="1" t="s">
        <v>1416</v>
      </c>
      <c r="F883" s="1" t="s">
        <v>2375</v>
      </c>
      <c r="G883" s="1" t="s">
        <v>112</v>
      </c>
      <c r="H883" s="1" t="s">
        <v>36</v>
      </c>
      <c r="I883" s="1" t="s">
        <v>22</v>
      </c>
      <c r="J883" s="1" t="s">
        <v>57</v>
      </c>
      <c r="K883" s="1" t="s">
        <v>2379</v>
      </c>
      <c r="L883" s="1" t="s">
        <v>2377</v>
      </c>
      <c r="M883" s="41" t="s">
        <v>9</v>
      </c>
    </row>
    <row r="884" spans="1:13" x14ac:dyDescent="0.25">
      <c r="A884" s="1" t="s">
        <v>2374</v>
      </c>
      <c r="B884" s="1" t="s">
        <v>113</v>
      </c>
      <c r="C884" s="1" t="s">
        <v>7</v>
      </c>
      <c r="D884" s="1" t="s">
        <v>1415</v>
      </c>
      <c r="E884" s="1" t="s">
        <v>1416</v>
      </c>
      <c r="F884" s="1" t="s">
        <v>2375</v>
      </c>
      <c r="G884" s="1" t="s">
        <v>112</v>
      </c>
      <c r="H884" s="1" t="s">
        <v>36</v>
      </c>
      <c r="I884" s="1" t="s">
        <v>23</v>
      </c>
      <c r="J884" s="1" t="s">
        <v>57</v>
      </c>
      <c r="K884" s="1" t="s">
        <v>2380</v>
      </c>
      <c r="L884" s="1" t="s">
        <v>2377</v>
      </c>
      <c r="M884" s="41" t="s">
        <v>9</v>
      </c>
    </row>
    <row r="885" spans="1:13" x14ac:dyDescent="0.25">
      <c r="A885" s="1" t="s">
        <v>2374</v>
      </c>
      <c r="B885" s="1" t="s">
        <v>113</v>
      </c>
      <c r="C885" s="1" t="s">
        <v>7</v>
      </c>
      <c r="D885" s="1" t="s">
        <v>1415</v>
      </c>
      <c r="E885" s="1" t="s">
        <v>1416</v>
      </c>
      <c r="F885" s="1" t="s">
        <v>2375</v>
      </c>
      <c r="G885" s="1" t="s">
        <v>112</v>
      </c>
      <c r="H885" s="1" t="s">
        <v>36</v>
      </c>
      <c r="I885" s="1" t="s">
        <v>24</v>
      </c>
      <c r="J885" s="1" t="s">
        <v>57</v>
      </c>
      <c r="K885" s="1" t="s">
        <v>2381</v>
      </c>
      <c r="L885" s="1" t="s">
        <v>2377</v>
      </c>
      <c r="M885" s="41" t="s">
        <v>9</v>
      </c>
    </row>
    <row r="886" spans="1:13" x14ac:dyDescent="0.25">
      <c r="A886" s="1" t="s">
        <v>2374</v>
      </c>
      <c r="B886" s="1" t="s">
        <v>113</v>
      </c>
      <c r="C886" s="1" t="s">
        <v>7</v>
      </c>
      <c r="D886" s="1" t="s">
        <v>1415</v>
      </c>
      <c r="E886" s="1" t="s">
        <v>1416</v>
      </c>
      <c r="F886" s="1" t="s">
        <v>2375</v>
      </c>
      <c r="G886" s="1" t="s">
        <v>112</v>
      </c>
      <c r="H886" s="1" t="s">
        <v>36</v>
      </c>
      <c r="I886" s="1" t="s">
        <v>25</v>
      </c>
      <c r="J886" s="1" t="s">
        <v>57</v>
      </c>
      <c r="K886" s="1" t="s">
        <v>2382</v>
      </c>
      <c r="L886" s="1" t="s">
        <v>2377</v>
      </c>
      <c r="M886" s="41" t="s">
        <v>9</v>
      </c>
    </row>
    <row r="887" spans="1:13" x14ac:dyDescent="0.25">
      <c r="A887" s="1" t="s">
        <v>2374</v>
      </c>
      <c r="B887" s="1" t="s">
        <v>113</v>
      </c>
      <c r="C887" s="1" t="s">
        <v>7</v>
      </c>
      <c r="D887" s="1" t="s">
        <v>1415</v>
      </c>
      <c r="E887" s="1" t="s">
        <v>1416</v>
      </c>
      <c r="F887" s="1" t="s">
        <v>2375</v>
      </c>
      <c r="G887" s="1" t="s">
        <v>112</v>
      </c>
      <c r="H887" s="1" t="s">
        <v>36</v>
      </c>
      <c r="I887" s="1" t="s">
        <v>26</v>
      </c>
      <c r="J887" s="1" t="s">
        <v>57</v>
      </c>
      <c r="K887" s="1" t="s">
        <v>2383</v>
      </c>
      <c r="L887" s="1" t="s">
        <v>2377</v>
      </c>
      <c r="M887" s="41" t="s">
        <v>9</v>
      </c>
    </row>
    <row r="888" spans="1:13" x14ac:dyDescent="0.25">
      <c r="A888" s="1" t="s">
        <v>2374</v>
      </c>
      <c r="B888" s="1" t="s">
        <v>113</v>
      </c>
      <c r="C888" s="1" t="s">
        <v>7</v>
      </c>
      <c r="D888" s="1" t="s">
        <v>1415</v>
      </c>
      <c r="E888" s="1" t="s">
        <v>1416</v>
      </c>
      <c r="F888" s="1" t="s">
        <v>2375</v>
      </c>
      <c r="G888" s="1" t="s">
        <v>112</v>
      </c>
      <c r="H888" s="1" t="s">
        <v>36</v>
      </c>
      <c r="I888" s="1" t="s">
        <v>27</v>
      </c>
      <c r="J888" s="1" t="s">
        <v>57</v>
      </c>
      <c r="K888" s="1" t="s">
        <v>2384</v>
      </c>
      <c r="L888" s="1" t="s">
        <v>2377</v>
      </c>
      <c r="M888" s="41" t="s">
        <v>9</v>
      </c>
    </row>
    <row r="889" spans="1:13" x14ac:dyDescent="0.25">
      <c r="A889" s="1" t="s">
        <v>2374</v>
      </c>
      <c r="B889" s="1" t="s">
        <v>113</v>
      </c>
      <c r="C889" s="1" t="s">
        <v>7</v>
      </c>
      <c r="D889" s="1" t="s">
        <v>1415</v>
      </c>
      <c r="E889" s="1" t="s">
        <v>1416</v>
      </c>
      <c r="F889" s="1" t="s">
        <v>2375</v>
      </c>
      <c r="G889" s="1" t="s">
        <v>112</v>
      </c>
      <c r="H889" s="1" t="s">
        <v>36</v>
      </c>
      <c r="I889" s="1" t="s">
        <v>28</v>
      </c>
      <c r="J889" s="1" t="s">
        <v>57</v>
      </c>
      <c r="K889" s="1" t="s">
        <v>2385</v>
      </c>
      <c r="L889" s="1" t="s">
        <v>2377</v>
      </c>
      <c r="M889" s="41" t="s">
        <v>9</v>
      </c>
    </row>
    <row r="890" spans="1:13" x14ac:dyDescent="0.25">
      <c r="A890" s="1" t="s">
        <v>2374</v>
      </c>
      <c r="B890" s="1" t="s">
        <v>113</v>
      </c>
      <c r="C890" s="1" t="s">
        <v>7</v>
      </c>
      <c r="D890" s="1" t="s">
        <v>1415</v>
      </c>
      <c r="E890" s="1" t="s">
        <v>1416</v>
      </c>
      <c r="F890" s="1" t="s">
        <v>2375</v>
      </c>
      <c r="G890" s="1" t="s">
        <v>112</v>
      </c>
      <c r="H890" s="1" t="s">
        <v>36</v>
      </c>
      <c r="I890" s="1" t="s">
        <v>56</v>
      </c>
      <c r="J890" s="1" t="s">
        <v>57</v>
      </c>
      <c r="K890" s="1" t="s">
        <v>2386</v>
      </c>
      <c r="L890" s="1" t="s">
        <v>2377</v>
      </c>
      <c r="M890" s="41" t="s">
        <v>9</v>
      </c>
    </row>
    <row r="891" spans="1:13" x14ac:dyDescent="0.25">
      <c r="A891" s="1" t="s">
        <v>2374</v>
      </c>
      <c r="B891" s="1" t="s">
        <v>113</v>
      </c>
      <c r="C891" s="1" t="s">
        <v>7</v>
      </c>
      <c r="D891" s="1" t="s">
        <v>1415</v>
      </c>
      <c r="E891" s="1" t="s">
        <v>1416</v>
      </c>
      <c r="F891" s="1" t="s">
        <v>2375</v>
      </c>
      <c r="G891" s="1" t="s">
        <v>112</v>
      </c>
      <c r="H891" s="1" t="s">
        <v>36</v>
      </c>
      <c r="I891" s="1" t="s">
        <v>29</v>
      </c>
      <c r="J891" s="1" t="s">
        <v>57</v>
      </c>
      <c r="K891" s="1" t="s">
        <v>2387</v>
      </c>
      <c r="L891" s="1" t="s">
        <v>2377</v>
      </c>
      <c r="M891" s="41" t="s">
        <v>9</v>
      </c>
    </row>
    <row r="892" spans="1:13" x14ac:dyDescent="0.25">
      <c r="A892" s="1" t="s">
        <v>2374</v>
      </c>
      <c r="B892" s="1" t="s">
        <v>113</v>
      </c>
      <c r="C892" s="1" t="s">
        <v>7</v>
      </c>
      <c r="D892" s="1" t="s">
        <v>1415</v>
      </c>
      <c r="E892" s="1" t="s">
        <v>1416</v>
      </c>
      <c r="F892" s="1" t="s">
        <v>2375</v>
      </c>
      <c r="G892" s="1" t="s">
        <v>112</v>
      </c>
      <c r="H892" s="1" t="s">
        <v>36</v>
      </c>
      <c r="I892" s="1" t="s">
        <v>30</v>
      </c>
      <c r="J892" s="1" t="s">
        <v>57</v>
      </c>
      <c r="K892" s="1" t="s">
        <v>2388</v>
      </c>
      <c r="L892" s="1" t="s">
        <v>2377</v>
      </c>
      <c r="M892" s="41" t="s">
        <v>9</v>
      </c>
    </row>
    <row r="893" spans="1:13" x14ac:dyDescent="0.25">
      <c r="A893" s="1" t="s">
        <v>2374</v>
      </c>
      <c r="B893" s="1" t="s">
        <v>113</v>
      </c>
      <c r="C893" s="1" t="s">
        <v>7</v>
      </c>
      <c r="D893" s="1" t="s">
        <v>1415</v>
      </c>
      <c r="E893" s="1" t="s">
        <v>1416</v>
      </c>
      <c r="F893" s="1" t="s">
        <v>2375</v>
      </c>
      <c r="G893" s="1" t="s">
        <v>112</v>
      </c>
      <c r="H893" s="1" t="s">
        <v>36</v>
      </c>
      <c r="I893" s="1" t="s">
        <v>31</v>
      </c>
      <c r="J893" s="1" t="s">
        <v>57</v>
      </c>
      <c r="K893" s="1" t="s">
        <v>2389</v>
      </c>
      <c r="L893" s="1" t="s">
        <v>2377</v>
      </c>
      <c r="M893" s="41" t="s">
        <v>9</v>
      </c>
    </row>
    <row r="894" spans="1:13" x14ac:dyDescent="0.25">
      <c r="A894" s="1" t="s">
        <v>2374</v>
      </c>
      <c r="B894" s="1" t="s">
        <v>113</v>
      </c>
      <c r="C894" s="1" t="s">
        <v>7</v>
      </c>
      <c r="D894" s="1" t="s">
        <v>1415</v>
      </c>
      <c r="E894" s="1" t="s">
        <v>1416</v>
      </c>
      <c r="F894" s="1" t="s">
        <v>2375</v>
      </c>
      <c r="G894" s="1" t="s">
        <v>112</v>
      </c>
      <c r="H894" s="1" t="s">
        <v>36</v>
      </c>
      <c r="I894" s="1" t="s">
        <v>32</v>
      </c>
      <c r="J894" s="1" t="s">
        <v>57</v>
      </c>
      <c r="K894" s="1" t="s">
        <v>2390</v>
      </c>
      <c r="L894" s="1" t="s">
        <v>2377</v>
      </c>
      <c r="M894" s="41" t="s">
        <v>9</v>
      </c>
    </row>
    <row r="895" spans="1:13" x14ac:dyDescent="0.25">
      <c r="A895" s="1" t="s">
        <v>2374</v>
      </c>
      <c r="B895" s="1" t="s">
        <v>113</v>
      </c>
      <c r="C895" s="1" t="s">
        <v>7</v>
      </c>
      <c r="D895" s="1" t="s">
        <v>1415</v>
      </c>
      <c r="E895" s="1" t="s">
        <v>1416</v>
      </c>
      <c r="F895" s="1" t="s">
        <v>2375</v>
      </c>
      <c r="G895" s="1" t="s">
        <v>112</v>
      </c>
      <c r="H895" s="1" t="s">
        <v>36</v>
      </c>
      <c r="I895" s="1" t="s">
        <v>20</v>
      </c>
      <c r="J895" s="1" t="s">
        <v>34</v>
      </c>
      <c r="K895" s="1" t="s">
        <v>2391</v>
      </c>
      <c r="L895" s="1" t="s">
        <v>2377</v>
      </c>
      <c r="M895" s="41">
        <v>46087</v>
      </c>
    </row>
    <row r="896" spans="1:13" x14ac:dyDescent="0.25">
      <c r="A896" s="1" t="s">
        <v>2374</v>
      </c>
      <c r="B896" s="1" t="s">
        <v>113</v>
      </c>
      <c r="C896" s="1" t="s">
        <v>7</v>
      </c>
      <c r="D896" s="1" t="s">
        <v>1415</v>
      </c>
      <c r="E896" s="1" t="s">
        <v>1416</v>
      </c>
      <c r="F896" s="1" t="s">
        <v>2375</v>
      </c>
      <c r="G896" s="1" t="s">
        <v>112</v>
      </c>
      <c r="H896" s="1" t="s">
        <v>36</v>
      </c>
      <c r="I896" s="1" t="s">
        <v>21</v>
      </c>
      <c r="J896" s="1" t="s">
        <v>34</v>
      </c>
      <c r="K896" s="1" t="s">
        <v>2392</v>
      </c>
      <c r="L896" s="1" t="s">
        <v>2377</v>
      </c>
      <c r="M896" s="41">
        <v>46088</v>
      </c>
    </row>
    <row r="897" spans="1:13" x14ac:dyDescent="0.25">
      <c r="A897" s="1" t="s">
        <v>2374</v>
      </c>
      <c r="B897" s="1" t="s">
        <v>113</v>
      </c>
      <c r="C897" s="1" t="s">
        <v>7</v>
      </c>
      <c r="D897" s="1" t="s">
        <v>1415</v>
      </c>
      <c r="E897" s="1" t="s">
        <v>1416</v>
      </c>
      <c r="F897" s="1" t="s">
        <v>2375</v>
      </c>
      <c r="G897" s="1" t="s">
        <v>112</v>
      </c>
      <c r="H897" s="1" t="s">
        <v>36</v>
      </c>
      <c r="I897" s="1" t="s">
        <v>22</v>
      </c>
      <c r="J897" s="1" t="s">
        <v>34</v>
      </c>
      <c r="K897" s="1" t="s">
        <v>2393</v>
      </c>
      <c r="L897" s="1" t="s">
        <v>2377</v>
      </c>
      <c r="M897" s="41">
        <v>46087</v>
      </c>
    </row>
    <row r="898" spans="1:13" x14ac:dyDescent="0.25">
      <c r="A898" s="1" t="s">
        <v>2374</v>
      </c>
      <c r="B898" s="1" t="s">
        <v>113</v>
      </c>
      <c r="C898" s="1" t="s">
        <v>7</v>
      </c>
      <c r="D898" s="1" t="s">
        <v>1415</v>
      </c>
      <c r="E898" s="1" t="s">
        <v>1416</v>
      </c>
      <c r="F898" s="1" t="s">
        <v>2375</v>
      </c>
      <c r="G898" s="1" t="s">
        <v>112</v>
      </c>
      <c r="H898" s="1" t="s">
        <v>36</v>
      </c>
      <c r="I898" s="1" t="s">
        <v>23</v>
      </c>
      <c r="J898" s="1" t="s">
        <v>34</v>
      </c>
      <c r="K898" s="1" t="s">
        <v>2394</v>
      </c>
      <c r="L898" s="1" t="s">
        <v>2377</v>
      </c>
      <c r="M898" s="41">
        <v>46088</v>
      </c>
    </row>
    <row r="899" spans="1:13" x14ac:dyDescent="0.25">
      <c r="A899" s="1" t="s">
        <v>2374</v>
      </c>
      <c r="B899" s="1" t="s">
        <v>113</v>
      </c>
      <c r="C899" s="1" t="s">
        <v>7</v>
      </c>
      <c r="D899" s="1" t="s">
        <v>1415</v>
      </c>
      <c r="E899" s="1" t="s">
        <v>1416</v>
      </c>
      <c r="F899" s="1" t="s">
        <v>2375</v>
      </c>
      <c r="G899" s="1" t="s">
        <v>112</v>
      </c>
      <c r="H899" s="1" t="s">
        <v>36</v>
      </c>
      <c r="I899" s="1" t="s">
        <v>24</v>
      </c>
      <c r="J899" s="1" t="s">
        <v>34</v>
      </c>
      <c r="K899" s="1" t="s">
        <v>2395</v>
      </c>
      <c r="L899" s="1" t="s">
        <v>2377</v>
      </c>
      <c r="M899" s="41">
        <v>46087</v>
      </c>
    </row>
    <row r="900" spans="1:13" x14ac:dyDescent="0.25">
      <c r="A900" s="1" t="s">
        <v>2374</v>
      </c>
      <c r="B900" s="1" t="s">
        <v>113</v>
      </c>
      <c r="C900" s="1" t="s">
        <v>7</v>
      </c>
      <c r="D900" s="1" t="s">
        <v>1415</v>
      </c>
      <c r="E900" s="1" t="s">
        <v>1416</v>
      </c>
      <c r="F900" s="1" t="s">
        <v>2375</v>
      </c>
      <c r="G900" s="1" t="s">
        <v>112</v>
      </c>
      <c r="H900" s="1" t="s">
        <v>36</v>
      </c>
      <c r="I900" s="1" t="s">
        <v>25</v>
      </c>
      <c r="J900" s="1" t="s">
        <v>34</v>
      </c>
      <c r="K900" s="1" t="s">
        <v>2396</v>
      </c>
      <c r="L900" s="1" t="s">
        <v>2377</v>
      </c>
      <c r="M900" s="41">
        <v>46087</v>
      </c>
    </row>
    <row r="901" spans="1:13" x14ac:dyDescent="0.25">
      <c r="A901" s="1" t="s">
        <v>2374</v>
      </c>
      <c r="B901" s="1" t="s">
        <v>113</v>
      </c>
      <c r="C901" s="1" t="s">
        <v>7</v>
      </c>
      <c r="D901" s="1" t="s">
        <v>1415</v>
      </c>
      <c r="E901" s="1" t="s">
        <v>1416</v>
      </c>
      <c r="F901" s="1" t="s">
        <v>2375</v>
      </c>
      <c r="G901" s="1" t="s">
        <v>112</v>
      </c>
      <c r="H901" s="1" t="s">
        <v>36</v>
      </c>
      <c r="I901" s="1" t="s">
        <v>26</v>
      </c>
      <c r="J901" s="1" t="s">
        <v>34</v>
      </c>
      <c r="K901" s="1" t="s">
        <v>2397</v>
      </c>
      <c r="L901" s="1" t="s">
        <v>2377</v>
      </c>
      <c r="M901" s="41">
        <v>46087</v>
      </c>
    </row>
    <row r="902" spans="1:13" x14ac:dyDescent="0.25">
      <c r="A902" s="1" t="s">
        <v>2374</v>
      </c>
      <c r="B902" s="1" t="s">
        <v>113</v>
      </c>
      <c r="C902" s="1" t="s">
        <v>7</v>
      </c>
      <c r="D902" s="1" t="s">
        <v>1415</v>
      </c>
      <c r="E902" s="1" t="s">
        <v>1416</v>
      </c>
      <c r="F902" s="1" t="s">
        <v>2375</v>
      </c>
      <c r="G902" s="1" t="s">
        <v>112</v>
      </c>
      <c r="H902" s="1" t="s">
        <v>36</v>
      </c>
      <c r="I902" s="1" t="s">
        <v>27</v>
      </c>
      <c r="J902" s="1" t="s">
        <v>34</v>
      </c>
      <c r="K902" s="1" t="s">
        <v>2398</v>
      </c>
      <c r="L902" s="1" t="s">
        <v>2377</v>
      </c>
      <c r="M902" s="41">
        <v>46087</v>
      </c>
    </row>
    <row r="903" spans="1:13" x14ac:dyDescent="0.25">
      <c r="A903" s="1" t="s">
        <v>2374</v>
      </c>
      <c r="B903" s="1" t="s">
        <v>113</v>
      </c>
      <c r="C903" s="1" t="s">
        <v>7</v>
      </c>
      <c r="D903" s="1" t="s">
        <v>1415</v>
      </c>
      <c r="E903" s="1" t="s">
        <v>1416</v>
      </c>
      <c r="F903" s="1" t="s">
        <v>2375</v>
      </c>
      <c r="G903" s="1" t="s">
        <v>112</v>
      </c>
      <c r="H903" s="1" t="s">
        <v>36</v>
      </c>
      <c r="I903" s="1" t="s">
        <v>28</v>
      </c>
      <c r="J903" s="1" t="s">
        <v>34</v>
      </c>
      <c r="K903" s="1" t="s">
        <v>2399</v>
      </c>
      <c r="L903" s="1" t="s">
        <v>2377</v>
      </c>
      <c r="M903" s="41">
        <v>46087</v>
      </c>
    </row>
    <row r="904" spans="1:13" x14ac:dyDescent="0.25">
      <c r="A904" s="1" t="s">
        <v>2374</v>
      </c>
      <c r="B904" s="1" t="s">
        <v>113</v>
      </c>
      <c r="C904" s="1" t="s">
        <v>7</v>
      </c>
      <c r="D904" s="1" t="s">
        <v>1415</v>
      </c>
      <c r="E904" s="1" t="s">
        <v>1416</v>
      </c>
      <c r="F904" s="1" t="s">
        <v>2375</v>
      </c>
      <c r="G904" s="1" t="s">
        <v>112</v>
      </c>
      <c r="H904" s="1" t="s">
        <v>36</v>
      </c>
      <c r="I904" s="1" t="s">
        <v>56</v>
      </c>
      <c r="J904" s="1" t="s">
        <v>34</v>
      </c>
      <c r="K904" s="1" t="s">
        <v>2400</v>
      </c>
      <c r="L904" s="1" t="s">
        <v>2377</v>
      </c>
      <c r="M904" s="41" t="s">
        <v>9</v>
      </c>
    </row>
    <row r="905" spans="1:13" x14ac:dyDescent="0.25">
      <c r="A905" s="1" t="s">
        <v>2374</v>
      </c>
      <c r="B905" s="1" t="s">
        <v>113</v>
      </c>
      <c r="C905" s="1" t="s">
        <v>7</v>
      </c>
      <c r="D905" s="1" t="s">
        <v>1415</v>
      </c>
      <c r="E905" s="1" t="s">
        <v>1416</v>
      </c>
      <c r="F905" s="1" t="s">
        <v>2375</v>
      </c>
      <c r="G905" s="1" t="s">
        <v>112</v>
      </c>
      <c r="H905" s="1" t="s">
        <v>36</v>
      </c>
      <c r="I905" s="1" t="s">
        <v>29</v>
      </c>
      <c r="J905" s="1" t="s">
        <v>34</v>
      </c>
      <c r="K905" s="1" t="s">
        <v>2401</v>
      </c>
      <c r="L905" s="1" t="s">
        <v>2377</v>
      </c>
      <c r="M905" s="41">
        <v>46087</v>
      </c>
    </row>
    <row r="906" spans="1:13" x14ac:dyDescent="0.25">
      <c r="A906" s="1" t="s">
        <v>2374</v>
      </c>
      <c r="B906" s="1" t="s">
        <v>113</v>
      </c>
      <c r="C906" s="1" t="s">
        <v>7</v>
      </c>
      <c r="D906" s="1" t="s">
        <v>1415</v>
      </c>
      <c r="E906" s="1" t="s">
        <v>1416</v>
      </c>
      <c r="F906" s="1" t="s">
        <v>2375</v>
      </c>
      <c r="G906" s="1" t="s">
        <v>112</v>
      </c>
      <c r="H906" s="1" t="s">
        <v>36</v>
      </c>
      <c r="I906" s="1" t="s">
        <v>30</v>
      </c>
      <c r="J906" s="1" t="s">
        <v>34</v>
      </c>
      <c r="K906" s="1" t="s">
        <v>2402</v>
      </c>
      <c r="L906" s="1" t="s">
        <v>2377</v>
      </c>
      <c r="M906" s="41">
        <v>46136</v>
      </c>
    </row>
    <row r="907" spans="1:13" x14ac:dyDescent="0.25">
      <c r="A907" s="1" t="s">
        <v>2374</v>
      </c>
      <c r="B907" s="1" t="s">
        <v>113</v>
      </c>
      <c r="C907" s="1" t="s">
        <v>7</v>
      </c>
      <c r="D907" s="1" t="s">
        <v>1415</v>
      </c>
      <c r="E907" s="1" t="s">
        <v>1416</v>
      </c>
      <c r="F907" s="1" t="s">
        <v>2375</v>
      </c>
      <c r="G907" s="1" t="s">
        <v>112</v>
      </c>
      <c r="H907" s="1" t="s">
        <v>36</v>
      </c>
      <c r="I907" s="1" t="s">
        <v>31</v>
      </c>
      <c r="J907" s="1" t="s">
        <v>34</v>
      </c>
      <c r="K907" s="1" t="s">
        <v>2403</v>
      </c>
      <c r="L907" s="1" t="s">
        <v>2377</v>
      </c>
      <c r="M907" s="41">
        <v>46136</v>
      </c>
    </row>
    <row r="908" spans="1:13" x14ac:dyDescent="0.25">
      <c r="A908" s="1" t="s">
        <v>2374</v>
      </c>
      <c r="B908" s="1" t="s">
        <v>113</v>
      </c>
      <c r="C908" s="1" t="s">
        <v>7</v>
      </c>
      <c r="D908" s="1" t="s">
        <v>1415</v>
      </c>
      <c r="E908" s="1" t="s">
        <v>1416</v>
      </c>
      <c r="F908" s="1" t="s">
        <v>2375</v>
      </c>
      <c r="G908" s="1" t="s">
        <v>112</v>
      </c>
      <c r="H908" s="1" t="s">
        <v>36</v>
      </c>
      <c r="I908" s="1" t="s">
        <v>32</v>
      </c>
      <c r="J908" s="1" t="s">
        <v>34</v>
      </c>
      <c r="K908" s="1" t="s">
        <v>2404</v>
      </c>
      <c r="L908" s="1" t="s">
        <v>2377</v>
      </c>
      <c r="M908" s="41">
        <v>46237</v>
      </c>
    </row>
    <row r="909" spans="1:13" x14ac:dyDescent="0.25">
      <c r="A909" s="1" t="s">
        <v>2405</v>
      </c>
      <c r="B909" s="1" t="s">
        <v>45</v>
      </c>
      <c r="C909" s="1" t="s">
        <v>7</v>
      </c>
      <c r="D909" s="1" t="s">
        <v>1415</v>
      </c>
      <c r="E909" s="1" t="s">
        <v>1416</v>
      </c>
      <c r="F909" s="1" t="s">
        <v>2375</v>
      </c>
      <c r="G909" s="1" t="s">
        <v>46</v>
      </c>
      <c r="H909" s="1" t="s">
        <v>36</v>
      </c>
      <c r="I909" s="1" t="s">
        <v>20</v>
      </c>
      <c r="J909" s="1" t="s">
        <v>34</v>
      </c>
      <c r="K909" s="1" t="s">
        <v>2406</v>
      </c>
      <c r="L909" s="1" t="s">
        <v>2065</v>
      </c>
      <c r="M909" s="41">
        <v>46087</v>
      </c>
    </row>
    <row r="910" spans="1:13" x14ac:dyDescent="0.25">
      <c r="A910" s="1" t="s">
        <v>2405</v>
      </c>
      <c r="B910" s="1" t="s">
        <v>45</v>
      </c>
      <c r="C910" s="1" t="s">
        <v>7</v>
      </c>
      <c r="D910" s="1" t="s">
        <v>1415</v>
      </c>
      <c r="E910" s="1" t="s">
        <v>1416</v>
      </c>
      <c r="F910" s="1" t="s">
        <v>2375</v>
      </c>
      <c r="G910" s="1" t="s">
        <v>46</v>
      </c>
      <c r="H910" s="1" t="s">
        <v>36</v>
      </c>
      <c r="I910" s="1" t="s">
        <v>21</v>
      </c>
      <c r="J910" s="1" t="s">
        <v>34</v>
      </c>
      <c r="K910" s="1" t="s">
        <v>2407</v>
      </c>
      <c r="L910" s="1" t="s">
        <v>2065</v>
      </c>
      <c r="M910" s="41">
        <v>46087</v>
      </c>
    </row>
    <row r="911" spans="1:13" x14ac:dyDescent="0.25">
      <c r="A911" s="1" t="s">
        <v>2405</v>
      </c>
      <c r="B911" s="1" t="s">
        <v>45</v>
      </c>
      <c r="C911" s="1" t="s">
        <v>7</v>
      </c>
      <c r="D911" s="1" t="s">
        <v>1415</v>
      </c>
      <c r="E911" s="1" t="s">
        <v>1416</v>
      </c>
      <c r="F911" s="1" t="s">
        <v>2375</v>
      </c>
      <c r="G911" s="1" t="s">
        <v>46</v>
      </c>
      <c r="H911" s="1" t="s">
        <v>36</v>
      </c>
      <c r="I911" s="1" t="s">
        <v>22</v>
      </c>
      <c r="J911" s="1" t="s">
        <v>34</v>
      </c>
      <c r="K911" s="1" t="s">
        <v>2408</v>
      </c>
      <c r="L911" s="1" t="s">
        <v>2065</v>
      </c>
      <c r="M911" s="41">
        <v>46087</v>
      </c>
    </row>
    <row r="912" spans="1:13" x14ac:dyDescent="0.25">
      <c r="A912" s="1" t="s">
        <v>2405</v>
      </c>
      <c r="B912" s="1" t="s">
        <v>45</v>
      </c>
      <c r="C912" s="1" t="s">
        <v>7</v>
      </c>
      <c r="D912" s="1" t="s">
        <v>1415</v>
      </c>
      <c r="E912" s="1" t="s">
        <v>1416</v>
      </c>
      <c r="F912" s="1" t="s">
        <v>2375</v>
      </c>
      <c r="G912" s="1" t="s">
        <v>46</v>
      </c>
      <c r="H912" s="1" t="s">
        <v>36</v>
      </c>
      <c r="I912" s="1" t="s">
        <v>23</v>
      </c>
      <c r="J912" s="1" t="s">
        <v>34</v>
      </c>
      <c r="K912" s="1" t="s">
        <v>2409</v>
      </c>
      <c r="L912" s="1" t="s">
        <v>2065</v>
      </c>
      <c r="M912" s="41">
        <v>46087</v>
      </c>
    </row>
    <row r="913" spans="1:13" x14ac:dyDescent="0.25">
      <c r="A913" s="1" t="s">
        <v>2405</v>
      </c>
      <c r="B913" s="1" t="s">
        <v>45</v>
      </c>
      <c r="C913" s="1" t="s">
        <v>7</v>
      </c>
      <c r="D913" s="1" t="s">
        <v>1415</v>
      </c>
      <c r="E913" s="1" t="s">
        <v>1416</v>
      </c>
      <c r="F913" s="1" t="s">
        <v>2375</v>
      </c>
      <c r="G913" s="1" t="s">
        <v>46</v>
      </c>
      <c r="H913" s="1" t="s">
        <v>36</v>
      </c>
      <c r="I913" s="1" t="s">
        <v>24</v>
      </c>
      <c r="J913" s="1" t="s">
        <v>34</v>
      </c>
      <c r="K913" s="1" t="s">
        <v>2410</v>
      </c>
      <c r="L913" s="1" t="s">
        <v>2065</v>
      </c>
      <c r="M913" s="41">
        <v>46087</v>
      </c>
    </row>
    <row r="914" spans="1:13" x14ac:dyDescent="0.25">
      <c r="A914" s="1" t="s">
        <v>2405</v>
      </c>
      <c r="B914" s="1" t="s">
        <v>45</v>
      </c>
      <c r="C914" s="1" t="s">
        <v>7</v>
      </c>
      <c r="D914" s="1" t="s">
        <v>1415</v>
      </c>
      <c r="E914" s="1" t="s">
        <v>1416</v>
      </c>
      <c r="F914" s="1" t="s">
        <v>2375</v>
      </c>
      <c r="G914" s="1" t="s">
        <v>46</v>
      </c>
      <c r="H914" s="1" t="s">
        <v>36</v>
      </c>
      <c r="I914" s="1" t="s">
        <v>25</v>
      </c>
      <c r="J914" s="1" t="s">
        <v>34</v>
      </c>
      <c r="K914" s="1" t="s">
        <v>2411</v>
      </c>
      <c r="L914" s="1" t="s">
        <v>2065</v>
      </c>
      <c r="M914" s="41">
        <v>46294</v>
      </c>
    </row>
    <row r="915" spans="1:13" x14ac:dyDescent="0.25">
      <c r="A915" s="1" t="s">
        <v>2405</v>
      </c>
      <c r="B915" s="1" t="s">
        <v>45</v>
      </c>
      <c r="C915" s="1" t="s">
        <v>7</v>
      </c>
      <c r="D915" s="1" t="s">
        <v>1415</v>
      </c>
      <c r="E915" s="1" t="s">
        <v>1416</v>
      </c>
      <c r="F915" s="1" t="s">
        <v>2375</v>
      </c>
      <c r="G915" s="1" t="s">
        <v>46</v>
      </c>
      <c r="H915" s="1" t="s">
        <v>36</v>
      </c>
      <c r="I915" s="1" t="s">
        <v>26</v>
      </c>
      <c r="J915" s="1" t="s">
        <v>34</v>
      </c>
      <c r="K915" s="1" t="s">
        <v>2412</v>
      </c>
      <c r="L915" s="1" t="s">
        <v>2065</v>
      </c>
      <c r="M915" s="41">
        <v>46294</v>
      </c>
    </row>
    <row r="916" spans="1:13" x14ac:dyDescent="0.25">
      <c r="A916" s="1" t="s">
        <v>2405</v>
      </c>
      <c r="B916" s="1" t="s">
        <v>45</v>
      </c>
      <c r="C916" s="1" t="s">
        <v>7</v>
      </c>
      <c r="D916" s="1" t="s">
        <v>1415</v>
      </c>
      <c r="E916" s="1" t="s">
        <v>1416</v>
      </c>
      <c r="F916" s="1" t="s">
        <v>2375</v>
      </c>
      <c r="G916" s="1" t="s">
        <v>46</v>
      </c>
      <c r="H916" s="1" t="s">
        <v>36</v>
      </c>
      <c r="I916" s="1" t="s">
        <v>27</v>
      </c>
      <c r="J916" s="1" t="s">
        <v>34</v>
      </c>
      <c r="K916" s="1" t="s">
        <v>2413</v>
      </c>
      <c r="L916" s="1" t="s">
        <v>2065</v>
      </c>
      <c r="M916" s="41">
        <v>46294</v>
      </c>
    </row>
    <row r="917" spans="1:13" x14ac:dyDescent="0.25">
      <c r="A917" s="1" t="s">
        <v>2405</v>
      </c>
      <c r="B917" s="1" t="s">
        <v>45</v>
      </c>
      <c r="C917" s="1" t="s">
        <v>7</v>
      </c>
      <c r="D917" s="1" t="s">
        <v>1415</v>
      </c>
      <c r="E917" s="1" t="s">
        <v>1416</v>
      </c>
      <c r="F917" s="1" t="s">
        <v>2375</v>
      </c>
      <c r="G917" s="1" t="s">
        <v>46</v>
      </c>
      <c r="H917" s="1" t="s">
        <v>36</v>
      </c>
      <c r="I917" s="1" t="s">
        <v>28</v>
      </c>
      <c r="J917" s="1" t="s">
        <v>34</v>
      </c>
      <c r="K917" s="1" t="s">
        <v>2414</v>
      </c>
      <c r="L917" s="1" t="s">
        <v>2065</v>
      </c>
      <c r="M917" s="41">
        <v>46294</v>
      </c>
    </row>
    <row r="918" spans="1:13" x14ac:dyDescent="0.25">
      <c r="A918" s="1" t="s">
        <v>2405</v>
      </c>
      <c r="B918" s="1" t="s">
        <v>45</v>
      </c>
      <c r="C918" s="1" t="s">
        <v>7</v>
      </c>
      <c r="D918" s="1" t="s">
        <v>1415</v>
      </c>
      <c r="E918" s="1" t="s">
        <v>1416</v>
      </c>
      <c r="F918" s="1" t="s">
        <v>2375</v>
      </c>
      <c r="G918" s="1" t="s">
        <v>46</v>
      </c>
      <c r="H918" s="1" t="s">
        <v>36</v>
      </c>
      <c r="I918" s="1" t="s">
        <v>29</v>
      </c>
      <c r="J918" s="1" t="s">
        <v>34</v>
      </c>
      <c r="K918" s="1" t="s">
        <v>2415</v>
      </c>
      <c r="L918" s="1" t="s">
        <v>2065</v>
      </c>
      <c r="M918" s="41">
        <v>46294</v>
      </c>
    </row>
    <row r="919" spans="1:13" x14ac:dyDescent="0.25">
      <c r="A919" s="1" t="s">
        <v>2405</v>
      </c>
      <c r="B919" s="1" t="s">
        <v>45</v>
      </c>
      <c r="C919" s="1" t="s">
        <v>7</v>
      </c>
      <c r="D919" s="1" t="s">
        <v>1415</v>
      </c>
      <c r="E919" s="1" t="s">
        <v>1416</v>
      </c>
      <c r="F919" s="1" t="s">
        <v>2375</v>
      </c>
      <c r="G919" s="1" t="s">
        <v>46</v>
      </c>
      <c r="H919" s="1" t="s">
        <v>36</v>
      </c>
      <c r="I919" s="1" t="s">
        <v>30</v>
      </c>
      <c r="J919" s="1" t="s">
        <v>34</v>
      </c>
      <c r="K919" s="1" t="s">
        <v>2416</v>
      </c>
      <c r="L919" s="1" t="s">
        <v>2065</v>
      </c>
      <c r="M919" s="41">
        <v>46087</v>
      </c>
    </row>
    <row r="920" spans="1:13" x14ac:dyDescent="0.25">
      <c r="A920" s="1" t="s">
        <v>2405</v>
      </c>
      <c r="B920" s="1" t="s">
        <v>45</v>
      </c>
      <c r="C920" s="1" t="s">
        <v>7</v>
      </c>
      <c r="D920" s="1" t="s">
        <v>1415</v>
      </c>
      <c r="E920" s="1" t="s">
        <v>1416</v>
      </c>
      <c r="F920" s="1" t="s">
        <v>2375</v>
      </c>
      <c r="G920" s="1" t="s">
        <v>46</v>
      </c>
      <c r="H920" s="1" t="s">
        <v>36</v>
      </c>
      <c r="I920" s="1" t="s">
        <v>31</v>
      </c>
      <c r="J920" s="1" t="s">
        <v>34</v>
      </c>
      <c r="K920" s="1" t="s">
        <v>2417</v>
      </c>
      <c r="L920" s="1" t="s">
        <v>2065</v>
      </c>
      <c r="M920" s="41">
        <v>46087</v>
      </c>
    </row>
    <row r="921" spans="1:13" x14ac:dyDescent="0.25">
      <c r="A921" s="1" t="s">
        <v>2405</v>
      </c>
      <c r="B921" s="1" t="s">
        <v>45</v>
      </c>
      <c r="C921" s="1" t="s">
        <v>7</v>
      </c>
      <c r="D921" s="1" t="s">
        <v>1415</v>
      </c>
      <c r="E921" s="1" t="s">
        <v>1416</v>
      </c>
      <c r="F921" s="1" t="s">
        <v>2375</v>
      </c>
      <c r="G921" s="1" t="s">
        <v>46</v>
      </c>
      <c r="H921" s="1" t="s">
        <v>36</v>
      </c>
      <c r="I921" s="1" t="s">
        <v>32</v>
      </c>
      <c r="J921" s="1" t="s">
        <v>34</v>
      </c>
      <c r="K921" s="1" t="s">
        <v>2418</v>
      </c>
      <c r="L921" s="1" t="s">
        <v>2065</v>
      </c>
      <c r="M921" s="41">
        <v>46087</v>
      </c>
    </row>
    <row r="922" spans="1:13" x14ac:dyDescent="0.25">
      <c r="A922" s="1" t="s">
        <v>2419</v>
      </c>
      <c r="B922" s="1" t="s">
        <v>115</v>
      </c>
      <c r="C922" s="1" t="s">
        <v>7</v>
      </c>
      <c r="D922" s="1" t="s">
        <v>1415</v>
      </c>
      <c r="E922" s="1" t="s">
        <v>1416</v>
      </c>
      <c r="F922" s="1" t="s">
        <v>2420</v>
      </c>
      <c r="G922" s="1" t="s">
        <v>46</v>
      </c>
      <c r="H922" s="1" t="s">
        <v>36</v>
      </c>
      <c r="I922" s="1" t="s">
        <v>20</v>
      </c>
      <c r="J922" s="1" t="s">
        <v>34</v>
      </c>
      <c r="K922" s="1" t="s">
        <v>2421</v>
      </c>
      <c r="L922" s="1" t="s">
        <v>2065</v>
      </c>
      <c r="M922" s="41">
        <v>46087</v>
      </c>
    </row>
    <row r="923" spans="1:13" x14ac:dyDescent="0.25">
      <c r="A923" s="1" t="s">
        <v>2419</v>
      </c>
      <c r="B923" s="1" t="s">
        <v>115</v>
      </c>
      <c r="C923" s="1" t="s">
        <v>7</v>
      </c>
      <c r="D923" s="1" t="s">
        <v>1415</v>
      </c>
      <c r="E923" s="1" t="s">
        <v>1416</v>
      </c>
      <c r="F923" s="1" t="s">
        <v>2420</v>
      </c>
      <c r="G923" s="1" t="s">
        <v>46</v>
      </c>
      <c r="H923" s="1" t="s">
        <v>36</v>
      </c>
      <c r="I923" s="1" t="s">
        <v>21</v>
      </c>
      <c r="J923" s="1" t="s">
        <v>34</v>
      </c>
      <c r="K923" s="1" t="s">
        <v>2422</v>
      </c>
      <c r="L923" s="1" t="s">
        <v>2065</v>
      </c>
      <c r="M923" s="41">
        <v>46302</v>
      </c>
    </row>
    <row r="924" spans="1:13" x14ac:dyDescent="0.25">
      <c r="A924" s="1" t="s">
        <v>2419</v>
      </c>
      <c r="B924" s="1" t="s">
        <v>115</v>
      </c>
      <c r="C924" s="1" t="s">
        <v>7</v>
      </c>
      <c r="D924" s="1" t="s">
        <v>1415</v>
      </c>
      <c r="E924" s="1" t="s">
        <v>1416</v>
      </c>
      <c r="F924" s="1" t="s">
        <v>2420</v>
      </c>
      <c r="G924" s="1" t="s">
        <v>46</v>
      </c>
      <c r="H924" s="1" t="s">
        <v>36</v>
      </c>
      <c r="I924" s="1" t="s">
        <v>22</v>
      </c>
      <c r="J924" s="1" t="s">
        <v>34</v>
      </c>
      <c r="K924" s="1" t="s">
        <v>2423</v>
      </c>
      <c r="L924" s="1" t="s">
        <v>2065</v>
      </c>
      <c r="M924" s="41">
        <v>46188</v>
      </c>
    </row>
    <row r="925" spans="1:13" x14ac:dyDescent="0.25">
      <c r="A925" s="1" t="s">
        <v>2419</v>
      </c>
      <c r="B925" s="1" t="s">
        <v>115</v>
      </c>
      <c r="C925" s="1" t="s">
        <v>7</v>
      </c>
      <c r="D925" s="1" t="s">
        <v>1415</v>
      </c>
      <c r="E925" s="1" t="s">
        <v>1416</v>
      </c>
      <c r="F925" s="1" t="s">
        <v>2420</v>
      </c>
      <c r="G925" s="1" t="s">
        <v>46</v>
      </c>
      <c r="H925" s="1" t="s">
        <v>36</v>
      </c>
      <c r="I925" s="1" t="s">
        <v>23</v>
      </c>
      <c r="J925" s="1" t="s">
        <v>34</v>
      </c>
      <c r="K925" s="1" t="s">
        <v>2424</v>
      </c>
      <c r="L925" s="1" t="s">
        <v>2065</v>
      </c>
      <c r="M925" s="41">
        <v>46188</v>
      </c>
    </row>
    <row r="926" spans="1:13" x14ac:dyDescent="0.25">
      <c r="A926" s="1" t="s">
        <v>2419</v>
      </c>
      <c r="B926" s="1" t="s">
        <v>115</v>
      </c>
      <c r="C926" s="1" t="s">
        <v>7</v>
      </c>
      <c r="D926" s="1" t="s">
        <v>1415</v>
      </c>
      <c r="E926" s="1" t="s">
        <v>1416</v>
      </c>
      <c r="F926" s="1" t="s">
        <v>2420</v>
      </c>
      <c r="G926" s="1" t="s">
        <v>46</v>
      </c>
      <c r="H926" s="1" t="s">
        <v>36</v>
      </c>
      <c r="I926" s="1" t="s">
        <v>24</v>
      </c>
      <c r="J926" s="1" t="s">
        <v>34</v>
      </c>
      <c r="K926" s="1" t="s">
        <v>2425</v>
      </c>
      <c r="L926" s="1" t="s">
        <v>2065</v>
      </c>
      <c r="M926" s="41">
        <v>46087</v>
      </c>
    </row>
    <row r="927" spans="1:13" x14ac:dyDescent="0.25">
      <c r="A927" s="1" t="s">
        <v>2419</v>
      </c>
      <c r="B927" s="1" t="s">
        <v>115</v>
      </c>
      <c r="C927" s="1" t="s">
        <v>7</v>
      </c>
      <c r="D927" s="1" t="s">
        <v>1415</v>
      </c>
      <c r="E927" s="1" t="s">
        <v>1416</v>
      </c>
      <c r="F927" s="1" t="s">
        <v>2420</v>
      </c>
      <c r="G927" s="1" t="s">
        <v>46</v>
      </c>
      <c r="H927" s="1" t="s">
        <v>36</v>
      </c>
      <c r="I927" s="1" t="s">
        <v>25</v>
      </c>
      <c r="J927" s="1" t="s">
        <v>34</v>
      </c>
      <c r="K927" s="1" t="s">
        <v>2426</v>
      </c>
      <c r="L927" s="1" t="s">
        <v>2065</v>
      </c>
      <c r="M927" s="41">
        <v>46087</v>
      </c>
    </row>
    <row r="928" spans="1:13" x14ac:dyDescent="0.25">
      <c r="A928" s="1" t="s">
        <v>2419</v>
      </c>
      <c r="B928" s="1" t="s">
        <v>115</v>
      </c>
      <c r="C928" s="1" t="s">
        <v>7</v>
      </c>
      <c r="D928" s="1" t="s">
        <v>1415</v>
      </c>
      <c r="E928" s="1" t="s">
        <v>1416</v>
      </c>
      <c r="F928" s="1" t="s">
        <v>2420</v>
      </c>
      <c r="G928" s="1" t="s">
        <v>46</v>
      </c>
      <c r="H928" s="1" t="s">
        <v>36</v>
      </c>
      <c r="I928" s="1" t="s">
        <v>26</v>
      </c>
      <c r="J928" s="1" t="s">
        <v>34</v>
      </c>
      <c r="K928" s="1" t="s">
        <v>2427</v>
      </c>
      <c r="L928" s="1" t="s">
        <v>2065</v>
      </c>
      <c r="M928" s="41">
        <v>46188</v>
      </c>
    </row>
    <row r="929" spans="1:13" x14ac:dyDescent="0.25">
      <c r="A929" s="1" t="s">
        <v>2419</v>
      </c>
      <c r="B929" s="1" t="s">
        <v>115</v>
      </c>
      <c r="C929" s="1" t="s">
        <v>7</v>
      </c>
      <c r="D929" s="1" t="s">
        <v>1415</v>
      </c>
      <c r="E929" s="1" t="s">
        <v>1416</v>
      </c>
      <c r="F929" s="1" t="s">
        <v>2420</v>
      </c>
      <c r="G929" s="1" t="s">
        <v>46</v>
      </c>
      <c r="H929" s="1" t="s">
        <v>36</v>
      </c>
      <c r="I929" s="1" t="s">
        <v>27</v>
      </c>
      <c r="J929" s="1" t="s">
        <v>34</v>
      </c>
      <c r="K929" s="1" t="s">
        <v>2428</v>
      </c>
      <c r="L929" s="1" t="s">
        <v>2065</v>
      </c>
      <c r="M929" s="41">
        <v>46087</v>
      </c>
    </row>
    <row r="930" spans="1:13" x14ac:dyDescent="0.25">
      <c r="A930" s="1" t="s">
        <v>2419</v>
      </c>
      <c r="B930" s="1" t="s">
        <v>115</v>
      </c>
      <c r="C930" s="1" t="s">
        <v>7</v>
      </c>
      <c r="D930" s="1" t="s">
        <v>1415</v>
      </c>
      <c r="E930" s="1" t="s">
        <v>1416</v>
      </c>
      <c r="F930" s="1" t="s">
        <v>2420</v>
      </c>
      <c r="G930" s="1" t="s">
        <v>46</v>
      </c>
      <c r="H930" s="1" t="s">
        <v>36</v>
      </c>
      <c r="I930" s="1" t="s">
        <v>28</v>
      </c>
      <c r="J930" s="1" t="s">
        <v>34</v>
      </c>
      <c r="K930" s="1" t="s">
        <v>2429</v>
      </c>
      <c r="L930" s="1" t="s">
        <v>2065</v>
      </c>
      <c r="M930" s="41">
        <v>46188</v>
      </c>
    </row>
    <row r="931" spans="1:13" x14ac:dyDescent="0.25">
      <c r="A931" s="1" t="s">
        <v>2419</v>
      </c>
      <c r="B931" s="1" t="s">
        <v>115</v>
      </c>
      <c r="C931" s="1" t="s">
        <v>7</v>
      </c>
      <c r="D931" s="1" t="s">
        <v>1415</v>
      </c>
      <c r="E931" s="1" t="s">
        <v>1416</v>
      </c>
      <c r="F931" s="1" t="s">
        <v>2420</v>
      </c>
      <c r="G931" s="1" t="s">
        <v>46</v>
      </c>
      <c r="H931" s="1" t="s">
        <v>36</v>
      </c>
      <c r="I931" s="1" t="s">
        <v>29</v>
      </c>
      <c r="J931" s="1" t="s">
        <v>34</v>
      </c>
      <c r="K931" s="1" t="s">
        <v>2430</v>
      </c>
      <c r="L931" s="1" t="s">
        <v>2065</v>
      </c>
      <c r="M931" s="41">
        <v>46087</v>
      </c>
    </row>
    <row r="932" spans="1:13" x14ac:dyDescent="0.25">
      <c r="A932" s="1" t="s">
        <v>2419</v>
      </c>
      <c r="B932" s="1" t="s">
        <v>115</v>
      </c>
      <c r="C932" s="1" t="s">
        <v>7</v>
      </c>
      <c r="D932" s="1" t="s">
        <v>1415</v>
      </c>
      <c r="E932" s="1" t="s">
        <v>1416</v>
      </c>
      <c r="F932" s="1" t="s">
        <v>2420</v>
      </c>
      <c r="G932" s="1" t="s">
        <v>46</v>
      </c>
      <c r="H932" s="1" t="s">
        <v>36</v>
      </c>
      <c r="I932" s="1" t="s">
        <v>30</v>
      </c>
      <c r="J932" s="1" t="s">
        <v>34</v>
      </c>
      <c r="K932" s="1" t="s">
        <v>2431</v>
      </c>
      <c r="L932" s="1" t="s">
        <v>2065</v>
      </c>
      <c r="M932" s="41">
        <v>46087</v>
      </c>
    </row>
    <row r="933" spans="1:13" x14ac:dyDescent="0.25">
      <c r="A933" s="1" t="s">
        <v>2419</v>
      </c>
      <c r="B933" s="1" t="s">
        <v>115</v>
      </c>
      <c r="C933" s="1" t="s">
        <v>7</v>
      </c>
      <c r="D933" s="1" t="s">
        <v>1415</v>
      </c>
      <c r="E933" s="1" t="s">
        <v>1416</v>
      </c>
      <c r="F933" s="1" t="s">
        <v>2420</v>
      </c>
      <c r="G933" s="1" t="s">
        <v>46</v>
      </c>
      <c r="H933" s="1" t="s">
        <v>36</v>
      </c>
      <c r="I933" s="1" t="s">
        <v>31</v>
      </c>
      <c r="J933" s="1" t="s">
        <v>34</v>
      </c>
      <c r="K933" s="1" t="s">
        <v>2432</v>
      </c>
      <c r="L933" s="1" t="s">
        <v>2065</v>
      </c>
      <c r="M933" s="41">
        <v>46087</v>
      </c>
    </row>
    <row r="934" spans="1:13" x14ac:dyDescent="0.25">
      <c r="A934" s="1" t="s">
        <v>2419</v>
      </c>
      <c r="B934" s="1" t="s">
        <v>115</v>
      </c>
      <c r="C934" s="1" t="s">
        <v>7</v>
      </c>
      <c r="D934" s="1" t="s">
        <v>1415</v>
      </c>
      <c r="E934" s="1" t="s">
        <v>1416</v>
      </c>
      <c r="F934" s="1" t="s">
        <v>2420</v>
      </c>
      <c r="G934" s="1" t="s">
        <v>46</v>
      </c>
      <c r="H934" s="1" t="s">
        <v>36</v>
      </c>
      <c r="I934" s="1" t="s">
        <v>32</v>
      </c>
      <c r="J934" s="1" t="s">
        <v>34</v>
      </c>
      <c r="K934" s="1" t="s">
        <v>2433</v>
      </c>
      <c r="L934" s="1" t="s">
        <v>2065</v>
      </c>
      <c r="M934" s="41">
        <v>46087</v>
      </c>
    </row>
    <row r="935" spans="1:13" x14ac:dyDescent="0.25">
      <c r="A935" s="1" t="s">
        <v>2434</v>
      </c>
      <c r="B935" s="1" t="s">
        <v>116</v>
      </c>
      <c r="C935" s="1" t="s">
        <v>7</v>
      </c>
      <c r="D935" s="1" t="s">
        <v>1415</v>
      </c>
      <c r="E935" s="1" t="s">
        <v>1416</v>
      </c>
      <c r="F935" s="1" t="s">
        <v>2420</v>
      </c>
      <c r="G935" s="1" t="s">
        <v>46</v>
      </c>
      <c r="H935" s="1" t="s">
        <v>36</v>
      </c>
      <c r="I935" s="1" t="s">
        <v>20</v>
      </c>
      <c r="J935" s="1" t="s">
        <v>57</v>
      </c>
      <c r="K935" s="1" t="s">
        <v>2435</v>
      </c>
      <c r="L935" s="1" t="s">
        <v>2210</v>
      </c>
      <c r="M935" s="41" t="s">
        <v>9</v>
      </c>
    </row>
    <row r="936" spans="1:13" x14ac:dyDescent="0.25">
      <c r="A936" s="1" t="s">
        <v>2434</v>
      </c>
      <c r="B936" s="1" t="s">
        <v>116</v>
      </c>
      <c r="C936" s="1" t="s">
        <v>7</v>
      </c>
      <c r="D936" s="1" t="s">
        <v>1415</v>
      </c>
      <c r="E936" s="1" t="s">
        <v>1416</v>
      </c>
      <c r="F936" s="1" t="s">
        <v>2420</v>
      </c>
      <c r="G936" s="1" t="s">
        <v>46</v>
      </c>
      <c r="H936" s="1" t="s">
        <v>36</v>
      </c>
      <c r="I936" s="1" t="s">
        <v>21</v>
      </c>
      <c r="J936" s="1" t="s">
        <v>57</v>
      </c>
      <c r="K936" s="1" t="s">
        <v>2436</v>
      </c>
      <c r="L936" s="1" t="s">
        <v>2210</v>
      </c>
      <c r="M936" s="41" t="s">
        <v>9</v>
      </c>
    </row>
    <row r="937" spans="1:13" x14ac:dyDescent="0.25">
      <c r="A937" s="1" t="s">
        <v>2434</v>
      </c>
      <c r="B937" s="1" t="s">
        <v>116</v>
      </c>
      <c r="C937" s="1" t="s">
        <v>7</v>
      </c>
      <c r="D937" s="1" t="s">
        <v>1415</v>
      </c>
      <c r="E937" s="1" t="s">
        <v>1416</v>
      </c>
      <c r="F937" s="1" t="s">
        <v>2420</v>
      </c>
      <c r="G937" s="1" t="s">
        <v>46</v>
      </c>
      <c r="H937" s="1" t="s">
        <v>36</v>
      </c>
      <c r="I937" s="1" t="s">
        <v>22</v>
      </c>
      <c r="J937" s="1" t="s">
        <v>57</v>
      </c>
      <c r="K937" s="1" t="s">
        <v>2437</v>
      </c>
      <c r="L937" s="1" t="s">
        <v>2210</v>
      </c>
      <c r="M937" s="41" t="s">
        <v>9</v>
      </c>
    </row>
    <row r="938" spans="1:13" x14ac:dyDescent="0.25">
      <c r="A938" s="1" t="s">
        <v>2434</v>
      </c>
      <c r="B938" s="1" t="s">
        <v>116</v>
      </c>
      <c r="C938" s="1" t="s">
        <v>7</v>
      </c>
      <c r="D938" s="1" t="s">
        <v>1415</v>
      </c>
      <c r="E938" s="1" t="s">
        <v>1416</v>
      </c>
      <c r="F938" s="1" t="s">
        <v>2420</v>
      </c>
      <c r="G938" s="1" t="s">
        <v>46</v>
      </c>
      <c r="H938" s="1" t="s">
        <v>36</v>
      </c>
      <c r="I938" s="1" t="s">
        <v>23</v>
      </c>
      <c r="J938" s="1" t="s">
        <v>57</v>
      </c>
      <c r="K938" s="1" t="s">
        <v>2438</v>
      </c>
      <c r="L938" s="1" t="s">
        <v>2210</v>
      </c>
      <c r="M938" s="41" t="s">
        <v>9</v>
      </c>
    </row>
    <row r="939" spans="1:13" x14ac:dyDescent="0.25">
      <c r="A939" s="1" t="s">
        <v>2434</v>
      </c>
      <c r="B939" s="1" t="s">
        <v>116</v>
      </c>
      <c r="C939" s="1" t="s">
        <v>7</v>
      </c>
      <c r="D939" s="1" t="s">
        <v>1415</v>
      </c>
      <c r="E939" s="1" t="s">
        <v>1416</v>
      </c>
      <c r="F939" s="1" t="s">
        <v>2420</v>
      </c>
      <c r="G939" s="1" t="s">
        <v>46</v>
      </c>
      <c r="H939" s="1" t="s">
        <v>36</v>
      </c>
      <c r="I939" s="1" t="s">
        <v>24</v>
      </c>
      <c r="J939" s="1" t="s">
        <v>57</v>
      </c>
      <c r="K939" s="1" t="s">
        <v>2439</v>
      </c>
      <c r="L939" s="1" t="s">
        <v>2210</v>
      </c>
      <c r="M939" s="41" t="s">
        <v>9</v>
      </c>
    </row>
    <row r="940" spans="1:13" x14ac:dyDescent="0.25">
      <c r="A940" s="1" t="s">
        <v>2434</v>
      </c>
      <c r="B940" s="1" t="s">
        <v>116</v>
      </c>
      <c r="C940" s="1" t="s">
        <v>7</v>
      </c>
      <c r="D940" s="1" t="s">
        <v>1415</v>
      </c>
      <c r="E940" s="1" t="s">
        <v>1416</v>
      </c>
      <c r="F940" s="1" t="s">
        <v>2420</v>
      </c>
      <c r="G940" s="1" t="s">
        <v>46</v>
      </c>
      <c r="H940" s="1" t="s">
        <v>36</v>
      </c>
      <c r="I940" s="1" t="s">
        <v>25</v>
      </c>
      <c r="J940" s="1" t="s">
        <v>57</v>
      </c>
      <c r="K940" s="1" t="s">
        <v>2440</v>
      </c>
      <c r="L940" s="1" t="s">
        <v>2210</v>
      </c>
      <c r="M940" s="41" t="s">
        <v>9</v>
      </c>
    </row>
    <row r="941" spans="1:13" x14ac:dyDescent="0.25">
      <c r="A941" s="1" t="s">
        <v>2434</v>
      </c>
      <c r="B941" s="1" t="s">
        <v>116</v>
      </c>
      <c r="C941" s="1" t="s">
        <v>7</v>
      </c>
      <c r="D941" s="1" t="s">
        <v>1415</v>
      </c>
      <c r="E941" s="1" t="s">
        <v>1416</v>
      </c>
      <c r="F941" s="1" t="s">
        <v>2420</v>
      </c>
      <c r="G941" s="1" t="s">
        <v>46</v>
      </c>
      <c r="H941" s="1" t="s">
        <v>36</v>
      </c>
      <c r="I941" s="1" t="s">
        <v>26</v>
      </c>
      <c r="J941" s="1" t="s">
        <v>57</v>
      </c>
      <c r="K941" s="1" t="s">
        <v>2441</v>
      </c>
      <c r="L941" s="1" t="s">
        <v>2210</v>
      </c>
      <c r="M941" s="41" t="s">
        <v>9</v>
      </c>
    </row>
    <row r="942" spans="1:13" x14ac:dyDescent="0.25">
      <c r="A942" s="1" t="s">
        <v>2434</v>
      </c>
      <c r="B942" s="1" t="s">
        <v>116</v>
      </c>
      <c r="C942" s="1" t="s">
        <v>7</v>
      </c>
      <c r="D942" s="1" t="s">
        <v>1415</v>
      </c>
      <c r="E942" s="1" t="s">
        <v>1416</v>
      </c>
      <c r="F942" s="1" t="s">
        <v>2420</v>
      </c>
      <c r="G942" s="1" t="s">
        <v>46</v>
      </c>
      <c r="H942" s="1" t="s">
        <v>36</v>
      </c>
      <c r="I942" s="1" t="s">
        <v>27</v>
      </c>
      <c r="J942" s="1" t="s">
        <v>57</v>
      </c>
      <c r="K942" s="1" t="s">
        <v>2442</v>
      </c>
      <c r="L942" s="1" t="s">
        <v>2210</v>
      </c>
      <c r="M942" s="41" t="s">
        <v>9</v>
      </c>
    </row>
    <row r="943" spans="1:13" x14ac:dyDescent="0.25">
      <c r="A943" s="1" t="s">
        <v>2434</v>
      </c>
      <c r="B943" s="1" t="s">
        <v>116</v>
      </c>
      <c r="C943" s="1" t="s">
        <v>7</v>
      </c>
      <c r="D943" s="1" t="s">
        <v>1415</v>
      </c>
      <c r="E943" s="1" t="s">
        <v>1416</v>
      </c>
      <c r="F943" s="1" t="s">
        <v>2420</v>
      </c>
      <c r="G943" s="1" t="s">
        <v>46</v>
      </c>
      <c r="H943" s="1" t="s">
        <v>36</v>
      </c>
      <c r="I943" s="1" t="s">
        <v>28</v>
      </c>
      <c r="J943" s="1" t="s">
        <v>57</v>
      </c>
      <c r="K943" s="1" t="s">
        <v>2443</v>
      </c>
      <c r="L943" s="1" t="s">
        <v>2210</v>
      </c>
      <c r="M943" s="41" t="s">
        <v>9</v>
      </c>
    </row>
    <row r="944" spans="1:13" x14ac:dyDescent="0.25">
      <c r="A944" s="1" t="s">
        <v>2434</v>
      </c>
      <c r="B944" s="1" t="s">
        <v>116</v>
      </c>
      <c r="C944" s="1" t="s">
        <v>7</v>
      </c>
      <c r="D944" s="1" t="s">
        <v>1415</v>
      </c>
      <c r="E944" s="1" t="s">
        <v>1416</v>
      </c>
      <c r="F944" s="1" t="s">
        <v>2420</v>
      </c>
      <c r="G944" s="1" t="s">
        <v>46</v>
      </c>
      <c r="H944" s="1" t="s">
        <v>36</v>
      </c>
      <c r="I944" s="1" t="s">
        <v>56</v>
      </c>
      <c r="J944" s="1" t="s">
        <v>57</v>
      </c>
      <c r="K944" s="1" t="s">
        <v>2444</v>
      </c>
      <c r="L944" s="1" t="s">
        <v>2210</v>
      </c>
      <c r="M944" s="41" t="s">
        <v>9</v>
      </c>
    </row>
    <row r="945" spans="1:13" x14ac:dyDescent="0.25">
      <c r="A945" s="1" t="s">
        <v>2434</v>
      </c>
      <c r="B945" s="1" t="s">
        <v>116</v>
      </c>
      <c r="C945" s="1" t="s">
        <v>7</v>
      </c>
      <c r="D945" s="1" t="s">
        <v>1415</v>
      </c>
      <c r="E945" s="1" t="s">
        <v>1416</v>
      </c>
      <c r="F945" s="1" t="s">
        <v>2420</v>
      </c>
      <c r="G945" s="1" t="s">
        <v>46</v>
      </c>
      <c r="H945" s="1" t="s">
        <v>36</v>
      </c>
      <c r="I945" s="1" t="s">
        <v>29</v>
      </c>
      <c r="J945" s="1" t="s">
        <v>57</v>
      </c>
      <c r="K945" s="1" t="s">
        <v>2445</v>
      </c>
      <c r="L945" s="1" t="s">
        <v>2210</v>
      </c>
      <c r="M945" s="41" t="s">
        <v>9</v>
      </c>
    </row>
    <row r="946" spans="1:13" x14ac:dyDescent="0.25">
      <c r="A946" s="1" t="s">
        <v>2434</v>
      </c>
      <c r="B946" s="1" t="s">
        <v>116</v>
      </c>
      <c r="C946" s="1" t="s">
        <v>7</v>
      </c>
      <c r="D946" s="1" t="s">
        <v>1415</v>
      </c>
      <c r="E946" s="1" t="s">
        <v>1416</v>
      </c>
      <c r="F946" s="1" t="s">
        <v>2420</v>
      </c>
      <c r="G946" s="1" t="s">
        <v>46</v>
      </c>
      <c r="H946" s="1" t="s">
        <v>36</v>
      </c>
      <c r="I946" s="1" t="s">
        <v>30</v>
      </c>
      <c r="J946" s="1" t="s">
        <v>57</v>
      </c>
      <c r="K946" s="1" t="s">
        <v>2446</v>
      </c>
      <c r="L946" s="1" t="s">
        <v>2210</v>
      </c>
      <c r="M946" s="41" t="s">
        <v>9</v>
      </c>
    </row>
    <row r="947" spans="1:13" x14ac:dyDescent="0.25">
      <c r="A947" s="1" t="s">
        <v>2434</v>
      </c>
      <c r="B947" s="1" t="s">
        <v>116</v>
      </c>
      <c r="C947" s="1" t="s">
        <v>7</v>
      </c>
      <c r="D947" s="1" t="s">
        <v>1415</v>
      </c>
      <c r="E947" s="1" t="s">
        <v>1416</v>
      </c>
      <c r="F947" s="1" t="s">
        <v>2420</v>
      </c>
      <c r="G947" s="1" t="s">
        <v>46</v>
      </c>
      <c r="H947" s="1" t="s">
        <v>36</v>
      </c>
      <c r="I947" s="1" t="s">
        <v>31</v>
      </c>
      <c r="J947" s="1" t="s">
        <v>57</v>
      </c>
      <c r="K947" s="1" t="s">
        <v>2447</v>
      </c>
      <c r="L947" s="1" t="s">
        <v>2210</v>
      </c>
      <c r="M947" s="41" t="s">
        <v>9</v>
      </c>
    </row>
    <row r="948" spans="1:13" x14ac:dyDescent="0.25">
      <c r="A948" s="1" t="s">
        <v>2434</v>
      </c>
      <c r="B948" s="1" t="s">
        <v>116</v>
      </c>
      <c r="C948" s="1" t="s">
        <v>7</v>
      </c>
      <c r="D948" s="1" t="s">
        <v>1415</v>
      </c>
      <c r="E948" s="1" t="s">
        <v>1416</v>
      </c>
      <c r="F948" s="1" t="s">
        <v>2420</v>
      </c>
      <c r="G948" s="1" t="s">
        <v>46</v>
      </c>
      <c r="H948" s="1" t="s">
        <v>36</v>
      </c>
      <c r="I948" s="1" t="s">
        <v>32</v>
      </c>
      <c r="J948" s="1" t="s">
        <v>57</v>
      </c>
      <c r="K948" s="1" t="s">
        <v>2448</v>
      </c>
      <c r="L948" s="1" t="s">
        <v>2210</v>
      </c>
      <c r="M948" s="41" t="s">
        <v>9</v>
      </c>
    </row>
    <row r="949" spans="1:13" x14ac:dyDescent="0.25">
      <c r="A949" s="1" t="s">
        <v>2434</v>
      </c>
      <c r="B949" s="1" t="s">
        <v>116</v>
      </c>
      <c r="C949" s="1" t="s">
        <v>7</v>
      </c>
      <c r="D949" s="1" t="s">
        <v>1415</v>
      </c>
      <c r="E949" s="1" t="s">
        <v>1416</v>
      </c>
      <c r="F949" s="1" t="s">
        <v>2420</v>
      </c>
      <c r="G949" s="1" t="s">
        <v>46</v>
      </c>
      <c r="H949" s="1" t="s">
        <v>36</v>
      </c>
      <c r="I949" s="1" t="s">
        <v>20</v>
      </c>
      <c r="J949" s="1" t="s">
        <v>34</v>
      </c>
      <c r="K949" s="1" t="s">
        <v>2449</v>
      </c>
      <c r="L949" s="1" t="s">
        <v>2210</v>
      </c>
      <c r="M949" s="41">
        <v>46174</v>
      </c>
    </row>
    <row r="950" spans="1:13" x14ac:dyDescent="0.25">
      <c r="A950" s="1" t="s">
        <v>2434</v>
      </c>
      <c r="B950" s="1" t="s">
        <v>116</v>
      </c>
      <c r="C950" s="1" t="s">
        <v>7</v>
      </c>
      <c r="D950" s="1" t="s">
        <v>1415</v>
      </c>
      <c r="E950" s="1" t="s">
        <v>1416</v>
      </c>
      <c r="F950" s="1" t="s">
        <v>2420</v>
      </c>
      <c r="G950" s="1" t="s">
        <v>46</v>
      </c>
      <c r="H950" s="1" t="s">
        <v>36</v>
      </c>
      <c r="I950" s="1" t="s">
        <v>21</v>
      </c>
      <c r="J950" s="1" t="s">
        <v>34</v>
      </c>
      <c r="K950" s="1" t="s">
        <v>2450</v>
      </c>
      <c r="L950" s="1" t="s">
        <v>2210</v>
      </c>
      <c r="M950" s="41">
        <v>46244</v>
      </c>
    </row>
    <row r="951" spans="1:13" x14ac:dyDescent="0.25">
      <c r="A951" s="1" t="s">
        <v>2434</v>
      </c>
      <c r="B951" s="1" t="s">
        <v>116</v>
      </c>
      <c r="C951" s="1" t="s">
        <v>7</v>
      </c>
      <c r="D951" s="1" t="s">
        <v>1415</v>
      </c>
      <c r="E951" s="1" t="s">
        <v>1416</v>
      </c>
      <c r="F951" s="1" t="s">
        <v>2420</v>
      </c>
      <c r="G951" s="1" t="s">
        <v>46</v>
      </c>
      <c r="H951" s="1" t="s">
        <v>36</v>
      </c>
      <c r="I951" s="1" t="s">
        <v>22</v>
      </c>
      <c r="J951" s="1" t="s">
        <v>34</v>
      </c>
      <c r="K951" s="1" t="s">
        <v>2451</v>
      </c>
      <c r="L951" s="1" t="s">
        <v>2210</v>
      </c>
      <c r="M951" s="41">
        <v>46174</v>
      </c>
    </row>
    <row r="952" spans="1:13" x14ac:dyDescent="0.25">
      <c r="A952" s="1" t="s">
        <v>2434</v>
      </c>
      <c r="B952" s="1" t="s">
        <v>116</v>
      </c>
      <c r="C952" s="1" t="s">
        <v>7</v>
      </c>
      <c r="D952" s="1" t="s">
        <v>1415</v>
      </c>
      <c r="E952" s="1" t="s">
        <v>1416</v>
      </c>
      <c r="F952" s="1" t="s">
        <v>2420</v>
      </c>
      <c r="G952" s="1" t="s">
        <v>46</v>
      </c>
      <c r="H952" s="1" t="s">
        <v>36</v>
      </c>
      <c r="I952" s="1" t="s">
        <v>23</v>
      </c>
      <c r="J952" s="1" t="s">
        <v>34</v>
      </c>
      <c r="K952" s="1" t="s">
        <v>2452</v>
      </c>
      <c r="L952" s="1" t="s">
        <v>2210</v>
      </c>
      <c r="M952" s="41">
        <v>46088</v>
      </c>
    </row>
    <row r="953" spans="1:13" x14ac:dyDescent="0.25">
      <c r="A953" s="1" t="s">
        <v>2434</v>
      </c>
      <c r="B953" s="1" t="s">
        <v>116</v>
      </c>
      <c r="C953" s="1" t="s">
        <v>7</v>
      </c>
      <c r="D953" s="1" t="s">
        <v>1415</v>
      </c>
      <c r="E953" s="1" t="s">
        <v>1416</v>
      </c>
      <c r="F953" s="1" t="s">
        <v>2420</v>
      </c>
      <c r="G953" s="1" t="s">
        <v>46</v>
      </c>
      <c r="H953" s="1" t="s">
        <v>36</v>
      </c>
      <c r="I953" s="1" t="s">
        <v>24</v>
      </c>
      <c r="J953" s="1" t="s">
        <v>34</v>
      </c>
      <c r="K953" s="1" t="s">
        <v>2453</v>
      </c>
      <c r="L953" s="1" t="s">
        <v>2210</v>
      </c>
      <c r="M953" s="41">
        <v>46089</v>
      </c>
    </row>
    <row r="954" spans="1:13" x14ac:dyDescent="0.25">
      <c r="A954" s="1" t="s">
        <v>2434</v>
      </c>
      <c r="B954" s="1" t="s">
        <v>116</v>
      </c>
      <c r="C954" s="1" t="s">
        <v>7</v>
      </c>
      <c r="D954" s="1" t="s">
        <v>1415</v>
      </c>
      <c r="E954" s="1" t="s">
        <v>1416</v>
      </c>
      <c r="F954" s="1" t="s">
        <v>2420</v>
      </c>
      <c r="G954" s="1" t="s">
        <v>46</v>
      </c>
      <c r="H954" s="1" t="s">
        <v>36</v>
      </c>
      <c r="I954" s="1" t="s">
        <v>25</v>
      </c>
      <c r="J954" s="1" t="s">
        <v>34</v>
      </c>
      <c r="K954" s="1" t="s">
        <v>2454</v>
      </c>
      <c r="L954" s="1" t="s">
        <v>2210</v>
      </c>
      <c r="M954" s="41">
        <v>46088</v>
      </c>
    </row>
    <row r="955" spans="1:13" x14ac:dyDescent="0.25">
      <c r="A955" s="1" t="s">
        <v>2434</v>
      </c>
      <c r="B955" s="1" t="s">
        <v>116</v>
      </c>
      <c r="C955" s="1" t="s">
        <v>7</v>
      </c>
      <c r="D955" s="1" t="s">
        <v>1415</v>
      </c>
      <c r="E955" s="1" t="s">
        <v>1416</v>
      </c>
      <c r="F955" s="1" t="s">
        <v>2420</v>
      </c>
      <c r="G955" s="1" t="s">
        <v>46</v>
      </c>
      <c r="H955" s="1" t="s">
        <v>36</v>
      </c>
      <c r="I955" s="1" t="s">
        <v>26</v>
      </c>
      <c r="J955" s="1" t="s">
        <v>34</v>
      </c>
      <c r="K955" s="1" t="s">
        <v>2455</v>
      </c>
      <c r="L955" s="1" t="s">
        <v>2210</v>
      </c>
      <c r="M955" s="41">
        <v>46089</v>
      </c>
    </row>
    <row r="956" spans="1:13" x14ac:dyDescent="0.25">
      <c r="A956" s="1" t="s">
        <v>2434</v>
      </c>
      <c r="B956" s="1" t="s">
        <v>116</v>
      </c>
      <c r="C956" s="1" t="s">
        <v>7</v>
      </c>
      <c r="D956" s="1" t="s">
        <v>1415</v>
      </c>
      <c r="E956" s="1" t="s">
        <v>1416</v>
      </c>
      <c r="F956" s="1" t="s">
        <v>2420</v>
      </c>
      <c r="G956" s="1" t="s">
        <v>46</v>
      </c>
      <c r="H956" s="1" t="s">
        <v>36</v>
      </c>
      <c r="I956" s="1" t="s">
        <v>27</v>
      </c>
      <c r="J956" s="1" t="s">
        <v>34</v>
      </c>
      <c r="K956" s="1" t="s">
        <v>2456</v>
      </c>
      <c r="L956" s="1" t="s">
        <v>2210</v>
      </c>
      <c r="M956" s="41">
        <v>46174</v>
      </c>
    </row>
    <row r="957" spans="1:13" x14ac:dyDescent="0.25">
      <c r="A957" s="1" t="s">
        <v>2434</v>
      </c>
      <c r="B957" s="1" t="s">
        <v>116</v>
      </c>
      <c r="C957" s="1" t="s">
        <v>7</v>
      </c>
      <c r="D957" s="1" t="s">
        <v>1415</v>
      </c>
      <c r="E957" s="1" t="s">
        <v>1416</v>
      </c>
      <c r="F957" s="1" t="s">
        <v>2420</v>
      </c>
      <c r="G957" s="1" t="s">
        <v>46</v>
      </c>
      <c r="H957" s="1" t="s">
        <v>36</v>
      </c>
      <c r="I957" s="1" t="s">
        <v>28</v>
      </c>
      <c r="J957" s="1" t="s">
        <v>34</v>
      </c>
      <c r="K957" s="1" t="s">
        <v>2457</v>
      </c>
      <c r="L957" s="1" t="s">
        <v>2210</v>
      </c>
      <c r="M957" s="41">
        <v>46174</v>
      </c>
    </row>
    <row r="958" spans="1:13" x14ac:dyDescent="0.25">
      <c r="A958" s="1" t="s">
        <v>2434</v>
      </c>
      <c r="B958" s="1" t="s">
        <v>116</v>
      </c>
      <c r="C958" s="1" t="s">
        <v>7</v>
      </c>
      <c r="D958" s="1" t="s">
        <v>1415</v>
      </c>
      <c r="E958" s="1" t="s">
        <v>1416</v>
      </c>
      <c r="F958" s="1" t="s">
        <v>2420</v>
      </c>
      <c r="G958" s="1" t="s">
        <v>46</v>
      </c>
      <c r="H958" s="1" t="s">
        <v>36</v>
      </c>
      <c r="I958" s="1" t="s">
        <v>56</v>
      </c>
      <c r="J958" s="1" t="s">
        <v>34</v>
      </c>
      <c r="K958" s="1" t="s">
        <v>2458</v>
      </c>
      <c r="L958" s="1" t="s">
        <v>2210</v>
      </c>
      <c r="M958" s="41" t="s">
        <v>9</v>
      </c>
    </row>
    <row r="959" spans="1:13" x14ac:dyDescent="0.25">
      <c r="A959" s="1" t="s">
        <v>2434</v>
      </c>
      <c r="B959" s="1" t="s">
        <v>116</v>
      </c>
      <c r="C959" s="1" t="s">
        <v>7</v>
      </c>
      <c r="D959" s="1" t="s">
        <v>1415</v>
      </c>
      <c r="E959" s="1" t="s">
        <v>1416</v>
      </c>
      <c r="F959" s="1" t="s">
        <v>2420</v>
      </c>
      <c r="G959" s="1" t="s">
        <v>46</v>
      </c>
      <c r="H959" s="1" t="s">
        <v>36</v>
      </c>
      <c r="I959" s="1" t="s">
        <v>29</v>
      </c>
      <c r="J959" s="1" t="s">
        <v>34</v>
      </c>
      <c r="K959" s="1" t="s">
        <v>2459</v>
      </c>
      <c r="L959" s="1" t="s">
        <v>2210</v>
      </c>
      <c r="M959" s="41">
        <v>46089</v>
      </c>
    </row>
    <row r="960" spans="1:13" x14ac:dyDescent="0.25">
      <c r="A960" s="1" t="s">
        <v>2434</v>
      </c>
      <c r="B960" s="1" t="s">
        <v>116</v>
      </c>
      <c r="C960" s="1" t="s">
        <v>7</v>
      </c>
      <c r="D960" s="1" t="s">
        <v>1415</v>
      </c>
      <c r="E960" s="1" t="s">
        <v>1416</v>
      </c>
      <c r="F960" s="1" t="s">
        <v>2420</v>
      </c>
      <c r="G960" s="1" t="s">
        <v>46</v>
      </c>
      <c r="H960" s="1" t="s">
        <v>36</v>
      </c>
      <c r="I960" s="1" t="s">
        <v>30</v>
      </c>
      <c r="J960" s="1" t="s">
        <v>34</v>
      </c>
      <c r="K960" s="1" t="s">
        <v>2460</v>
      </c>
      <c r="L960" s="1" t="s">
        <v>2210</v>
      </c>
      <c r="M960" s="41">
        <v>46087</v>
      </c>
    </row>
    <row r="961" spans="1:13" x14ac:dyDescent="0.25">
      <c r="A961" s="1" t="s">
        <v>2434</v>
      </c>
      <c r="B961" s="1" t="s">
        <v>116</v>
      </c>
      <c r="C961" s="1" t="s">
        <v>7</v>
      </c>
      <c r="D961" s="1" t="s">
        <v>1415</v>
      </c>
      <c r="E961" s="1" t="s">
        <v>1416</v>
      </c>
      <c r="F961" s="1" t="s">
        <v>2420</v>
      </c>
      <c r="G961" s="1" t="s">
        <v>46</v>
      </c>
      <c r="H961" s="1" t="s">
        <v>36</v>
      </c>
      <c r="I961" s="1" t="s">
        <v>31</v>
      </c>
      <c r="J961" s="1" t="s">
        <v>34</v>
      </c>
      <c r="K961" s="1" t="s">
        <v>2461</v>
      </c>
      <c r="L961" s="1" t="s">
        <v>2210</v>
      </c>
      <c r="M961" s="41">
        <v>46301</v>
      </c>
    </row>
    <row r="962" spans="1:13" x14ac:dyDescent="0.25">
      <c r="A962" s="1" t="s">
        <v>2434</v>
      </c>
      <c r="B962" s="1" t="s">
        <v>116</v>
      </c>
      <c r="C962" s="1" t="s">
        <v>7</v>
      </c>
      <c r="D962" s="1" t="s">
        <v>1415</v>
      </c>
      <c r="E962" s="1" t="s">
        <v>1416</v>
      </c>
      <c r="F962" s="1" t="s">
        <v>2420</v>
      </c>
      <c r="G962" s="1" t="s">
        <v>46</v>
      </c>
      <c r="H962" s="1" t="s">
        <v>36</v>
      </c>
      <c r="I962" s="1" t="s">
        <v>32</v>
      </c>
      <c r="J962" s="1" t="s">
        <v>34</v>
      </c>
      <c r="K962" s="1" t="s">
        <v>2462</v>
      </c>
      <c r="L962" s="1" t="s">
        <v>2210</v>
      </c>
      <c r="M962" s="41">
        <v>46301</v>
      </c>
    </row>
    <row r="963" spans="1:13" x14ac:dyDescent="0.25">
      <c r="A963" s="1" t="s">
        <v>2463</v>
      </c>
      <c r="B963" s="1" t="s">
        <v>117</v>
      </c>
      <c r="C963" s="1" t="s">
        <v>7</v>
      </c>
      <c r="D963" s="1" t="s">
        <v>1415</v>
      </c>
      <c r="E963" s="1" t="s">
        <v>1416</v>
      </c>
      <c r="F963" s="1" t="s">
        <v>2420</v>
      </c>
      <c r="G963" s="1" t="s">
        <v>68</v>
      </c>
      <c r="H963" s="1" t="s">
        <v>36</v>
      </c>
      <c r="I963" s="1" t="s">
        <v>20</v>
      </c>
      <c r="J963" s="1" t="s">
        <v>34</v>
      </c>
      <c r="K963" s="1" t="s">
        <v>2464</v>
      </c>
      <c r="L963" s="1" t="s">
        <v>2065</v>
      </c>
      <c r="M963" s="41">
        <v>46174</v>
      </c>
    </row>
    <row r="964" spans="1:13" x14ac:dyDescent="0.25">
      <c r="A964" s="1" t="s">
        <v>2463</v>
      </c>
      <c r="B964" s="1" t="s">
        <v>117</v>
      </c>
      <c r="C964" s="1" t="s">
        <v>7</v>
      </c>
      <c r="D964" s="1" t="s">
        <v>1415</v>
      </c>
      <c r="E964" s="1" t="s">
        <v>1416</v>
      </c>
      <c r="F964" s="1" t="s">
        <v>2420</v>
      </c>
      <c r="G964" s="1" t="s">
        <v>68</v>
      </c>
      <c r="H964" s="1" t="s">
        <v>36</v>
      </c>
      <c r="I964" s="1" t="s">
        <v>21</v>
      </c>
      <c r="J964" s="1" t="s">
        <v>34</v>
      </c>
      <c r="K964" s="1" t="s">
        <v>2465</v>
      </c>
      <c r="L964" s="1" t="s">
        <v>2065</v>
      </c>
      <c r="M964" s="41">
        <v>46174</v>
      </c>
    </row>
    <row r="965" spans="1:13" x14ac:dyDescent="0.25">
      <c r="A965" s="1" t="s">
        <v>2463</v>
      </c>
      <c r="B965" s="1" t="s">
        <v>117</v>
      </c>
      <c r="C965" s="1" t="s">
        <v>7</v>
      </c>
      <c r="D965" s="1" t="s">
        <v>1415</v>
      </c>
      <c r="E965" s="1" t="s">
        <v>1416</v>
      </c>
      <c r="F965" s="1" t="s">
        <v>2420</v>
      </c>
      <c r="G965" s="1" t="s">
        <v>68</v>
      </c>
      <c r="H965" s="1" t="s">
        <v>36</v>
      </c>
      <c r="I965" s="1" t="s">
        <v>22</v>
      </c>
      <c r="J965" s="1" t="s">
        <v>34</v>
      </c>
      <c r="K965" s="1" t="s">
        <v>2466</v>
      </c>
      <c r="L965" s="1" t="s">
        <v>2065</v>
      </c>
      <c r="M965" s="41">
        <v>46174</v>
      </c>
    </row>
    <row r="966" spans="1:13" x14ac:dyDescent="0.25">
      <c r="A966" s="1" t="s">
        <v>2463</v>
      </c>
      <c r="B966" s="1" t="s">
        <v>117</v>
      </c>
      <c r="C966" s="1" t="s">
        <v>7</v>
      </c>
      <c r="D966" s="1" t="s">
        <v>1415</v>
      </c>
      <c r="E966" s="1" t="s">
        <v>1416</v>
      </c>
      <c r="F966" s="1" t="s">
        <v>2420</v>
      </c>
      <c r="G966" s="1" t="s">
        <v>68</v>
      </c>
      <c r="H966" s="1" t="s">
        <v>36</v>
      </c>
      <c r="I966" s="1" t="s">
        <v>23</v>
      </c>
      <c r="J966" s="1" t="s">
        <v>34</v>
      </c>
      <c r="K966" s="1" t="s">
        <v>2467</v>
      </c>
      <c r="L966" s="1" t="s">
        <v>2065</v>
      </c>
      <c r="M966" s="41">
        <v>46174</v>
      </c>
    </row>
    <row r="967" spans="1:13" x14ac:dyDescent="0.25">
      <c r="A967" s="1" t="s">
        <v>2463</v>
      </c>
      <c r="B967" s="1" t="s">
        <v>117</v>
      </c>
      <c r="C967" s="1" t="s">
        <v>7</v>
      </c>
      <c r="D967" s="1" t="s">
        <v>1415</v>
      </c>
      <c r="E967" s="1" t="s">
        <v>1416</v>
      </c>
      <c r="F967" s="1" t="s">
        <v>2420</v>
      </c>
      <c r="G967" s="1" t="s">
        <v>68</v>
      </c>
      <c r="H967" s="1" t="s">
        <v>36</v>
      </c>
      <c r="I967" s="1" t="s">
        <v>24</v>
      </c>
      <c r="J967" s="1" t="s">
        <v>34</v>
      </c>
      <c r="K967" s="1" t="s">
        <v>2468</v>
      </c>
      <c r="L967" s="1" t="s">
        <v>2065</v>
      </c>
      <c r="M967" s="41">
        <v>46174</v>
      </c>
    </row>
    <row r="968" spans="1:13" x14ac:dyDescent="0.25">
      <c r="A968" s="1" t="s">
        <v>2463</v>
      </c>
      <c r="B968" s="1" t="s">
        <v>117</v>
      </c>
      <c r="C968" s="1" t="s">
        <v>7</v>
      </c>
      <c r="D968" s="1" t="s">
        <v>1415</v>
      </c>
      <c r="E968" s="1" t="s">
        <v>1416</v>
      </c>
      <c r="F968" s="1" t="s">
        <v>2420</v>
      </c>
      <c r="G968" s="1" t="s">
        <v>68</v>
      </c>
      <c r="H968" s="1" t="s">
        <v>36</v>
      </c>
      <c r="I968" s="1" t="s">
        <v>25</v>
      </c>
      <c r="J968" s="1" t="s">
        <v>34</v>
      </c>
      <c r="K968" s="1" t="s">
        <v>2469</v>
      </c>
      <c r="L968" s="1" t="s">
        <v>2065</v>
      </c>
      <c r="M968" s="41">
        <v>46174</v>
      </c>
    </row>
    <row r="969" spans="1:13" x14ac:dyDescent="0.25">
      <c r="A969" s="1" t="s">
        <v>2463</v>
      </c>
      <c r="B969" s="1" t="s">
        <v>117</v>
      </c>
      <c r="C969" s="1" t="s">
        <v>7</v>
      </c>
      <c r="D969" s="1" t="s">
        <v>1415</v>
      </c>
      <c r="E969" s="1" t="s">
        <v>1416</v>
      </c>
      <c r="F969" s="1" t="s">
        <v>2420</v>
      </c>
      <c r="G969" s="1" t="s">
        <v>68</v>
      </c>
      <c r="H969" s="1" t="s">
        <v>36</v>
      </c>
      <c r="I969" s="1" t="s">
        <v>26</v>
      </c>
      <c r="J969" s="1" t="s">
        <v>34</v>
      </c>
      <c r="K969" s="1" t="s">
        <v>2470</v>
      </c>
      <c r="L969" s="1" t="s">
        <v>2065</v>
      </c>
      <c r="M969" s="41">
        <v>46174</v>
      </c>
    </row>
    <row r="970" spans="1:13" x14ac:dyDescent="0.25">
      <c r="A970" s="1" t="s">
        <v>2463</v>
      </c>
      <c r="B970" s="1" t="s">
        <v>117</v>
      </c>
      <c r="C970" s="1" t="s">
        <v>7</v>
      </c>
      <c r="D970" s="1" t="s">
        <v>1415</v>
      </c>
      <c r="E970" s="1" t="s">
        <v>1416</v>
      </c>
      <c r="F970" s="1" t="s">
        <v>2420</v>
      </c>
      <c r="G970" s="1" t="s">
        <v>68</v>
      </c>
      <c r="H970" s="1" t="s">
        <v>36</v>
      </c>
      <c r="I970" s="1" t="s">
        <v>27</v>
      </c>
      <c r="J970" s="1" t="s">
        <v>34</v>
      </c>
      <c r="K970" s="1" t="s">
        <v>2471</v>
      </c>
      <c r="L970" s="1" t="s">
        <v>2065</v>
      </c>
      <c r="M970" s="41">
        <v>46087</v>
      </c>
    </row>
    <row r="971" spans="1:13" x14ac:dyDescent="0.25">
      <c r="A971" s="1" t="s">
        <v>2463</v>
      </c>
      <c r="B971" s="1" t="s">
        <v>117</v>
      </c>
      <c r="C971" s="1" t="s">
        <v>7</v>
      </c>
      <c r="D971" s="1" t="s">
        <v>1415</v>
      </c>
      <c r="E971" s="1" t="s">
        <v>1416</v>
      </c>
      <c r="F971" s="1" t="s">
        <v>2420</v>
      </c>
      <c r="G971" s="1" t="s">
        <v>68</v>
      </c>
      <c r="H971" s="1" t="s">
        <v>36</v>
      </c>
      <c r="I971" s="1" t="s">
        <v>28</v>
      </c>
      <c r="J971" s="1" t="s">
        <v>34</v>
      </c>
      <c r="K971" s="1" t="s">
        <v>2472</v>
      </c>
      <c r="L971" s="1" t="s">
        <v>2065</v>
      </c>
      <c r="M971" s="41">
        <v>46174</v>
      </c>
    </row>
    <row r="972" spans="1:13" x14ac:dyDescent="0.25">
      <c r="A972" s="1" t="s">
        <v>2463</v>
      </c>
      <c r="B972" s="1" t="s">
        <v>117</v>
      </c>
      <c r="C972" s="1" t="s">
        <v>7</v>
      </c>
      <c r="D972" s="1" t="s">
        <v>1415</v>
      </c>
      <c r="E972" s="1" t="s">
        <v>1416</v>
      </c>
      <c r="F972" s="1" t="s">
        <v>2420</v>
      </c>
      <c r="G972" s="1" t="s">
        <v>68</v>
      </c>
      <c r="H972" s="1" t="s">
        <v>36</v>
      </c>
      <c r="I972" s="1" t="s">
        <v>29</v>
      </c>
      <c r="J972" s="1" t="s">
        <v>34</v>
      </c>
      <c r="K972" s="1" t="s">
        <v>2473</v>
      </c>
      <c r="L972" s="1" t="s">
        <v>2065</v>
      </c>
      <c r="M972" s="41">
        <v>46087</v>
      </c>
    </row>
    <row r="973" spans="1:13" x14ac:dyDescent="0.25">
      <c r="A973" s="1" t="s">
        <v>2463</v>
      </c>
      <c r="B973" s="1" t="s">
        <v>117</v>
      </c>
      <c r="C973" s="1" t="s">
        <v>7</v>
      </c>
      <c r="D973" s="1" t="s">
        <v>1415</v>
      </c>
      <c r="E973" s="1" t="s">
        <v>1416</v>
      </c>
      <c r="F973" s="1" t="s">
        <v>2420</v>
      </c>
      <c r="G973" s="1" t="s">
        <v>68</v>
      </c>
      <c r="H973" s="1" t="s">
        <v>36</v>
      </c>
      <c r="I973" s="1" t="s">
        <v>30</v>
      </c>
      <c r="J973" s="1" t="s">
        <v>34</v>
      </c>
      <c r="K973" s="1" t="s">
        <v>2474</v>
      </c>
      <c r="L973" s="1" t="s">
        <v>2065</v>
      </c>
      <c r="M973" s="41">
        <v>46087</v>
      </c>
    </row>
    <row r="974" spans="1:13" x14ac:dyDescent="0.25">
      <c r="A974" s="1" t="s">
        <v>2463</v>
      </c>
      <c r="B974" s="1" t="s">
        <v>117</v>
      </c>
      <c r="C974" s="1" t="s">
        <v>7</v>
      </c>
      <c r="D974" s="1" t="s">
        <v>1415</v>
      </c>
      <c r="E974" s="1" t="s">
        <v>1416</v>
      </c>
      <c r="F974" s="1" t="s">
        <v>2420</v>
      </c>
      <c r="G974" s="1" t="s">
        <v>68</v>
      </c>
      <c r="H974" s="1" t="s">
        <v>36</v>
      </c>
      <c r="I974" s="1" t="s">
        <v>31</v>
      </c>
      <c r="J974" s="1" t="s">
        <v>34</v>
      </c>
      <c r="K974" s="1" t="s">
        <v>2475</v>
      </c>
      <c r="L974" s="1" t="s">
        <v>2065</v>
      </c>
      <c r="M974" s="41">
        <v>46244</v>
      </c>
    </row>
    <row r="975" spans="1:13" x14ac:dyDescent="0.25">
      <c r="A975" s="1" t="s">
        <v>2463</v>
      </c>
      <c r="B975" s="1" t="s">
        <v>117</v>
      </c>
      <c r="C975" s="1" t="s">
        <v>7</v>
      </c>
      <c r="D975" s="1" t="s">
        <v>1415</v>
      </c>
      <c r="E975" s="1" t="s">
        <v>1416</v>
      </c>
      <c r="F975" s="1" t="s">
        <v>2420</v>
      </c>
      <c r="G975" s="1" t="s">
        <v>68</v>
      </c>
      <c r="H975" s="1" t="s">
        <v>36</v>
      </c>
      <c r="I975" s="1" t="s">
        <v>32</v>
      </c>
      <c r="J975" s="1" t="s">
        <v>34</v>
      </c>
      <c r="K975" s="1" t="s">
        <v>2476</v>
      </c>
      <c r="L975" s="1" t="s">
        <v>2065</v>
      </c>
      <c r="M975" s="41">
        <v>46174</v>
      </c>
    </row>
    <row r="976" spans="1:13" x14ac:dyDescent="0.25">
      <c r="A976" s="1" t="s">
        <v>2477</v>
      </c>
      <c r="B976" s="1" t="s">
        <v>118</v>
      </c>
      <c r="C976" s="1" t="s">
        <v>7</v>
      </c>
      <c r="D976" s="1" t="s">
        <v>1415</v>
      </c>
      <c r="E976" s="1" t="s">
        <v>1416</v>
      </c>
      <c r="F976" s="1" t="s">
        <v>2420</v>
      </c>
      <c r="G976" s="1" t="s">
        <v>68</v>
      </c>
      <c r="H976" s="1" t="s">
        <v>36</v>
      </c>
      <c r="I976" s="1" t="s">
        <v>20</v>
      </c>
      <c r="J976" s="1" t="s">
        <v>34</v>
      </c>
      <c r="K976" s="1" t="s">
        <v>2478</v>
      </c>
      <c r="L976" s="1" t="s">
        <v>1419</v>
      </c>
      <c r="M976" s="41">
        <v>46089</v>
      </c>
    </row>
    <row r="977" spans="1:13" x14ac:dyDescent="0.25">
      <c r="A977" s="1" t="s">
        <v>2477</v>
      </c>
      <c r="B977" s="1" t="s">
        <v>118</v>
      </c>
      <c r="C977" s="1" t="s">
        <v>7</v>
      </c>
      <c r="D977" s="1" t="s">
        <v>1415</v>
      </c>
      <c r="E977" s="1" t="s">
        <v>1416</v>
      </c>
      <c r="F977" s="1" t="s">
        <v>2420</v>
      </c>
      <c r="G977" s="1" t="s">
        <v>68</v>
      </c>
      <c r="H977" s="1" t="s">
        <v>36</v>
      </c>
      <c r="I977" s="1" t="s">
        <v>21</v>
      </c>
      <c r="J977" s="1" t="s">
        <v>34</v>
      </c>
      <c r="K977" s="1" t="s">
        <v>2479</v>
      </c>
      <c r="L977" s="1" t="s">
        <v>1419</v>
      </c>
      <c r="M977" s="41">
        <v>46089</v>
      </c>
    </row>
    <row r="978" spans="1:13" x14ac:dyDescent="0.25">
      <c r="A978" s="1" t="s">
        <v>2477</v>
      </c>
      <c r="B978" s="1" t="s">
        <v>118</v>
      </c>
      <c r="C978" s="1" t="s">
        <v>7</v>
      </c>
      <c r="D978" s="1" t="s">
        <v>1415</v>
      </c>
      <c r="E978" s="1" t="s">
        <v>1416</v>
      </c>
      <c r="F978" s="1" t="s">
        <v>2420</v>
      </c>
      <c r="G978" s="1" t="s">
        <v>68</v>
      </c>
      <c r="H978" s="1" t="s">
        <v>36</v>
      </c>
      <c r="I978" s="1" t="s">
        <v>22</v>
      </c>
      <c r="J978" s="1" t="s">
        <v>34</v>
      </c>
      <c r="K978" s="1" t="s">
        <v>2480</v>
      </c>
      <c r="L978" s="1" t="s">
        <v>1419</v>
      </c>
      <c r="M978" s="41">
        <v>46087</v>
      </c>
    </row>
    <row r="979" spans="1:13" x14ac:dyDescent="0.25">
      <c r="A979" s="1" t="s">
        <v>2477</v>
      </c>
      <c r="B979" s="1" t="s">
        <v>118</v>
      </c>
      <c r="C979" s="1" t="s">
        <v>7</v>
      </c>
      <c r="D979" s="1" t="s">
        <v>1415</v>
      </c>
      <c r="E979" s="1" t="s">
        <v>1416</v>
      </c>
      <c r="F979" s="1" t="s">
        <v>2420</v>
      </c>
      <c r="G979" s="1" t="s">
        <v>68</v>
      </c>
      <c r="H979" s="1" t="s">
        <v>36</v>
      </c>
      <c r="I979" s="1" t="s">
        <v>23</v>
      </c>
      <c r="J979" s="1" t="s">
        <v>34</v>
      </c>
      <c r="K979" s="1" t="s">
        <v>2481</v>
      </c>
      <c r="L979" s="1" t="s">
        <v>1419</v>
      </c>
      <c r="M979" s="41">
        <v>46087</v>
      </c>
    </row>
    <row r="980" spans="1:13" x14ac:dyDescent="0.25">
      <c r="A980" s="1" t="s">
        <v>2477</v>
      </c>
      <c r="B980" s="1" t="s">
        <v>118</v>
      </c>
      <c r="C980" s="1" t="s">
        <v>7</v>
      </c>
      <c r="D980" s="1" t="s">
        <v>1415</v>
      </c>
      <c r="E980" s="1" t="s">
        <v>1416</v>
      </c>
      <c r="F980" s="1" t="s">
        <v>2420</v>
      </c>
      <c r="G980" s="1" t="s">
        <v>68</v>
      </c>
      <c r="H980" s="1" t="s">
        <v>36</v>
      </c>
      <c r="I980" s="1" t="s">
        <v>24</v>
      </c>
      <c r="J980" s="1" t="s">
        <v>34</v>
      </c>
      <c r="K980" s="1" t="s">
        <v>2482</v>
      </c>
      <c r="L980" s="1" t="s">
        <v>1419</v>
      </c>
      <c r="M980" s="41">
        <v>46087</v>
      </c>
    </row>
    <row r="981" spans="1:13" x14ac:dyDescent="0.25">
      <c r="A981" s="1" t="s">
        <v>2477</v>
      </c>
      <c r="B981" s="1" t="s">
        <v>118</v>
      </c>
      <c r="C981" s="1" t="s">
        <v>7</v>
      </c>
      <c r="D981" s="1" t="s">
        <v>1415</v>
      </c>
      <c r="E981" s="1" t="s">
        <v>1416</v>
      </c>
      <c r="F981" s="1" t="s">
        <v>2420</v>
      </c>
      <c r="G981" s="1" t="s">
        <v>68</v>
      </c>
      <c r="H981" s="1" t="s">
        <v>36</v>
      </c>
      <c r="I981" s="1" t="s">
        <v>25</v>
      </c>
      <c r="J981" s="1" t="s">
        <v>34</v>
      </c>
      <c r="K981" s="1" t="s">
        <v>2483</v>
      </c>
      <c r="L981" s="1" t="s">
        <v>1419</v>
      </c>
      <c r="M981" s="41">
        <v>46087</v>
      </c>
    </row>
    <row r="982" spans="1:13" x14ac:dyDescent="0.25">
      <c r="A982" s="1" t="s">
        <v>2477</v>
      </c>
      <c r="B982" s="1" t="s">
        <v>118</v>
      </c>
      <c r="C982" s="1" t="s">
        <v>7</v>
      </c>
      <c r="D982" s="1" t="s">
        <v>1415</v>
      </c>
      <c r="E982" s="1" t="s">
        <v>1416</v>
      </c>
      <c r="F982" s="1" t="s">
        <v>2420</v>
      </c>
      <c r="G982" s="1" t="s">
        <v>68</v>
      </c>
      <c r="H982" s="1" t="s">
        <v>36</v>
      </c>
      <c r="I982" s="1" t="s">
        <v>26</v>
      </c>
      <c r="J982" s="1" t="s">
        <v>34</v>
      </c>
      <c r="K982" s="1" t="s">
        <v>2484</v>
      </c>
      <c r="L982" s="1" t="s">
        <v>1419</v>
      </c>
      <c r="M982" s="41">
        <v>46087</v>
      </c>
    </row>
    <row r="983" spans="1:13" x14ac:dyDescent="0.25">
      <c r="A983" s="1" t="s">
        <v>2477</v>
      </c>
      <c r="B983" s="1" t="s">
        <v>118</v>
      </c>
      <c r="C983" s="1" t="s">
        <v>7</v>
      </c>
      <c r="D983" s="1" t="s">
        <v>1415</v>
      </c>
      <c r="E983" s="1" t="s">
        <v>1416</v>
      </c>
      <c r="F983" s="1" t="s">
        <v>2420</v>
      </c>
      <c r="G983" s="1" t="s">
        <v>68</v>
      </c>
      <c r="H983" s="1" t="s">
        <v>36</v>
      </c>
      <c r="I983" s="1" t="s">
        <v>27</v>
      </c>
      <c r="J983" s="1" t="s">
        <v>34</v>
      </c>
      <c r="K983" s="1" t="s">
        <v>2485</v>
      </c>
      <c r="L983" s="1" t="s">
        <v>1419</v>
      </c>
      <c r="M983" s="41">
        <v>46087</v>
      </c>
    </row>
    <row r="984" spans="1:13" x14ac:dyDescent="0.25">
      <c r="A984" s="1" t="s">
        <v>2477</v>
      </c>
      <c r="B984" s="1" t="s">
        <v>118</v>
      </c>
      <c r="C984" s="1" t="s">
        <v>7</v>
      </c>
      <c r="D984" s="1" t="s">
        <v>1415</v>
      </c>
      <c r="E984" s="1" t="s">
        <v>1416</v>
      </c>
      <c r="F984" s="1" t="s">
        <v>2420</v>
      </c>
      <c r="G984" s="1" t="s">
        <v>68</v>
      </c>
      <c r="H984" s="1" t="s">
        <v>36</v>
      </c>
      <c r="I984" s="1" t="s">
        <v>28</v>
      </c>
      <c r="J984" s="1" t="s">
        <v>34</v>
      </c>
      <c r="K984" s="1" t="s">
        <v>2486</v>
      </c>
      <c r="L984" s="1" t="s">
        <v>1419</v>
      </c>
      <c r="M984" s="41">
        <v>46087</v>
      </c>
    </row>
    <row r="985" spans="1:13" x14ac:dyDescent="0.25">
      <c r="A985" s="1" t="s">
        <v>2477</v>
      </c>
      <c r="B985" s="1" t="s">
        <v>118</v>
      </c>
      <c r="C985" s="1" t="s">
        <v>7</v>
      </c>
      <c r="D985" s="1" t="s">
        <v>1415</v>
      </c>
      <c r="E985" s="1" t="s">
        <v>1416</v>
      </c>
      <c r="F985" s="1" t="s">
        <v>2420</v>
      </c>
      <c r="G985" s="1" t="s">
        <v>68</v>
      </c>
      <c r="H985" s="1" t="s">
        <v>36</v>
      </c>
      <c r="I985" s="1" t="s">
        <v>29</v>
      </c>
      <c r="J985" s="1" t="s">
        <v>34</v>
      </c>
      <c r="K985" s="1" t="s">
        <v>2487</v>
      </c>
      <c r="L985" s="1" t="s">
        <v>1419</v>
      </c>
      <c r="M985" s="41">
        <v>46087</v>
      </c>
    </row>
    <row r="986" spans="1:13" x14ac:dyDescent="0.25">
      <c r="A986" s="1" t="s">
        <v>2477</v>
      </c>
      <c r="B986" s="1" t="s">
        <v>118</v>
      </c>
      <c r="C986" s="1" t="s">
        <v>7</v>
      </c>
      <c r="D986" s="1" t="s">
        <v>1415</v>
      </c>
      <c r="E986" s="1" t="s">
        <v>1416</v>
      </c>
      <c r="F986" s="1" t="s">
        <v>2420</v>
      </c>
      <c r="G986" s="1" t="s">
        <v>68</v>
      </c>
      <c r="H986" s="1" t="s">
        <v>36</v>
      </c>
      <c r="I986" s="1" t="s">
        <v>30</v>
      </c>
      <c r="J986" s="1" t="s">
        <v>34</v>
      </c>
      <c r="K986" s="1" t="s">
        <v>2488</v>
      </c>
      <c r="L986" s="1" t="s">
        <v>1419</v>
      </c>
      <c r="M986" s="41">
        <v>46087</v>
      </c>
    </row>
    <row r="987" spans="1:13" x14ac:dyDescent="0.25">
      <c r="A987" s="1" t="s">
        <v>2477</v>
      </c>
      <c r="B987" s="1" t="s">
        <v>118</v>
      </c>
      <c r="C987" s="1" t="s">
        <v>7</v>
      </c>
      <c r="D987" s="1" t="s">
        <v>1415</v>
      </c>
      <c r="E987" s="1" t="s">
        <v>1416</v>
      </c>
      <c r="F987" s="1" t="s">
        <v>2420</v>
      </c>
      <c r="G987" s="1" t="s">
        <v>68</v>
      </c>
      <c r="H987" s="1" t="s">
        <v>36</v>
      </c>
      <c r="I987" s="1" t="s">
        <v>31</v>
      </c>
      <c r="J987" s="1" t="s">
        <v>34</v>
      </c>
      <c r="K987" s="1" t="s">
        <v>2489</v>
      </c>
      <c r="L987" s="1" t="s">
        <v>1419</v>
      </c>
      <c r="M987" s="41">
        <v>46087</v>
      </c>
    </row>
    <row r="988" spans="1:13" x14ac:dyDescent="0.25">
      <c r="A988" s="1" t="s">
        <v>2477</v>
      </c>
      <c r="B988" s="1" t="s">
        <v>118</v>
      </c>
      <c r="C988" s="1" t="s">
        <v>7</v>
      </c>
      <c r="D988" s="1" t="s">
        <v>1415</v>
      </c>
      <c r="E988" s="1" t="s">
        <v>1416</v>
      </c>
      <c r="F988" s="1" t="s">
        <v>2420</v>
      </c>
      <c r="G988" s="1" t="s">
        <v>68</v>
      </c>
      <c r="H988" s="1" t="s">
        <v>36</v>
      </c>
      <c r="I988" s="1" t="s">
        <v>32</v>
      </c>
      <c r="J988" s="1" t="s">
        <v>34</v>
      </c>
      <c r="K988" s="1" t="s">
        <v>2490</v>
      </c>
      <c r="L988" s="1" t="s">
        <v>1419</v>
      </c>
      <c r="M988" s="41">
        <v>46087</v>
      </c>
    </row>
    <row r="989" spans="1:13" x14ac:dyDescent="0.25">
      <c r="A989" s="1" t="s">
        <v>2491</v>
      </c>
      <c r="B989" s="1" t="s">
        <v>120</v>
      </c>
      <c r="C989" s="1" t="s">
        <v>7</v>
      </c>
      <c r="D989" s="1" t="s">
        <v>1415</v>
      </c>
      <c r="E989" s="1" t="s">
        <v>1416</v>
      </c>
      <c r="F989" s="1" t="s">
        <v>2420</v>
      </c>
      <c r="G989" s="1" t="s">
        <v>119</v>
      </c>
      <c r="H989" s="1" t="s">
        <v>36</v>
      </c>
      <c r="I989" s="1" t="s">
        <v>20</v>
      </c>
      <c r="J989" s="1" t="s">
        <v>34</v>
      </c>
      <c r="K989" s="1" t="s">
        <v>2492</v>
      </c>
      <c r="L989" s="1" t="s">
        <v>2493</v>
      </c>
      <c r="M989" s="41">
        <v>46087</v>
      </c>
    </row>
    <row r="990" spans="1:13" x14ac:dyDescent="0.25">
      <c r="A990" s="1" t="s">
        <v>2491</v>
      </c>
      <c r="B990" s="1" t="s">
        <v>120</v>
      </c>
      <c r="C990" s="1" t="s">
        <v>7</v>
      </c>
      <c r="D990" s="1" t="s">
        <v>1415</v>
      </c>
      <c r="E990" s="1" t="s">
        <v>1416</v>
      </c>
      <c r="F990" s="1" t="s">
        <v>2420</v>
      </c>
      <c r="G990" s="1" t="s">
        <v>119</v>
      </c>
      <c r="H990" s="1" t="s">
        <v>36</v>
      </c>
      <c r="I990" s="1" t="s">
        <v>21</v>
      </c>
      <c r="J990" s="1" t="s">
        <v>34</v>
      </c>
      <c r="K990" s="1" t="s">
        <v>2494</v>
      </c>
      <c r="L990" s="1" t="s">
        <v>2493</v>
      </c>
      <c r="M990" s="41">
        <v>46087</v>
      </c>
    </row>
    <row r="991" spans="1:13" x14ac:dyDescent="0.25">
      <c r="A991" s="1" t="s">
        <v>2491</v>
      </c>
      <c r="B991" s="1" t="s">
        <v>120</v>
      </c>
      <c r="C991" s="1" t="s">
        <v>7</v>
      </c>
      <c r="D991" s="1" t="s">
        <v>1415</v>
      </c>
      <c r="E991" s="1" t="s">
        <v>1416</v>
      </c>
      <c r="F991" s="1" t="s">
        <v>2420</v>
      </c>
      <c r="G991" s="1" t="s">
        <v>119</v>
      </c>
      <c r="H991" s="1" t="s">
        <v>36</v>
      </c>
      <c r="I991" s="1" t="s">
        <v>22</v>
      </c>
      <c r="J991" s="1" t="s">
        <v>34</v>
      </c>
      <c r="K991" s="1" t="s">
        <v>2495</v>
      </c>
      <c r="L991" s="1" t="s">
        <v>2493</v>
      </c>
      <c r="M991" s="41">
        <v>46087</v>
      </c>
    </row>
    <row r="992" spans="1:13" x14ac:dyDescent="0.25">
      <c r="A992" s="1" t="s">
        <v>2491</v>
      </c>
      <c r="B992" s="1" t="s">
        <v>120</v>
      </c>
      <c r="C992" s="1" t="s">
        <v>7</v>
      </c>
      <c r="D992" s="1" t="s">
        <v>1415</v>
      </c>
      <c r="E992" s="1" t="s">
        <v>1416</v>
      </c>
      <c r="F992" s="1" t="s">
        <v>2420</v>
      </c>
      <c r="G992" s="1" t="s">
        <v>119</v>
      </c>
      <c r="H992" s="1" t="s">
        <v>36</v>
      </c>
      <c r="I992" s="1" t="s">
        <v>23</v>
      </c>
      <c r="J992" s="1" t="s">
        <v>34</v>
      </c>
      <c r="K992" s="1" t="s">
        <v>2496</v>
      </c>
      <c r="L992" s="1" t="s">
        <v>2493</v>
      </c>
      <c r="M992" s="41">
        <v>46087</v>
      </c>
    </row>
    <row r="993" spans="1:13" x14ac:dyDescent="0.25">
      <c r="A993" s="1" t="s">
        <v>2491</v>
      </c>
      <c r="B993" s="1" t="s">
        <v>120</v>
      </c>
      <c r="C993" s="1" t="s">
        <v>7</v>
      </c>
      <c r="D993" s="1" t="s">
        <v>1415</v>
      </c>
      <c r="E993" s="1" t="s">
        <v>1416</v>
      </c>
      <c r="F993" s="1" t="s">
        <v>2420</v>
      </c>
      <c r="G993" s="1" t="s">
        <v>119</v>
      </c>
      <c r="H993" s="1" t="s">
        <v>36</v>
      </c>
      <c r="I993" s="1" t="s">
        <v>24</v>
      </c>
      <c r="J993" s="1" t="s">
        <v>34</v>
      </c>
      <c r="K993" s="1" t="s">
        <v>2497</v>
      </c>
      <c r="L993" s="1" t="s">
        <v>2493</v>
      </c>
      <c r="M993" s="41">
        <v>46087</v>
      </c>
    </row>
    <row r="994" spans="1:13" x14ac:dyDescent="0.25">
      <c r="A994" s="1" t="s">
        <v>2491</v>
      </c>
      <c r="B994" s="1" t="s">
        <v>120</v>
      </c>
      <c r="C994" s="1" t="s">
        <v>7</v>
      </c>
      <c r="D994" s="1" t="s">
        <v>1415</v>
      </c>
      <c r="E994" s="1" t="s">
        <v>1416</v>
      </c>
      <c r="F994" s="1" t="s">
        <v>2420</v>
      </c>
      <c r="G994" s="1" t="s">
        <v>119</v>
      </c>
      <c r="H994" s="1" t="s">
        <v>36</v>
      </c>
      <c r="I994" s="1" t="s">
        <v>25</v>
      </c>
      <c r="J994" s="1" t="s">
        <v>34</v>
      </c>
      <c r="K994" s="1" t="s">
        <v>2498</v>
      </c>
      <c r="L994" s="1" t="s">
        <v>2493</v>
      </c>
      <c r="M994" s="41">
        <v>46087</v>
      </c>
    </row>
    <row r="995" spans="1:13" x14ac:dyDescent="0.25">
      <c r="A995" s="1" t="s">
        <v>2491</v>
      </c>
      <c r="B995" s="1" t="s">
        <v>120</v>
      </c>
      <c r="C995" s="1" t="s">
        <v>7</v>
      </c>
      <c r="D995" s="1" t="s">
        <v>1415</v>
      </c>
      <c r="E995" s="1" t="s">
        <v>1416</v>
      </c>
      <c r="F995" s="1" t="s">
        <v>2420</v>
      </c>
      <c r="G995" s="1" t="s">
        <v>119</v>
      </c>
      <c r="H995" s="1" t="s">
        <v>36</v>
      </c>
      <c r="I995" s="1" t="s">
        <v>26</v>
      </c>
      <c r="J995" s="1" t="s">
        <v>34</v>
      </c>
      <c r="K995" s="1" t="s">
        <v>2499</v>
      </c>
      <c r="L995" s="1" t="s">
        <v>2493</v>
      </c>
      <c r="M995" s="41">
        <v>46087</v>
      </c>
    </row>
    <row r="996" spans="1:13" x14ac:dyDescent="0.25">
      <c r="A996" s="1" t="s">
        <v>2491</v>
      </c>
      <c r="B996" s="1" t="s">
        <v>120</v>
      </c>
      <c r="C996" s="1" t="s">
        <v>7</v>
      </c>
      <c r="D996" s="1" t="s">
        <v>1415</v>
      </c>
      <c r="E996" s="1" t="s">
        <v>1416</v>
      </c>
      <c r="F996" s="1" t="s">
        <v>2420</v>
      </c>
      <c r="G996" s="1" t="s">
        <v>119</v>
      </c>
      <c r="H996" s="1" t="s">
        <v>36</v>
      </c>
      <c r="I996" s="1" t="s">
        <v>27</v>
      </c>
      <c r="J996" s="1" t="s">
        <v>34</v>
      </c>
      <c r="K996" s="1" t="s">
        <v>2500</v>
      </c>
      <c r="L996" s="1" t="s">
        <v>2493</v>
      </c>
      <c r="M996" s="41">
        <v>46087</v>
      </c>
    </row>
    <row r="997" spans="1:13" x14ac:dyDescent="0.25">
      <c r="A997" s="1" t="s">
        <v>2491</v>
      </c>
      <c r="B997" s="1" t="s">
        <v>120</v>
      </c>
      <c r="C997" s="1" t="s">
        <v>7</v>
      </c>
      <c r="D997" s="1" t="s">
        <v>1415</v>
      </c>
      <c r="E997" s="1" t="s">
        <v>1416</v>
      </c>
      <c r="F997" s="1" t="s">
        <v>2420</v>
      </c>
      <c r="G997" s="1" t="s">
        <v>119</v>
      </c>
      <c r="H997" s="1" t="s">
        <v>36</v>
      </c>
      <c r="I997" s="1" t="s">
        <v>28</v>
      </c>
      <c r="J997" s="1" t="s">
        <v>34</v>
      </c>
      <c r="K997" s="1" t="s">
        <v>2501</v>
      </c>
      <c r="L997" s="1" t="s">
        <v>2493</v>
      </c>
      <c r="M997" s="41">
        <v>46087</v>
      </c>
    </row>
    <row r="998" spans="1:13" x14ac:dyDescent="0.25">
      <c r="A998" s="1" t="s">
        <v>2491</v>
      </c>
      <c r="B998" s="1" t="s">
        <v>120</v>
      </c>
      <c r="C998" s="1" t="s">
        <v>7</v>
      </c>
      <c r="D998" s="1" t="s">
        <v>1415</v>
      </c>
      <c r="E998" s="1" t="s">
        <v>1416</v>
      </c>
      <c r="F998" s="1" t="s">
        <v>2420</v>
      </c>
      <c r="G998" s="1" t="s">
        <v>119</v>
      </c>
      <c r="H998" s="1" t="s">
        <v>36</v>
      </c>
      <c r="I998" s="1" t="s">
        <v>29</v>
      </c>
      <c r="J998" s="1" t="s">
        <v>34</v>
      </c>
      <c r="K998" s="1" t="s">
        <v>2502</v>
      </c>
      <c r="L998" s="1" t="s">
        <v>2493</v>
      </c>
      <c r="M998" s="41">
        <v>46087</v>
      </c>
    </row>
    <row r="999" spans="1:13" x14ac:dyDescent="0.25">
      <c r="A999" s="1" t="s">
        <v>2491</v>
      </c>
      <c r="B999" s="1" t="s">
        <v>120</v>
      </c>
      <c r="C999" s="1" t="s">
        <v>7</v>
      </c>
      <c r="D999" s="1" t="s">
        <v>1415</v>
      </c>
      <c r="E999" s="1" t="s">
        <v>1416</v>
      </c>
      <c r="F999" s="1" t="s">
        <v>2420</v>
      </c>
      <c r="G999" s="1" t="s">
        <v>119</v>
      </c>
      <c r="H999" s="1" t="s">
        <v>36</v>
      </c>
      <c r="I999" s="1" t="s">
        <v>30</v>
      </c>
      <c r="J999" s="1" t="s">
        <v>34</v>
      </c>
      <c r="K999" s="1" t="s">
        <v>2503</v>
      </c>
      <c r="L999" s="1" t="s">
        <v>2493</v>
      </c>
      <c r="M999" s="41">
        <v>46087</v>
      </c>
    </row>
    <row r="1000" spans="1:13" x14ac:dyDescent="0.25">
      <c r="A1000" s="1" t="s">
        <v>2491</v>
      </c>
      <c r="B1000" s="1" t="s">
        <v>120</v>
      </c>
      <c r="C1000" s="1" t="s">
        <v>7</v>
      </c>
      <c r="D1000" s="1" t="s">
        <v>1415</v>
      </c>
      <c r="E1000" s="1" t="s">
        <v>1416</v>
      </c>
      <c r="F1000" s="1" t="s">
        <v>2420</v>
      </c>
      <c r="G1000" s="1" t="s">
        <v>119</v>
      </c>
      <c r="H1000" s="1" t="s">
        <v>36</v>
      </c>
      <c r="I1000" s="1" t="s">
        <v>31</v>
      </c>
      <c r="J1000" s="1" t="s">
        <v>34</v>
      </c>
      <c r="K1000" s="1" t="s">
        <v>2504</v>
      </c>
      <c r="L1000" s="1" t="s">
        <v>2493</v>
      </c>
      <c r="M1000" s="41">
        <v>46087</v>
      </c>
    </row>
    <row r="1001" spans="1:13" x14ac:dyDescent="0.25">
      <c r="A1001" s="1" t="s">
        <v>2491</v>
      </c>
      <c r="B1001" s="1" t="s">
        <v>120</v>
      </c>
      <c r="C1001" s="1" t="s">
        <v>7</v>
      </c>
      <c r="D1001" s="1" t="s">
        <v>1415</v>
      </c>
      <c r="E1001" s="1" t="s">
        <v>1416</v>
      </c>
      <c r="F1001" s="1" t="s">
        <v>2420</v>
      </c>
      <c r="G1001" s="1" t="s">
        <v>119</v>
      </c>
      <c r="H1001" s="1" t="s">
        <v>36</v>
      </c>
      <c r="I1001" s="1" t="s">
        <v>32</v>
      </c>
      <c r="J1001" s="1" t="s">
        <v>34</v>
      </c>
      <c r="K1001" s="1" t="s">
        <v>2505</v>
      </c>
      <c r="L1001" s="1" t="s">
        <v>2493</v>
      </c>
      <c r="M1001" s="41">
        <v>46087</v>
      </c>
    </row>
    <row r="1002" spans="1:13" x14ac:dyDescent="0.25">
      <c r="A1002" s="1" t="s">
        <v>2506</v>
      </c>
      <c r="B1002" s="1" t="s">
        <v>121</v>
      </c>
      <c r="C1002" s="1" t="s">
        <v>7</v>
      </c>
      <c r="D1002" s="1" t="s">
        <v>1415</v>
      </c>
      <c r="E1002" s="1" t="s">
        <v>1416</v>
      </c>
      <c r="F1002" s="1" t="s">
        <v>2420</v>
      </c>
      <c r="G1002" s="1" t="s">
        <v>38</v>
      </c>
      <c r="H1002" s="1" t="s">
        <v>36</v>
      </c>
      <c r="I1002" s="1" t="s">
        <v>20</v>
      </c>
      <c r="J1002" s="1" t="s">
        <v>34</v>
      </c>
      <c r="K1002" s="1" t="s">
        <v>2507</v>
      </c>
      <c r="L1002" s="1" t="s">
        <v>2094</v>
      </c>
      <c r="M1002" s="41">
        <v>46217</v>
      </c>
    </row>
    <row r="1003" spans="1:13" x14ac:dyDescent="0.25">
      <c r="A1003" s="1" t="s">
        <v>2506</v>
      </c>
      <c r="B1003" s="1" t="s">
        <v>121</v>
      </c>
      <c r="C1003" s="1" t="s">
        <v>7</v>
      </c>
      <c r="D1003" s="1" t="s">
        <v>1415</v>
      </c>
      <c r="E1003" s="1" t="s">
        <v>1416</v>
      </c>
      <c r="F1003" s="1" t="s">
        <v>2420</v>
      </c>
      <c r="G1003" s="1" t="s">
        <v>38</v>
      </c>
      <c r="H1003" s="1" t="s">
        <v>36</v>
      </c>
      <c r="I1003" s="1" t="s">
        <v>21</v>
      </c>
      <c r="J1003" s="1" t="s">
        <v>34</v>
      </c>
      <c r="K1003" s="1" t="s">
        <v>2508</v>
      </c>
      <c r="L1003" s="1" t="s">
        <v>2094</v>
      </c>
      <c r="M1003" s="41">
        <v>46087</v>
      </c>
    </row>
    <row r="1004" spans="1:13" x14ac:dyDescent="0.25">
      <c r="A1004" s="1" t="s">
        <v>2506</v>
      </c>
      <c r="B1004" s="1" t="s">
        <v>121</v>
      </c>
      <c r="C1004" s="1" t="s">
        <v>7</v>
      </c>
      <c r="D1004" s="1" t="s">
        <v>1415</v>
      </c>
      <c r="E1004" s="1" t="s">
        <v>1416</v>
      </c>
      <c r="F1004" s="1" t="s">
        <v>2420</v>
      </c>
      <c r="G1004" s="1" t="s">
        <v>38</v>
      </c>
      <c r="H1004" s="1" t="s">
        <v>36</v>
      </c>
      <c r="I1004" s="1" t="s">
        <v>22</v>
      </c>
      <c r="J1004" s="1" t="s">
        <v>34</v>
      </c>
      <c r="K1004" s="1" t="s">
        <v>2509</v>
      </c>
      <c r="L1004" s="1" t="s">
        <v>2094</v>
      </c>
      <c r="M1004" s="41">
        <v>46087</v>
      </c>
    </row>
    <row r="1005" spans="1:13" x14ac:dyDescent="0.25">
      <c r="A1005" s="1" t="s">
        <v>2506</v>
      </c>
      <c r="B1005" s="1" t="s">
        <v>121</v>
      </c>
      <c r="C1005" s="1" t="s">
        <v>7</v>
      </c>
      <c r="D1005" s="1" t="s">
        <v>1415</v>
      </c>
      <c r="E1005" s="1" t="s">
        <v>1416</v>
      </c>
      <c r="F1005" s="1" t="s">
        <v>2420</v>
      </c>
      <c r="G1005" s="1" t="s">
        <v>38</v>
      </c>
      <c r="H1005" s="1" t="s">
        <v>36</v>
      </c>
      <c r="I1005" s="1" t="s">
        <v>23</v>
      </c>
      <c r="J1005" s="1" t="s">
        <v>34</v>
      </c>
      <c r="K1005" s="1" t="s">
        <v>2510</v>
      </c>
      <c r="L1005" s="1" t="s">
        <v>2094</v>
      </c>
      <c r="M1005" s="41">
        <v>46110</v>
      </c>
    </row>
    <row r="1006" spans="1:13" x14ac:dyDescent="0.25">
      <c r="A1006" s="1" t="s">
        <v>2506</v>
      </c>
      <c r="B1006" s="1" t="s">
        <v>121</v>
      </c>
      <c r="C1006" s="1" t="s">
        <v>7</v>
      </c>
      <c r="D1006" s="1" t="s">
        <v>1415</v>
      </c>
      <c r="E1006" s="1" t="s">
        <v>1416</v>
      </c>
      <c r="F1006" s="1" t="s">
        <v>2420</v>
      </c>
      <c r="G1006" s="1" t="s">
        <v>38</v>
      </c>
      <c r="H1006" s="1" t="s">
        <v>36</v>
      </c>
      <c r="I1006" s="1" t="s">
        <v>24</v>
      </c>
      <c r="J1006" s="1" t="s">
        <v>34</v>
      </c>
      <c r="K1006" s="1" t="s">
        <v>2511</v>
      </c>
      <c r="L1006" s="1" t="s">
        <v>2094</v>
      </c>
      <c r="M1006" s="41">
        <v>46110</v>
      </c>
    </row>
    <row r="1007" spans="1:13" x14ac:dyDescent="0.25">
      <c r="A1007" s="1" t="s">
        <v>2506</v>
      </c>
      <c r="B1007" s="1" t="s">
        <v>121</v>
      </c>
      <c r="C1007" s="1" t="s">
        <v>7</v>
      </c>
      <c r="D1007" s="1" t="s">
        <v>1415</v>
      </c>
      <c r="E1007" s="1" t="s">
        <v>1416</v>
      </c>
      <c r="F1007" s="1" t="s">
        <v>2420</v>
      </c>
      <c r="G1007" s="1" t="s">
        <v>38</v>
      </c>
      <c r="H1007" s="1" t="s">
        <v>36</v>
      </c>
      <c r="I1007" s="1" t="s">
        <v>25</v>
      </c>
      <c r="J1007" s="1" t="s">
        <v>34</v>
      </c>
      <c r="K1007" s="1" t="s">
        <v>2512</v>
      </c>
      <c r="L1007" s="1" t="s">
        <v>2094</v>
      </c>
      <c r="M1007" s="41">
        <v>46217</v>
      </c>
    </row>
    <row r="1008" spans="1:13" x14ac:dyDescent="0.25">
      <c r="A1008" s="1" t="s">
        <v>2506</v>
      </c>
      <c r="B1008" s="1" t="s">
        <v>121</v>
      </c>
      <c r="C1008" s="1" t="s">
        <v>7</v>
      </c>
      <c r="D1008" s="1" t="s">
        <v>1415</v>
      </c>
      <c r="E1008" s="1" t="s">
        <v>1416</v>
      </c>
      <c r="F1008" s="1" t="s">
        <v>2420</v>
      </c>
      <c r="G1008" s="1" t="s">
        <v>38</v>
      </c>
      <c r="H1008" s="1" t="s">
        <v>36</v>
      </c>
      <c r="I1008" s="1" t="s">
        <v>26</v>
      </c>
      <c r="J1008" s="1" t="s">
        <v>34</v>
      </c>
      <c r="K1008" s="1" t="s">
        <v>2513</v>
      </c>
      <c r="L1008" s="1" t="s">
        <v>2094</v>
      </c>
      <c r="M1008" s="41">
        <v>46110</v>
      </c>
    </row>
    <row r="1009" spans="1:13" x14ac:dyDescent="0.25">
      <c r="A1009" s="1" t="s">
        <v>2506</v>
      </c>
      <c r="B1009" s="1" t="s">
        <v>121</v>
      </c>
      <c r="C1009" s="1" t="s">
        <v>7</v>
      </c>
      <c r="D1009" s="1" t="s">
        <v>1415</v>
      </c>
      <c r="E1009" s="1" t="s">
        <v>1416</v>
      </c>
      <c r="F1009" s="1" t="s">
        <v>2420</v>
      </c>
      <c r="G1009" s="1" t="s">
        <v>38</v>
      </c>
      <c r="H1009" s="1" t="s">
        <v>36</v>
      </c>
      <c r="I1009" s="1" t="s">
        <v>27</v>
      </c>
      <c r="J1009" s="1" t="s">
        <v>34</v>
      </c>
      <c r="K1009" s="1" t="s">
        <v>2514</v>
      </c>
      <c r="L1009" s="1" t="s">
        <v>2094</v>
      </c>
      <c r="M1009" s="41">
        <v>46110</v>
      </c>
    </row>
    <row r="1010" spans="1:13" x14ac:dyDescent="0.25">
      <c r="A1010" s="1" t="s">
        <v>2506</v>
      </c>
      <c r="B1010" s="1" t="s">
        <v>121</v>
      </c>
      <c r="C1010" s="1" t="s">
        <v>7</v>
      </c>
      <c r="D1010" s="1" t="s">
        <v>1415</v>
      </c>
      <c r="E1010" s="1" t="s">
        <v>1416</v>
      </c>
      <c r="F1010" s="1" t="s">
        <v>2420</v>
      </c>
      <c r="G1010" s="1" t="s">
        <v>38</v>
      </c>
      <c r="H1010" s="1" t="s">
        <v>36</v>
      </c>
      <c r="I1010" s="1" t="s">
        <v>28</v>
      </c>
      <c r="J1010" s="1" t="s">
        <v>34</v>
      </c>
      <c r="K1010" s="1" t="s">
        <v>2515</v>
      </c>
      <c r="L1010" s="1" t="s">
        <v>2094</v>
      </c>
      <c r="M1010" s="41">
        <v>46110</v>
      </c>
    </row>
    <row r="1011" spans="1:13" x14ac:dyDescent="0.25">
      <c r="A1011" s="1" t="s">
        <v>2506</v>
      </c>
      <c r="B1011" s="1" t="s">
        <v>121</v>
      </c>
      <c r="C1011" s="1" t="s">
        <v>7</v>
      </c>
      <c r="D1011" s="1" t="s">
        <v>1415</v>
      </c>
      <c r="E1011" s="1" t="s">
        <v>1416</v>
      </c>
      <c r="F1011" s="1" t="s">
        <v>2420</v>
      </c>
      <c r="G1011" s="1" t="s">
        <v>38</v>
      </c>
      <c r="H1011" s="1" t="s">
        <v>36</v>
      </c>
      <c r="I1011" s="1" t="s">
        <v>29</v>
      </c>
      <c r="J1011" s="1" t="s">
        <v>34</v>
      </c>
      <c r="K1011" s="1" t="s">
        <v>2516</v>
      </c>
      <c r="L1011" s="1" t="s">
        <v>2094</v>
      </c>
      <c r="M1011" s="41">
        <v>46110</v>
      </c>
    </row>
    <row r="1012" spans="1:13" x14ac:dyDescent="0.25">
      <c r="A1012" s="1" t="s">
        <v>2506</v>
      </c>
      <c r="B1012" s="1" t="s">
        <v>121</v>
      </c>
      <c r="C1012" s="1" t="s">
        <v>7</v>
      </c>
      <c r="D1012" s="1" t="s">
        <v>1415</v>
      </c>
      <c r="E1012" s="1" t="s">
        <v>1416</v>
      </c>
      <c r="F1012" s="1" t="s">
        <v>2420</v>
      </c>
      <c r="G1012" s="1" t="s">
        <v>38</v>
      </c>
      <c r="H1012" s="1" t="s">
        <v>36</v>
      </c>
      <c r="I1012" s="1" t="s">
        <v>30</v>
      </c>
      <c r="J1012" s="1" t="s">
        <v>34</v>
      </c>
      <c r="K1012" s="1" t="s">
        <v>2517</v>
      </c>
      <c r="L1012" s="1" t="s">
        <v>2094</v>
      </c>
      <c r="M1012" s="41">
        <v>46087</v>
      </c>
    </row>
    <row r="1013" spans="1:13" x14ac:dyDescent="0.25">
      <c r="A1013" s="1" t="s">
        <v>2506</v>
      </c>
      <c r="B1013" s="1" t="s">
        <v>121</v>
      </c>
      <c r="C1013" s="1" t="s">
        <v>7</v>
      </c>
      <c r="D1013" s="1" t="s">
        <v>1415</v>
      </c>
      <c r="E1013" s="1" t="s">
        <v>1416</v>
      </c>
      <c r="F1013" s="1" t="s">
        <v>2420</v>
      </c>
      <c r="G1013" s="1" t="s">
        <v>38</v>
      </c>
      <c r="H1013" s="1" t="s">
        <v>36</v>
      </c>
      <c r="I1013" s="1" t="s">
        <v>31</v>
      </c>
      <c r="J1013" s="1" t="s">
        <v>34</v>
      </c>
      <c r="K1013" s="1" t="s">
        <v>2518</v>
      </c>
      <c r="L1013" s="1" t="s">
        <v>2094</v>
      </c>
      <c r="M1013" s="41">
        <v>46087</v>
      </c>
    </row>
    <row r="1014" spans="1:13" x14ac:dyDescent="0.25">
      <c r="A1014" s="1" t="s">
        <v>2506</v>
      </c>
      <c r="B1014" s="1" t="s">
        <v>121</v>
      </c>
      <c r="C1014" s="1" t="s">
        <v>7</v>
      </c>
      <c r="D1014" s="1" t="s">
        <v>1415</v>
      </c>
      <c r="E1014" s="1" t="s">
        <v>1416</v>
      </c>
      <c r="F1014" s="1" t="s">
        <v>2420</v>
      </c>
      <c r="G1014" s="1" t="s">
        <v>38</v>
      </c>
      <c r="H1014" s="1" t="s">
        <v>36</v>
      </c>
      <c r="I1014" s="1" t="s">
        <v>32</v>
      </c>
      <c r="J1014" s="1" t="s">
        <v>34</v>
      </c>
      <c r="K1014" s="1" t="s">
        <v>2519</v>
      </c>
      <c r="L1014" s="1" t="s">
        <v>2094</v>
      </c>
      <c r="M1014" s="41">
        <v>46217</v>
      </c>
    </row>
    <row r="1015" spans="1:13" x14ac:dyDescent="0.25">
      <c r="A1015" s="1" t="s">
        <v>2520</v>
      </c>
      <c r="B1015" s="1" t="s">
        <v>123</v>
      </c>
      <c r="C1015" s="1" t="s">
        <v>7</v>
      </c>
      <c r="D1015" s="1" t="s">
        <v>1415</v>
      </c>
      <c r="E1015" s="1" t="s">
        <v>1416</v>
      </c>
      <c r="F1015" s="1" t="s">
        <v>2521</v>
      </c>
      <c r="G1015" s="1" t="s">
        <v>61</v>
      </c>
      <c r="H1015" s="1" t="s">
        <v>36</v>
      </c>
      <c r="I1015" s="1" t="s">
        <v>20</v>
      </c>
      <c r="J1015" s="1" t="s">
        <v>34</v>
      </c>
      <c r="K1015" s="1" t="s">
        <v>2522</v>
      </c>
      <c r="L1015" s="1" t="s">
        <v>1978</v>
      </c>
      <c r="M1015" s="41">
        <v>46188</v>
      </c>
    </row>
    <row r="1016" spans="1:13" x14ac:dyDescent="0.25">
      <c r="A1016" s="1" t="s">
        <v>2520</v>
      </c>
      <c r="B1016" s="1" t="s">
        <v>123</v>
      </c>
      <c r="C1016" s="1" t="s">
        <v>7</v>
      </c>
      <c r="D1016" s="1" t="s">
        <v>1415</v>
      </c>
      <c r="E1016" s="1" t="s">
        <v>1416</v>
      </c>
      <c r="F1016" s="1" t="s">
        <v>2521</v>
      </c>
      <c r="G1016" s="1" t="s">
        <v>61</v>
      </c>
      <c r="H1016" s="1" t="s">
        <v>36</v>
      </c>
      <c r="I1016" s="1" t="s">
        <v>21</v>
      </c>
      <c r="J1016" s="1" t="s">
        <v>34</v>
      </c>
      <c r="K1016" s="1" t="s">
        <v>2523</v>
      </c>
      <c r="L1016" s="1" t="s">
        <v>1978</v>
      </c>
      <c r="M1016" s="41">
        <v>46188</v>
      </c>
    </row>
    <row r="1017" spans="1:13" x14ac:dyDescent="0.25">
      <c r="A1017" s="1" t="s">
        <v>2520</v>
      </c>
      <c r="B1017" s="1" t="s">
        <v>123</v>
      </c>
      <c r="C1017" s="1" t="s">
        <v>7</v>
      </c>
      <c r="D1017" s="1" t="s">
        <v>1415</v>
      </c>
      <c r="E1017" s="1" t="s">
        <v>1416</v>
      </c>
      <c r="F1017" s="1" t="s">
        <v>2521</v>
      </c>
      <c r="G1017" s="1" t="s">
        <v>61</v>
      </c>
      <c r="H1017" s="1" t="s">
        <v>36</v>
      </c>
      <c r="I1017" s="1" t="s">
        <v>22</v>
      </c>
      <c r="J1017" s="1" t="s">
        <v>34</v>
      </c>
      <c r="K1017" s="1" t="s">
        <v>2524</v>
      </c>
      <c r="L1017" s="1" t="s">
        <v>1978</v>
      </c>
      <c r="M1017" s="41">
        <v>46087</v>
      </c>
    </row>
    <row r="1018" spans="1:13" x14ac:dyDescent="0.25">
      <c r="A1018" s="1" t="s">
        <v>2520</v>
      </c>
      <c r="B1018" s="1" t="s">
        <v>123</v>
      </c>
      <c r="C1018" s="1" t="s">
        <v>7</v>
      </c>
      <c r="D1018" s="1" t="s">
        <v>1415</v>
      </c>
      <c r="E1018" s="1" t="s">
        <v>1416</v>
      </c>
      <c r="F1018" s="1" t="s">
        <v>2521</v>
      </c>
      <c r="G1018" s="1" t="s">
        <v>61</v>
      </c>
      <c r="H1018" s="1" t="s">
        <v>36</v>
      </c>
      <c r="I1018" s="1" t="s">
        <v>23</v>
      </c>
      <c r="J1018" s="1" t="s">
        <v>34</v>
      </c>
      <c r="K1018" s="1" t="s">
        <v>2525</v>
      </c>
      <c r="L1018" s="1" t="s">
        <v>1978</v>
      </c>
      <c r="M1018" s="41">
        <v>46087</v>
      </c>
    </row>
    <row r="1019" spans="1:13" x14ac:dyDescent="0.25">
      <c r="A1019" s="1" t="s">
        <v>2520</v>
      </c>
      <c r="B1019" s="1" t="s">
        <v>123</v>
      </c>
      <c r="C1019" s="1" t="s">
        <v>7</v>
      </c>
      <c r="D1019" s="1" t="s">
        <v>1415</v>
      </c>
      <c r="E1019" s="1" t="s">
        <v>1416</v>
      </c>
      <c r="F1019" s="1" t="s">
        <v>2521</v>
      </c>
      <c r="G1019" s="1" t="s">
        <v>61</v>
      </c>
      <c r="H1019" s="1" t="s">
        <v>36</v>
      </c>
      <c r="I1019" s="1" t="s">
        <v>24</v>
      </c>
      <c r="J1019" s="1" t="s">
        <v>34</v>
      </c>
      <c r="K1019" s="1" t="s">
        <v>2526</v>
      </c>
      <c r="L1019" s="1" t="s">
        <v>1978</v>
      </c>
      <c r="M1019" s="41">
        <v>46087</v>
      </c>
    </row>
    <row r="1020" spans="1:13" x14ac:dyDescent="0.25">
      <c r="A1020" s="1" t="s">
        <v>2520</v>
      </c>
      <c r="B1020" s="1" t="s">
        <v>123</v>
      </c>
      <c r="C1020" s="1" t="s">
        <v>7</v>
      </c>
      <c r="D1020" s="1" t="s">
        <v>1415</v>
      </c>
      <c r="E1020" s="1" t="s">
        <v>1416</v>
      </c>
      <c r="F1020" s="1" t="s">
        <v>2521</v>
      </c>
      <c r="G1020" s="1" t="s">
        <v>61</v>
      </c>
      <c r="H1020" s="1" t="s">
        <v>36</v>
      </c>
      <c r="I1020" s="1" t="s">
        <v>25</v>
      </c>
      <c r="J1020" s="1" t="s">
        <v>34</v>
      </c>
      <c r="K1020" s="1" t="s">
        <v>2527</v>
      </c>
      <c r="L1020" s="1" t="s">
        <v>1978</v>
      </c>
      <c r="M1020" s="41">
        <v>46087</v>
      </c>
    </row>
    <row r="1021" spans="1:13" x14ac:dyDescent="0.25">
      <c r="A1021" s="1" t="s">
        <v>2520</v>
      </c>
      <c r="B1021" s="1" t="s">
        <v>123</v>
      </c>
      <c r="C1021" s="1" t="s">
        <v>7</v>
      </c>
      <c r="D1021" s="1" t="s">
        <v>1415</v>
      </c>
      <c r="E1021" s="1" t="s">
        <v>1416</v>
      </c>
      <c r="F1021" s="1" t="s">
        <v>2521</v>
      </c>
      <c r="G1021" s="1" t="s">
        <v>61</v>
      </c>
      <c r="H1021" s="1" t="s">
        <v>36</v>
      </c>
      <c r="I1021" s="1" t="s">
        <v>26</v>
      </c>
      <c r="J1021" s="1" t="s">
        <v>34</v>
      </c>
      <c r="K1021" s="1" t="s">
        <v>2528</v>
      </c>
      <c r="L1021" s="1" t="s">
        <v>1978</v>
      </c>
      <c r="M1021" s="41">
        <v>46087</v>
      </c>
    </row>
    <row r="1022" spans="1:13" x14ac:dyDescent="0.25">
      <c r="A1022" s="1" t="s">
        <v>2520</v>
      </c>
      <c r="B1022" s="1" t="s">
        <v>123</v>
      </c>
      <c r="C1022" s="1" t="s">
        <v>7</v>
      </c>
      <c r="D1022" s="1" t="s">
        <v>1415</v>
      </c>
      <c r="E1022" s="1" t="s">
        <v>1416</v>
      </c>
      <c r="F1022" s="1" t="s">
        <v>2521</v>
      </c>
      <c r="G1022" s="1" t="s">
        <v>61</v>
      </c>
      <c r="H1022" s="1" t="s">
        <v>36</v>
      </c>
      <c r="I1022" s="1" t="s">
        <v>27</v>
      </c>
      <c r="J1022" s="1" t="s">
        <v>34</v>
      </c>
      <c r="K1022" s="1" t="s">
        <v>2529</v>
      </c>
      <c r="L1022" s="1" t="s">
        <v>1978</v>
      </c>
      <c r="M1022" s="41">
        <v>46087</v>
      </c>
    </row>
    <row r="1023" spans="1:13" x14ac:dyDescent="0.25">
      <c r="A1023" s="1" t="s">
        <v>2520</v>
      </c>
      <c r="B1023" s="1" t="s">
        <v>123</v>
      </c>
      <c r="C1023" s="1" t="s">
        <v>7</v>
      </c>
      <c r="D1023" s="1" t="s">
        <v>1415</v>
      </c>
      <c r="E1023" s="1" t="s">
        <v>1416</v>
      </c>
      <c r="F1023" s="1" t="s">
        <v>2521</v>
      </c>
      <c r="G1023" s="1" t="s">
        <v>61</v>
      </c>
      <c r="H1023" s="1" t="s">
        <v>36</v>
      </c>
      <c r="I1023" s="1" t="s">
        <v>28</v>
      </c>
      <c r="J1023" s="1" t="s">
        <v>34</v>
      </c>
      <c r="K1023" s="1" t="s">
        <v>2530</v>
      </c>
      <c r="L1023" s="1" t="s">
        <v>1978</v>
      </c>
      <c r="M1023" s="41">
        <v>46087</v>
      </c>
    </row>
    <row r="1024" spans="1:13" x14ac:dyDescent="0.25">
      <c r="A1024" s="1" t="s">
        <v>2520</v>
      </c>
      <c r="B1024" s="1" t="s">
        <v>123</v>
      </c>
      <c r="C1024" s="1" t="s">
        <v>7</v>
      </c>
      <c r="D1024" s="1" t="s">
        <v>1415</v>
      </c>
      <c r="E1024" s="1" t="s">
        <v>1416</v>
      </c>
      <c r="F1024" s="1" t="s">
        <v>2521</v>
      </c>
      <c r="G1024" s="1" t="s">
        <v>61</v>
      </c>
      <c r="H1024" s="1" t="s">
        <v>36</v>
      </c>
      <c r="I1024" s="1" t="s">
        <v>29</v>
      </c>
      <c r="J1024" s="1" t="s">
        <v>34</v>
      </c>
      <c r="K1024" s="1" t="s">
        <v>2531</v>
      </c>
      <c r="L1024" s="1" t="s">
        <v>1978</v>
      </c>
      <c r="M1024" s="41">
        <v>46087</v>
      </c>
    </row>
    <row r="1025" spans="1:13" x14ac:dyDescent="0.25">
      <c r="A1025" s="1" t="s">
        <v>2520</v>
      </c>
      <c r="B1025" s="1" t="s">
        <v>123</v>
      </c>
      <c r="C1025" s="1" t="s">
        <v>7</v>
      </c>
      <c r="D1025" s="1" t="s">
        <v>1415</v>
      </c>
      <c r="E1025" s="1" t="s">
        <v>1416</v>
      </c>
      <c r="F1025" s="1" t="s">
        <v>2521</v>
      </c>
      <c r="G1025" s="1" t="s">
        <v>61</v>
      </c>
      <c r="H1025" s="1" t="s">
        <v>36</v>
      </c>
      <c r="I1025" s="1" t="s">
        <v>30</v>
      </c>
      <c r="J1025" s="1" t="s">
        <v>34</v>
      </c>
      <c r="K1025" s="1" t="s">
        <v>2532</v>
      </c>
      <c r="L1025" s="1" t="s">
        <v>1978</v>
      </c>
      <c r="M1025" s="41">
        <v>46087</v>
      </c>
    </row>
    <row r="1026" spans="1:13" x14ac:dyDescent="0.25">
      <c r="A1026" s="1" t="s">
        <v>2520</v>
      </c>
      <c r="B1026" s="1" t="s">
        <v>123</v>
      </c>
      <c r="C1026" s="1" t="s">
        <v>7</v>
      </c>
      <c r="D1026" s="1" t="s">
        <v>1415</v>
      </c>
      <c r="E1026" s="1" t="s">
        <v>1416</v>
      </c>
      <c r="F1026" s="1" t="s">
        <v>2521</v>
      </c>
      <c r="G1026" s="1" t="s">
        <v>61</v>
      </c>
      <c r="H1026" s="1" t="s">
        <v>36</v>
      </c>
      <c r="I1026" s="1" t="s">
        <v>31</v>
      </c>
      <c r="J1026" s="1" t="s">
        <v>34</v>
      </c>
      <c r="K1026" s="1" t="s">
        <v>2533</v>
      </c>
      <c r="L1026" s="1" t="s">
        <v>1978</v>
      </c>
      <c r="M1026" s="41">
        <v>46188</v>
      </c>
    </row>
    <row r="1027" spans="1:13" x14ac:dyDescent="0.25">
      <c r="A1027" s="1" t="s">
        <v>2520</v>
      </c>
      <c r="B1027" s="1" t="s">
        <v>123</v>
      </c>
      <c r="C1027" s="1" t="s">
        <v>7</v>
      </c>
      <c r="D1027" s="1" t="s">
        <v>1415</v>
      </c>
      <c r="E1027" s="1" t="s">
        <v>1416</v>
      </c>
      <c r="F1027" s="1" t="s">
        <v>2521</v>
      </c>
      <c r="G1027" s="1" t="s">
        <v>61</v>
      </c>
      <c r="H1027" s="1" t="s">
        <v>36</v>
      </c>
      <c r="I1027" s="1" t="s">
        <v>32</v>
      </c>
      <c r="J1027" s="1" t="s">
        <v>34</v>
      </c>
      <c r="K1027" s="1" t="s">
        <v>2534</v>
      </c>
      <c r="L1027" s="1" t="s">
        <v>1978</v>
      </c>
      <c r="M1027" s="41">
        <v>46251</v>
      </c>
    </row>
    <row r="1028" spans="1:13" x14ac:dyDescent="0.25">
      <c r="A1028" s="1" t="s">
        <v>2535</v>
      </c>
      <c r="B1028" s="1" t="s">
        <v>124</v>
      </c>
      <c r="C1028" s="1" t="s">
        <v>7</v>
      </c>
      <c r="D1028" s="1" t="s">
        <v>1415</v>
      </c>
      <c r="E1028" s="1" t="s">
        <v>1416</v>
      </c>
      <c r="F1028" s="1" t="s">
        <v>2521</v>
      </c>
      <c r="G1028" s="1" t="s">
        <v>68</v>
      </c>
      <c r="H1028" s="1" t="s">
        <v>36</v>
      </c>
      <c r="I1028" s="1" t="s">
        <v>20</v>
      </c>
      <c r="J1028" s="1" t="s">
        <v>34</v>
      </c>
      <c r="K1028" s="1" t="s">
        <v>2536</v>
      </c>
      <c r="L1028" s="1" t="s">
        <v>1759</v>
      </c>
      <c r="M1028" s="41">
        <v>46302</v>
      </c>
    </row>
    <row r="1029" spans="1:13" x14ac:dyDescent="0.25">
      <c r="A1029" s="1" t="s">
        <v>2535</v>
      </c>
      <c r="B1029" s="1" t="s">
        <v>124</v>
      </c>
      <c r="C1029" s="1" t="s">
        <v>7</v>
      </c>
      <c r="D1029" s="1" t="s">
        <v>1415</v>
      </c>
      <c r="E1029" s="1" t="s">
        <v>1416</v>
      </c>
      <c r="F1029" s="1" t="s">
        <v>2521</v>
      </c>
      <c r="G1029" s="1" t="s">
        <v>68</v>
      </c>
      <c r="H1029" s="1" t="s">
        <v>36</v>
      </c>
      <c r="I1029" s="1" t="s">
        <v>21</v>
      </c>
      <c r="J1029" s="1" t="s">
        <v>34</v>
      </c>
      <c r="K1029" s="1" t="s">
        <v>2537</v>
      </c>
      <c r="L1029" s="1" t="s">
        <v>1759</v>
      </c>
      <c r="M1029" s="41">
        <v>46302</v>
      </c>
    </row>
    <row r="1030" spans="1:13" x14ac:dyDescent="0.25">
      <c r="A1030" s="1" t="s">
        <v>2535</v>
      </c>
      <c r="B1030" s="1" t="s">
        <v>124</v>
      </c>
      <c r="C1030" s="1" t="s">
        <v>7</v>
      </c>
      <c r="D1030" s="1" t="s">
        <v>1415</v>
      </c>
      <c r="E1030" s="1" t="s">
        <v>1416</v>
      </c>
      <c r="F1030" s="1" t="s">
        <v>2521</v>
      </c>
      <c r="G1030" s="1" t="s">
        <v>68</v>
      </c>
      <c r="H1030" s="1" t="s">
        <v>36</v>
      </c>
      <c r="I1030" s="1" t="s">
        <v>22</v>
      </c>
      <c r="J1030" s="1" t="s">
        <v>34</v>
      </c>
      <c r="K1030" s="1" t="s">
        <v>2538</v>
      </c>
      <c r="L1030" s="1" t="s">
        <v>1759</v>
      </c>
      <c r="M1030" s="41">
        <v>46302</v>
      </c>
    </row>
    <row r="1031" spans="1:13" x14ac:dyDescent="0.25">
      <c r="A1031" s="1" t="s">
        <v>2535</v>
      </c>
      <c r="B1031" s="1" t="s">
        <v>124</v>
      </c>
      <c r="C1031" s="1" t="s">
        <v>7</v>
      </c>
      <c r="D1031" s="1" t="s">
        <v>1415</v>
      </c>
      <c r="E1031" s="1" t="s">
        <v>1416</v>
      </c>
      <c r="F1031" s="1" t="s">
        <v>2521</v>
      </c>
      <c r="G1031" s="1" t="s">
        <v>68</v>
      </c>
      <c r="H1031" s="1" t="s">
        <v>36</v>
      </c>
      <c r="I1031" s="1" t="s">
        <v>23</v>
      </c>
      <c r="J1031" s="1" t="s">
        <v>34</v>
      </c>
      <c r="K1031" s="1" t="s">
        <v>2539</v>
      </c>
      <c r="L1031" s="1" t="s">
        <v>1759</v>
      </c>
      <c r="M1031" s="41">
        <v>46302</v>
      </c>
    </row>
    <row r="1032" spans="1:13" x14ac:dyDescent="0.25">
      <c r="A1032" s="1" t="s">
        <v>2535</v>
      </c>
      <c r="B1032" s="1" t="s">
        <v>124</v>
      </c>
      <c r="C1032" s="1" t="s">
        <v>7</v>
      </c>
      <c r="D1032" s="1" t="s">
        <v>1415</v>
      </c>
      <c r="E1032" s="1" t="s">
        <v>1416</v>
      </c>
      <c r="F1032" s="1" t="s">
        <v>2521</v>
      </c>
      <c r="G1032" s="1" t="s">
        <v>68</v>
      </c>
      <c r="H1032" s="1" t="s">
        <v>36</v>
      </c>
      <c r="I1032" s="1" t="s">
        <v>24</v>
      </c>
      <c r="J1032" s="1" t="s">
        <v>34</v>
      </c>
      <c r="K1032" s="1" t="s">
        <v>2540</v>
      </c>
      <c r="L1032" s="1" t="s">
        <v>1759</v>
      </c>
      <c r="M1032" s="41">
        <v>46302</v>
      </c>
    </row>
    <row r="1033" spans="1:13" x14ac:dyDescent="0.25">
      <c r="A1033" s="1" t="s">
        <v>2535</v>
      </c>
      <c r="B1033" s="1" t="s">
        <v>124</v>
      </c>
      <c r="C1033" s="1" t="s">
        <v>7</v>
      </c>
      <c r="D1033" s="1" t="s">
        <v>1415</v>
      </c>
      <c r="E1033" s="1" t="s">
        <v>1416</v>
      </c>
      <c r="F1033" s="1" t="s">
        <v>2521</v>
      </c>
      <c r="G1033" s="1" t="s">
        <v>68</v>
      </c>
      <c r="H1033" s="1" t="s">
        <v>36</v>
      </c>
      <c r="I1033" s="1" t="s">
        <v>25</v>
      </c>
      <c r="J1033" s="1" t="s">
        <v>34</v>
      </c>
      <c r="K1033" s="1" t="s">
        <v>2541</v>
      </c>
      <c r="L1033" s="1" t="s">
        <v>1759</v>
      </c>
      <c r="M1033" s="41">
        <v>46302</v>
      </c>
    </row>
    <row r="1034" spans="1:13" x14ac:dyDescent="0.25">
      <c r="A1034" s="1" t="s">
        <v>2535</v>
      </c>
      <c r="B1034" s="1" t="s">
        <v>124</v>
      </c>
      <c r="C1034" s="1" t="s">
        <v>7</v>
      </c>
      <c r="D1034" s="1" t="s">
        <v>1415</v>
      </c>
      <c r="E1034" s="1" t="s">
        <v>1416</v>
      </c>
      <c r="F1034" s="1" t="s">
        <v>2521</v>
      </c>
      <c r="G1034" s="1" t="s">
        <v>68</v>
      </c>
      <c r="H1034" s="1" t="s">
        <v>36</v>
      </c>
      <c r="I1034" s="1" t="s">
        <v>26</v>
      </c>
      <c r="J1034" s="1" t="s">
        <v>34</v>
      </c>
      <c r="K1034" s="1" t="s">
        <v>2542</v>
      </c>
      <c r="L1034" s="1" t="s">
        <v>1759</v>
      </c>
      <c r="M1034" s="41">
        <v>46302</v>
      </c>
    </row>
    <row r="1035" spans="1:13" x14ac:dyDescent="0.25">
      <c r="A1035" s="1" t="s">
        <v>2535</v>
      </c>
      <c r="B1035" s="1" t="s">
        <v>124</v>
      </c>
      <c r="C1035" s="1" t="s">
        <v>7</v>
      </c>
      <c r="D1035" s="1" t="s">
        <v>1415</v>
      </c>
      <c r="E1035" s="1" t="s">
        <v>1416</v>
      </c>
      <c r="F1035" s="1" t="s">
        <v>2521</v>
      </c>
      <c r="G1035" s="1" t="s">
        <v>68</v>
      </c>
      <c r="H1035" s="1" t="s">
        <v>36</v>
      </c>
      <c r="I1035" s="1" t="s">
        <v>27</v>
      </c>
      <c r="J1035" s="1" t="s">
        <v>34</v>
      </c>
      <c r="K1035" s="1" t="s">
        <v>2543</v>
      </c>
      <c r="L1035" s="1" t="s">
        <v>1759</v>
      </c>
      <c r="M1035" s="41">
        <v>46302</v>
      </c>
    </row>
    <row r="1036" spans="1:13" x14ac:dyDescent="0.25">
      <c r="A1036" s="1" t="s">
        <v>2535</v>
      </c>
      <c r="B1036" s="1" t="s">
        <v>124</v>
      </c>
      <c r="C1036" s="1" t="s">
        <v>7</v>
      </c>
      <c r="D1036" s="1" t="s">
        <v>1415</v>
      </c>
      <c r="E1036" s="1" t="s">
        <v>1416</v>
      </c>
      <c r="F1036" s="1" t="s">
        <v>2521</v>
      </c>
      <c r="G1036" s="1" t="s">
        <v>68</v>
      </c>
      <c r="H1036" s="1" t="s">
        <v>36</v>
      </c>
      <c r="I1036" s="1" t="s">
        <v>28</v>
      </c>
      <c r="J1036" s="1" t="s">
        <v>34</v>
      </c>
      <c r="K1036" s="1" t="s">
        <v>2544</v>
      </c>
      <c r="L1036" s="1" t="s">
        <v>1759</v>
      </c>
      <c r="M1036" s="41">
        <v>46302</v>
      </c>
    </row>
    <row r="1037" spans="1:13" x14ac:dyDescent="0.25">
      <c r="A1037" s="1" t="s">
        <v>2535</v>
      </c>
      <c r="B1037" s="1" t="s">
        <v>124</v>
      </c>
      <c r="C1037" s="1" t="s">
        <v>7</v>
      </c>
      <c r="D1037" s="1" t="s">
        <v>1415</v>
      </c>
      <c r="E1037" s="1" t="s">
        <v>1416</v>
      </c>
      <c r="F1037" s="1" t="s">
        <v>2521</v>
      </c>
      <c r="G1037" s="1" t="s">
        <v>68</v>
      </c>
      <c r="H1037" s="1" t="s">
        <v>36</v>
      </c>
      <c r="I1037" s="1" t="s">
        <v>29</v>
      </c>
      <c r="J1037" s="1" t="s">
        <v>34</v>
      </c>
      <c r="K1037" s="1" t="s">
        <v>2545</v>
      </c>
      <c r="L1037" s="1" t="s">
        <v>1759</v>
      </c>
      <c r="M1037" s="41">
        <v>46302</v>
      </c>
    </row>
    <row r="1038" spans="1:13" x14ac:dyDescent="0.25">
      <c r="A1038" s="1" t="s">
        <v>2535</v>
      </c>
      <c r="B1038" s="1" t="s">
        <v>124</v>
      </c>
      <c r="C1038" s="1" t="s">
        <v>7</v>
      </c>
      <c r="D1038" s="1" t="s">
        <v>1415</v>
      </c>
      <c r="E1038" s="1" t="s">
        <v>1416</v>
      </c>
      <c r="F1038" s="1" t="s">
        <v>2521</v>
      </c>
      <c r="G1038" s="1" t="s">
        <v>68</v>
      </c>
      <c r="H1038" s="1" t="s">
        <v>36</v>
      </c>
      <c r="I1038" s="1" t="s">
        <v>30</v>
      </c>
      <c r="J1038" s="1" t="s">
        <v>34</v>
      </c>
      <c r="K1038" s="1" t="s">
        <v>2546</v>
      </c>
      <c r="L1038" s="1" t="s">
        <v>1759</v>
      </c>
      <c r="M1038" s="41">
        <v>46302</v>
      </c>
    </row>
    <row r="1039" spans="1:13" x14ac:dyDescent="0.25">
      <c r="A1039" s="1" t="s">
        <v>2535</v>
      </c>
      <c r="B1039" s="1" t="s">
        <v>124</v>
      </c>
      <c r="C1039" s="1" t="s">
        <v>7</v>
      </c>
      <c r="D1039" s="1" t="s">
        <v>1415</v>
      </c>
      <c r="E1039" s="1" t="s">
        <v>1416</v>
      </c>
      <c r="F1039" s="1" t="s">
        <v>2521</v>
      </c>
      <c r="G1039" s="1" t="s">
        <v>68</v>
      </c>
      <c r="H1039" s="1" t="s">
        <v>36</v>
      </c>
      <c r="I1039" s="1" t="s">
        <v>31</v>
      </c>
      <c r="J1039" s="1" t="s">
        <v>34</v>
      </c>
      <c r="K1039" s="1" t="s">
        <v>2547</v>
      </c>
      <c r="L1039" s="1" t="s">
        <v>1759</v>
      </c>
      <c r="M1039" s="41">
        <v>46302</v>
      </c>
    </row>
    <row r="1040" spans="1:13" x14ac:dyDescent="0.25">
      <c r="A1040" s="1" t="s">
        <v>2535</v>
      </c>
      <c r="B1040" s="1" t="s">
        <v>124</v>
      </c>
      <c r="C1040" s="1" t="s">
        <v>7</v>
      </c>
      <c r="D1040" s="1" t="s">
        <v>1415</v>
      </c>
      <c r="E1040" s="1" t="s">
        <v>1416</v>
      </c>
      <c r="F1040" s="1" t="s">
        <v>2521</v>
      </c>
      <c r="G1040" s="1" t="s">
        <v>68</v>
      </c>
      <c r="H1040" s="1" t="s">
        <v>36</v>
      </c>
      <c r="I1040" s="1" t="s">
        <v>32</v>
      </c>
      <c r="J1040" s="1" t="s">
        <v>34</v>
      </c>
      <c r="K1040" s="1" t="s">
        <v>2548</v>
      </c>
      <c r="L1040" s="1" t="s">
        <v>1759</v>
      </c>
      <c r="M1040" s="41">
        <v>46302</v>
      </c>
    </row>
    <row r="1041" spans="1:13" x14ac:dyDescent="0.25">
      <c r="A1041" s="1" t="s">
        <v>2549</v>
      </c>
      <c r="B1041" s="1" t="s">
        <v>125</v>
      </c>
      <c r="C1041" s="1" t="s">
        <v>7</v>
      </c>
      <c r="D1041" s="1" t="s">
        <v>1415</v>
      </c>
      <c r="E1041" s="1" t="s">
        <v>1416</v>
      </c>
      <c r="F1041" s="1" t="s">
        <v>2521</v>
      </c>
      <c r="G1041" s="1" t="s">
        <v>68</v>
      </c>
      <c r="H1041" s="1" t="s">
        <v>36</v>
      </c>
      <c r="I1041" s="1" t="s">
        <v>20</v>
      </c>
      <c r="J1041" s="1" t="s">
        <v>34</v>
      </c>
      <c r="K1041" s="1" t="s">
        <v>2550</v>
      </c>
      <c r="L1041" s="1" t="s">
        <v>1816</v>
      </c>
      <c r="M1041" s="41">
        <v>46104</v>
      </c>
    </row>
    <row r="1042" spans="1:13" x14ac:dyDescent="0.25">
      <c r="A1042" s="1" t="s">
        <v>2549</v>
      </c>
      <c r="B1042" s="1" t="s">
        <v>125</v>
      </c>
      <c r="C1042" s="1" t="s">
        <v>7</v>
      </c>
      <c r="D1042" s="1" t="s">
        <v>1415</v>
      </c>
      <c r="E1042" s="1" t="s">
        <v>1416</v>
      </c>
      <c r="F1042" s="1" t="s">
        <v>2521</v>
      </c>
      <c r="G1042" s="1" t="s">
        <v>68</v>
      </c>
      <c r="H1042" s="1" t="s">
        <v>36</v>
      </c>
      <c r="I1042" s="1" t="s">
        <v>21</v>
      </c>
      <c r="J1042" s="1" t="s">
        <v>34</v>
      </c>
      <c r="K1042" s="1" t="s">
        <v>2551</v>
      </c>
      <c r="L1042" s="1" t="s">
        <v>1816</v>
      </c>
      <c r="M1042" s="41">
        <v>46188</v>
      </c>
    </row>
    <row r="1043" spans="1:13" x14ac:dyDescent="0.25">
      <c r="A1043" s="1" t="s">
        <v>2549</v>
      </c>
      <c r="B1043" s="1" t="s">
        <v>125</v>
      </c>
      <c r="C1043" s="1" t="s">
        <v>7</v>
      </c>
      <c r="D1043" s="1" t="s">
        <v>1415</v>
      </c>
      <c r="E1043" s="1" t="s">
        <v>1416</v>
      </c>
      <c r="F1043" s="1" t="s">
        <v>2521</v>
      </c>
      <c r="G1043" s="1" t="s">
        <v>68</v>
      </c>
      <c r="H1043" s="1" t="s">
        <v>36</v>
      </c>
      <c r="I1043" s="1" t="s">
        <v>22</v>
      </c>
      <c r="J1043" s="1" t="s">
        <v>34</v>
      </c>
      <c r="K1043" s="1" t="s">
        <v>2552</v>
      </c>
      <c r="L1043" s="1" t="s">
        <v>1816</v>
      </c>
      <c r="M1043" s="41">
        <v>46087</v>
      </c>
    </row>
    <row r="1044" spans="1:13" x14ac:dyDescent="0.25">
      <c r="A1044" s="1" t="s">
        <v>2549</v>
      </c>
      <c r="B1044" s="1" t="s">
        <v>125</v>
      </c>
      <c r="C1044" s="1" t="s">
        <v>7</v>
      </c>
      <c r="D1044" s="1" t="s">
        <v>1415</v>
      </c>
      <c r="E1044" s="1" t="s">
        <v>1416</v>
      </c>
      <c r="F1044" s="1" t="s">
        <v>2521</v>
      </c>
      <c r="G1044" s="1" t="s">
        <v>68</v>
      </c>
      <c r="H1044" s="1" t="s">
        <v>36</v>
      </c>
      <c r="I1044" s="1" t="s">
        <v>23</v>
      </c>
      <c r="J1044" s="1" t="s">
        <v>34</v>
      </c>
      <c r="K1044" s="1" t="s">
        <v>2553</v>
      </c>
      <c r="L1044" s="1" t="s">
        <v>1816</v>
      </c>
      <c r="M1044" s="41">
        <v>46087</v>
      </c>
    </row>
    <row r="1045" spans="1:13" x14ac:dyDescent="0.25">
      <c r="A1045" s="1" t="s">
        <v>2549</v>
      </c>
      <c r="B1045" s="1" t="s">
        <v>125</v>
      </c>
      <c r="C1045" s="1" t="s">
        <v>7</v>
      </c>
      <c r="D1045" s="1" t="s">
        <v>1415</v>
      </c>
      <c r="E1045" s="1" t="s">
        <v>1416</v>
      </c>
      <c r="F1045" s="1" t="s">
        <v>2521</v>
      </c>
      <c r="G1045" s="1" t="s">
        <v>68</v>
      </c>
      <c r="H1045" s="1" t="s">
        <v>36</v>
      </c>
      <c r="I1045" s="1" t="s">
        <v>24</v>
      </c>
      <c r="J1045" s="1" t="s">
        <v>34</v>
      </c>
      <c r="K1045" s="1" t="s">
        <v>2554</v>
      </c>
      <c r="L1045" s="1" t="s">
        <v>1816</v>
      </c>
      <c r="M1045" s="41">
        <v>46104</v>
      </c>
    </row>
    <row r="1046" spans="1:13" x14ac:dyDescent="0.25">
      <c r="A1046" s="1" t="s">
        <v>2549</v>
      </c>
      <c r="B1046" s="1" t="s">
        <v>125</v>
      </c>
      <c r="C1046" s="1" t="s">
        <v>7</v>
      </c>
      <c r="D1046" s="1" t="s">
        <v>1415</v>
      </c>
      <c r="E1046" s="1" t="s">
        <v>1416</v>
      </c>
      <c r="F1046" s="1" t="s">
        <v>2521</v>
      </c>
      <c r="G1046" s="1" t="s">
        <v>68</v>
      </c>
      <c r="H1046" s="1" t="s">
        <v>36</v>
      </c>
      <c r="I1046" s="1" t="s">
        <v>25</v>
      </c>
      <c r="J1046" s="1" t="s">
        <v>34</v>
      </c>
      <c r="K1046" s="1" t="s">
        <v>2555</v>
      </c>
      <c r="L1046" s="1" t="s">
        <v>1816</v>
      </c>
      <c r="M1046" s="41">
        <v>46104</v>
      </c>
    </row>
    <row r="1047" spans="1:13" x14ac:dyDescent="0.25">
      <c r="A1047" s="1" t="s">
        <v>2549</v>
      </c>
      <c r="B1047" s="1" t="s">
        <v>125</v>
      </c>
      <c r="C1047" s="1" t="s">
        <v>7</v>
      </c>
      <c r="D1047" s="1" t="s">
        <v>1415</v>
      </c>
      <c r="E1047" s="1" t="s">
        <v>1416</v>
      </c>
      <c r="F1047" s="1" t="s">
        <v>2521</v>
      </c>
      <c r="G1047" s="1" t="s">
        <v>68</v>
      </c>
      <c r="H1047" s="1" t="s">
        <v>36</v>
      </c>
      <c r="I1047" s="1" t="s">
        <v>26</v>
      </c>
      <c r="J1047" s="1" t="s">
        <v>34</v>
      </c>
      <c r="K1047" s="1" t="s">
        <v>2556</v>
      </c>
      <c r="L1047" s="1" t="s">
        <v>1816</v>
      </c>
      <c r="M1047" s="41">
        <v>46104</v>
      </c>
    </row>
    <row r="1048" spans="1:13" x14ac:dyDescent="0.25">
      <c r="A1048" s="1" t="s">
        <v>2549</v>
      </c>
      <c r="B1048" s="1" t="s">
        <v>125</v>
      </c>
      <c r="C1048" s="1" t="s">
        <v>7</v>
      </c>
      <c r="D1048" s="1" t="s">
        <v>1415</v>
      </c>
      <c r="E1048" s="1" t="s">
        <v>1416</v>
      </c>
      <c r="F1048" s="1" t="s">
        <v>2521</v>
      </c>
      <c r="G1048" s="1" t="s">
        <v>68</v>
      </c>
      <c r="H1048" s="1" t="s">
        <v>36</v>
      </c>
      <c r="I1048" s="1" t="s">
        <v>27</v>
      </c>
      <c r="J1048" s="1" t="s">
        <v>34</v>
      </c>
      <c r="K1048" s="1" t="s">
        <v>2557</v>
      </c>
      <c r="L1048" s="1" t="s">
        <v>1816</v>
      </c>
      <c r="M1048" s="41">
        <v>46104</v>
      </c>
    </row>
    <row r="1049" spans="1:13" x14ac:dyDescent="0.25">
      <c r="A1049" s="1" t="s">
        <v>2549</v>
      </c>
      <c r="B1049" s="1" t="s">
        <v>125</v>
      </c>
      <c r="C1049" s="1" t="s">
        <v>7</v>
      </c>
      <c r="D1049" s="1" t="s">
        <v>1415</v>
      </c>
      <c r="E1049" s="1" t="s">
        <v>1416</v>
      </c>
      <c r="F1049" s="1" t="s">
        <v>2521</v>
      </c>
      <c r="G1049" s="1" t="s">
        <v>68</v>
      </c>
      <c r="H1049" s="1" t="s">
        <v>36</v>
      </c>
      <c r="I1049" s="1" t="s">
        <v>28</v>
      </c>
      <c r="J1049" s="1" t="s">
        <v>34</v>
      </c>
      <c r="K1049" s="1" t="s">
        <v>2558</v>
      </c>
      <c r="L1049" s="1" t="s">
        <v>1816</v>
      </c>
      <c r="M1049" s="41">
        <v>46104</v>
      </c>
    </row>
    <row r="1050" spans="1:13" x14ac:dyDescent="0.25">
      <c r="A1050" s="1" t="s">
        <v>2549</v>
      </c>
      <c r="B1050" s="1" t="s">
        <v>125</v>
      </c>
      <c r="C1050" s="1" t="s">
        <v>7</v>
      </c>
      <c r="D1050" s="1" t="s">
        <v>1415</v>
      </c>
      <c r="E1050" s="1" t="s">
        <v>1416</v>
      </c>
      <c r="F1050" s="1" t="s">
        <v>2521</v>
      </c>
      <c r="G1050" s="1" t="s">
        <v>68</v>
      </c>
      <c r="H1050" s="1" t="s">
        <v>36</v>
      </c>
      <c r="I1050" s="1" t="s">
        <v>29</v>
      </c>
      <c r="J1050" s="1" t="s">
        <v>34</v>
      </c>
      <c r="K1050" s="1" t="s">
        <v>2559</v>
      </c>
      <c r="L1050" s="1" t="s">
        <v>1816</v>
      </c>
      <c r="M1050" s="41">
        <v>46104</v>
      </c>
    </row>
    <row r="1051" spans="1:13" x14ac:dyDescent="0.25">
      <c r="A1051" s="1" t="s">
        <v>2549</v>
      </c>
      <c r="B1051" s="1" t="s">
        <v>125</v>
      </c>
      <c r="C1051" s="1" t="s">
        <v>7</v>
      </c>
      <c r="D1051" s="1" t="s">
        <v>1415</v>
      </c>
      <c r="E1051" s="1" t="s">
        <v>1416</v>
      </c>
      <c r="F1051" s="1" t="s">
        <v>2521</v>
      </c>
      <c r="G1051" s="1" t="s">
        <v>68</v>
      </c>
      <c r="H1051" s="1" t="s">
        <v>36</v>
      </c>
      <c r="I1051" s="1" t="s">
        <v>30</v>
      </c>
      <c r="J1051" s="1" t="s">
        <v>34</v>
      </c>
      <c r="K1051" s="1" t="s">
        <v>2560</v>
      </c>
      <c r="L1051" s="1" t="s">
        <v>1816</v>
      </c>
      <c r="M1051" s="41">
        <v>46188</v>
      </c>
    </row>
    <row r="1052" spans="1:13" x14ac:dyDescent="0.25">
      <c r="A1052" s="1" t="s">
        <v>2549</v>
      </c>
      <c r="B1052" s="1" t="s">
        <v>125</v>
      </c>
      <c r="C1052" s="1" t="s">
        <v>7</v>
      </c>
      <c r="D1052" s="1" t="s">
        <v>1415</v>
      </c>
      <c r="E1052" s="1" t="s">
        <v>1416</v>
      </c>
      <c r="F1052" s="1" t="s">
        <v>2521</v>
      </c>
      <c r="G1052" s="1" t="s">
        <v>68</v>
      </c>
      <c r="H1052" s="1" t="s">
        <v>36</v>
      </c>
      <c r="I1052" s="1" t="s">
        <v>31</v>
      </c>
      <c r="J1052" s="1" t="s">
        <v>34</v>
      </c>
      <c r="K1052" s="1" t="s">
        <v>2561</v>
      </c>
      <c r="L1052" s="1" t="s">
        <v>1816</v>
      </c>
      <c r="M1052" s="41">
        <v>46188</v>
      </c>
    </row>
    <row r="1053" spans="1:13" x14ac:dyDescent="0.25">
      <c r="A1053" s="1" t="s">
        <v>2549</v>
      </c>
      <c r="B1053" s="1" t="s">
        <v>125</v>
      </c>
      <c r="C1053" s="1" t="s">
        <v>7</v>
      </c>
      <c r="D1053" s="1" t="s">
        <v>1415</v>
      </c>
      <c r="E1053" s="1" t="s">
        <v>1416</v>
      </c>
      <c r="F1053" s="1" t="s">
        <v>2521</v>
      </c>
      <c r="G1053" s="1" t="s">
        <v>68</v>
      </c>
      <c r="H1053" s="1" t="s">
        <v>36</v>
      </c>
      <c r="I1053" s="1" t="s">
        <v>32</v>
      </c>
      <c r="J1053" s="1" t="s">
        <v>34</v>
      </c>
      <c r="K1053" s="1" t="s">
        <v>2562</v>
      </c>
      <c r="L1053" s="1" t="s">
        <v>1816</v>
      </c>
      <c r="M1053" s="41">
        <v>46188</v>
      </c>
    </row>
    <row r="1054" spans="1:13" x14ac:dyDescent="0.25">
      <c r="A1054" s="1" t="s">
        <v>2563</v>
      </c>
      <c r="B1054" s="1" t="s">
        <v>128</v>
      </c>
      <c r="C1054" s="1" t="s">
        <v>7</v>
      </c>
      <c r="D1054" s="1" t="s">
        <v>1415</v>
      </c>
      <c r="E1054" s="1" t="s">
        <v>1416</v>
      </c>
      <c r="F1054" s="1" t="s">
        <v>2564</v>
      </c>
      <c r="G1054" s="1" t="s">
        <v>46</v>
      </c>
      <c r="H1054" s="1" t="s">
        <v>36</v>
      </c>
      <c r="I1054" s="1" t="s">
        <v>50</v>
      </c>
      <c r="J1054" s="1" t="s">
        <v>34</v>
      </c>
      <c r="K1054" s="1" t="s">
        <v>2565</v>
      </c>
      <c r="L1054" s="1" t="s">
        <v>2566</v>
      </c>
      <c r="M1054" s="41">
        <v>46087</v>
      </c>
    </row>
    <row r="1055" spans="1:13" x14ac:dyDescent="0.25">
      <c r="A1055" s="1" t="s">
        <v>2563</v>
      </c>
      <c r="B1055" s="1" t="s">
        <v>128</v>
      </c>
      <c r="C1055" s="1" t="s">
        <v>7</v>
      </c>
      <c r="D1055" s="1" t="s">
        <v>1415</v>
      </c>
      <c r="E1055" s="1" t="s">
        <v>1416</v>
      </c>
      <c r="F1055" s="1" t="s">
        <v>2564</v>
      </c>
      <c r="G1055" s="1" t="s">
        <v>46</v>
      </c>
      <c r="H1055" s="1" t="s">
        <v>36</v>
      </c>
      <c r="I1055" s="1" t="s">
        <v>52</v>
      </c>
      <c r="J1055" s="1" t="s">
        <v>34</v>
      </c>
      <c r="K1055" s="1" t="s">
        <v>2567</v>
      </c>
      <c r="L1055" s="1" t="s">
        <v>2566</v>
      </c>
      <c r="M1055" s="41">
        <v>46087</v>
      </c>
    </row>
    <row r="1056" spans="1:13" x14ac:dyDescent="0.25">
      <c r="A1056" s="1" t="s">
        <v>2563</v>
      </c>
      <c r="B1056" s="1" t="s">
        <v>128</v>
      </c>
      <c r="C1056" s="1" t="s">
        <v>7</v>
      </c>
      <c r="D1056" s="1" t="s">
        <v>1415</v>
      </c>
      <c r="E1056" s="1" t="s">
        <v>1416</v>
      </c>
      <c r="F1056" s="1" t="s">
        <v>2564</v>
      </c>
      <c r="G1056" s="1" t="s">
        <v>46</v>
      </c>
      <c r="H1056" s="1" t="s">
        <v>36</v>
      </c>
      <c r="I1056" s="1" t="s">
        <v>54</v>
      </c>
      <c r="J1056" s="1" t="s">
        <v>34</v>
      </c>
      <c r="K1056" s="1" t="s">
        <v>2568</v>
      </c>
      <c r="L1056" s="1" t="s">
        <v>2566</v>
      </c>
      <c r="M1056" s="41">
        <v>46087</v>
      </c>
    </row>
    <row r="1057" spans="1:13" x14ac:dyDescent="0.25">
      <c r="A1057" s="1" t="s">
        <v>2563</v>
      </c>
      <c r="B1057" s="1" t="s">
        <v>128</v>
      </c>
      <c r="C1057" s="1" t="s">
        <v>7</v>
      </c>
      <c r="D1057" s="1" t="s">
        <v>1415</v>
      </c>
      <c r="E1057" s="1" t="s">
        <v>1416</v>
      </c>
      <c r="F1057" s="1" t="s">
        <v>2564</v>
      </c>
      <c r="G1057" s="1" t="s">
        <v>46</v>
      </c>
      <c r="H1057" s="1" t="s">
        <v>36</v>
      </c>
      <c r="I1057" s="1" t="s">
        <v>20</v>
      </c>
      <c r="J1057" s="1" t="s">
        <v>34</v>
      </c>
      <c r="K1057" s="1" t="s">
        <v>2569</v>
      </c>
      <c r="L1057" s="1" t="s">
        <v>2566</v>
      </c>
      <c r="M1057" s="41">
        <v>46087</v>
      </c>
    </row>
    <row r="1058" spans="1:13" x14ac:dyDescent="0.25">
      <c r="A1058" s="1" t="s">
        <v>2563</v>
      </c>
      <c r="B1058" s="1" t="s">
        <v>128</v>
      </c>
      <c r="C1058" s="1" t="s">
        <v>7</v>
      </c>
      <c r="D1058" s="1" t="s">
        <v>1415</v>
      </c>
      <c r="E1058" s="1" t="s">
        <v>1416</v>
      </c>
      <c r="F1058" s="1" t="s">
        <v>2564</v>
      </c>
      <c r="G1058" s="1" t="s">
        <v>46</v>
      </c>
      <c r="H1058" s="1" t="s">
        <v>36</v>
      </c>
      <c r="I1058" s="1" t="s">
        <v>22</v>
      </c>
      <c r="J1058" s="1" t="s">
        <v>34</v>
      </c>
      <c r="K1058" s="1" t="s">
        <v>2570</v>
      </c>
      <c r="L1058" s="1" t="s">
        <v>2566</v>
      </c>
      <c r="M1058" s="41">
        <v>46302</v>
      </c>
    </row>
    <row r="1059" spans="1:13" x14ac:dyDescent="0.25">
      <c r="A1059" s="1" t="s">
        <v>2563</v>
      </c>
      <c r="B1059" s="1" t="s">
        <v>128</v>
      </c>
      <c r="C1059" s="1" t="s">
        <v>7</v>
      </c>
      <c r="D1059" s="1" t="s">
        <v>1415</v>
      </c>
      <c r="E1059" s="1" t="s">
        <v>1416</v>
      </c>
      <c r="F1059" s="1" t="s">
        <v>2564</v>
      </c>
      <c r="G1059" s="1" t="s">
        <v>46</v>
      </c>
      <c r="H1059" s="1" t="s">
        <v>36</v>
      </c>
      <c r="I1059" s="1" t="s">
        <v>24</v>
      </c>
      <c r="J1059" s="1" t="s">
        <v>34</v>
      </c>
      <c r="K1059" s="1" t="s">
        <v>2571</v>
      </c>
      <c r="L1059" s="1" t="s">
        <v>2566</v>
      </c>
      <c r="M1059" s="41">
        <v>46087</v>
      </c>
    </row>
    <row r="1060" spans="1:13" x14ac:dyDescent="0.25">
      <c r="A1060" s="1" t="s">
        <v>2563</v>
      </c>
      <c r="B1060" s="1" t="s">
        <v>128</v>
      </c>
      <c r="C1060" s="1" t="s">
        <v>7</v>
      </c>
      <c r="D1060" s="1" t="s">
        <v>1415</v>
      </c>
      <c r="E1060" s="1" t="s">
        <v>1416</v>
      </c>
      <c r="F1060" s="1" t="s">
        <v>2564</v>
      </c>
      <c r="G1060" s="1" t="s">
        <v>46</v>
      </c>
      <c r="H1060" s="1" t="s">
        <v>36</v>
      </c>
      <c r="I1060" s="1" t="s">
        <v>26</v>
      </c>
      <c r="J1060" s="1" t="s">
        <v>34</v>
      </c>
      <c r="K1060" s="1" t="s">
        <v>2572</v>
      </c>
      <c r="L1060" s="1" t="s">
        <v>2566</v>
      </c>
      <c r="M1060" s="41">
        <v>46302</v>
      </c>
    </row>
    <row r="1061" spans="1:13" x14ac:dyDescent="0.25">
      <c r="A1061" s="1" t="s">
        <v>2563</v>
      </c>
      <c r="B1061" s="1" t="s">
        <v>128</v>
      </c>
      <c r="C1061" s="1" t="s">
        <v>7</v>
      </c>
      <c r="D1061" s="1" t="s">
        <v>1415</v>
      </c>
      <c r="E1061" s="1" t="s">
        <v>1416</v>
      </c>
      <c r="F1061" s="1" t="s">
        <v>2564</v>
      </c>
      <c r="G1061" s="1" t="s">
        <v>46</v>
      </c>
      <c r="H1061" s="1" t="s">
        <v>36</v>
      </c>
      <c r="I1061" s="1" t="s">
        <v>28</v>
      </c>
      <c r="J1061" s="1" t="s">
        <v>34</v>
      </c>
      <c r="K1061" s="1" t="s">
        <v>2573</v>
      </c>
      <c r="L1061" s="1" t="s">
        <v>2566</v>
      </c>
      <c r="M1061" s="41">
        <v>46302</v>
      </c>
    </row>
    <row r="1062" spans="1:13" x14ac:dyDescent="0.25">
      <c r="A1062" s="1" t="s">
        <v>2563</v>
      </c>
      <c r="B1062" s="1" t="s">
        <v>128</v>
      </c>
      <c r="C1062" s="1" t="s">
        <v>7</v>
      </c>
      <c r="D1062" s="1" t="s">
        <v>1415</v>
      </c>
      <c r="E1062" s="1" t="s">
        <v>1416</v>
      </c>
      <c r="F1062" s="1" t="s">
        <v>2564</v>
      </c>
      <c r="G1062" s="1" t="s">
        <v>46</v>
      </c>
      <c r="H1062" s="1" t="s">
        <v>36</v>
      </c>
      <c r="I1062" s="1" t="s">
        <v>29</v>
      </c>
      <c r="J1062" s="1" t="s">
        <v>34</v>
      </c>
      <c r="K1062" s="1" t="s">
        <v>2574</v>
      </c>
      <c r="L1062" s="1" t="s">
        <v>2566</v>
      </c>
      <c r="M1062" s="41">
        <v>46087</v>
      </c>
    </row>
    <row r="1063" spans="1:13" x14ac:dyDescent="0.25">
      <c r="A1063" s="1" t="s">
        <v>2563</v>
      </c>
      <c r="B1063" s="1" t="s">
        <v>128</v>
      </c>
      <c r="C1063" s="1" t="s">
        <v>7</v>
      </c>
      <c r="D1063" s="1" t="s">
        <v>1415</v>
      </c>
      <c r="E1063" s="1" t="s">
        <v>1416</v>
      </c>
      <c r="F1063" s="1" t="s">
        <v>2564</v>
      </c>
      <c r="G1063" s="1" t="s">
        <v>46</v>
      </c>
      <c r="H1063" s="1" t="s">
        <v>36</v>
      </c>
      <c r="I1063" s="1" t="s">
        <v>30</v>
      </c>
      <c r="J1063" s="1" t="s">
        <v>34</v>
      </c>
      <c r="K1063" s="1" t="s">
        <v>2575</v>
      </c>
      <c r="L1063" s="1" t="s">
        <v>2566</v>
      </c>
      <c r="M1063" s="41">
        <v>46302</v>
      </c>
    </row>
    <row r="1064" spans="1:13" x14ac:dyDescent="0.25">
      <c r="A1064" s="1" t="s">
        <v>2563</v>
      </c>
      <c r="B1064" s="1" t="s">
        <v>128</v>
      </c>
      <c r="C1064" s="1" t="s">
        <v>7</v>
      </c>
      <c r="D1064" s="1" t="s">
        <v>1415</v>
      </c>
      <c r="E1064" s="1" t="s">
        <v>1416</v>
      </c>
      <c r="F1064" s="1" t="s">
        <v>2564</v>
      </c>
      <c r="G1064" s="1" t="s">
        <v>46</v>
      </c>
      <c r="H1064" s="1" t="s">
        <v>36</v>
      </c>
      <c r="I1064" s="1" t="s">
        <v>31</v>
      </c>
      <c r="J1064" s="1" t="s">
        <v>34</v>
      </c>
      <c r="K1064" s="1" t="s">
        <v>2576</v>
      </c>
      <c r="L1064" s="1" t="s">
        <v>2566</v>
      </c>
      <c r="M1064" s="41">
        <v>46302</v>
      </c>
    </row>
    <row r="1065" spans="1:13" x14ac:dyDescent="0.25">
      <c r="A1065" s="1" t="s">
        <v>2563</v>
      </c>
      <c r="B1065" s="1" t="s">
        <v>128</v>
      </c>
      <c r="C1065" s="1" t="s">
        <v>7</v>
      </c>
      <c r="D1065" s="1" t="s">
        <v>1415</v>
      </c>
      <c r="E1065" s="1" t="s">
        <v>1416</v>
      </c>
      <c r="F1065" s="1" t="s">
        <v>2564</v>
      </c>
      <c r="G1065" s="1" t="s">
        <v>46</v>
      </c>
      <c r="H1065" s="1" t="s">
        <v>36</v>
      </c>
      <c r="I1065" s="1" t="s">
        <v>32</v>
      </c>
      <c r="J1065" s="1" t="s">
        <v>34</v>
      </c>
      <c r="K1065" s="1" t="s">
        <v>2577</v>
      </c>
      <c r="L1065" s="1" t="s">
        <v>2566</v>
      </c>
      <c r="M1065" s="41">
        <v>46087</v>
      </c>
    </row>
    <row r="1066" spans="1:13" x14ac:dyDescent="0.25">
      <c r="A1066" s="1" t="s">
        <v>2563</v>
      </c>
      <c r="B1066" s="1" t="s">
        <v>128</v>
      </c>
      <c r="C1066" s="1" t="s">
        <v>7</v>
      </c>
      <c r="D1066" s="1" t="s">
        <v>1415</v>
      </c>
      <c r="E1066" s="1" t="s">
        <v>1416</v>
      </c>
      <c r="F1066" s="1" t="s">
        <v>2564</v>
      </c>
      <c r="G1066" s="1" t="s">
        <v>46</v>
      </c>
      <c r="H1066" s="1" t="s">
        <v>36</v>
      </c>
      <c r="I1066" s="1" t="s">
        <v>127</v>
      </c>
      <c r="J1066" s="1" t="s">
        <v>34</v>
      </c>
      <c r="K1066" s="1" t="s">
        <v>2578</v>
      </c>
      <c r="L1066" s="1" t="s">
        <v>2566</v>
      </c>
      <c r="M1066" s="41">
        <v>46087</v>
      </c>
    </row>
    <row r="1067" spans="1:13" x14ac:dyDescent="0.25">
      <c r="A1067" s="1" t="s">
        <v>2579</v>
      </c>
      <c r="B1067" s="1" t="s">
        <v>131</v>
      </c>
      <c r="C1067" s="1" t="s">
        <v>7</v>
      </c>
      <c r="D1067" s="1" t="s">
        <v>1415</v>
      </c>
      <c r="E1067" s="1" t="s">
        <v>2580</v>
      </c>
      <c r="F1067" s="1" t="s">
        <v>2581</v>
      </c>
      <c r="G1067" s="1" t="s">
        <v>46</v>
      </c>
      <c r="H1067" s="1" t="s">
        <v>130</v>
      </c>
      <c r="I1067" s="1" t="s">
        <v>53</v>
      </c>
      <c r="J1067" s="1" t="s">
        <v>34</v>
      </c>
      <c r="K1067" s="1" t="s">
        <v>2582</v>
      </c>
      <c r="L1067" s="1" t="s">
        <v>2583</v>
      </c>
      <c r="M1067" s="41">
        <v>46251</v>
      </c>
    </row>
    <row r="1068" spans="1:13" x14ac:dyDescent="0.25">
      <c r="A1068" s="1" t="s">
        <v>2579</v>
      </c>
      <c r="B1068" s="1" t="s">
        <v>131</v>
      </c>
      <c r="C1068" s="1" t="s">
        <v>7</v>
      </c>
      <c r="D1068" s="1" t="s">
        <v>1415</v>
      </c>
      <c r="E1068" s="1" t="s">
        <v>2580</v>
      </c>
      <c r="F1068" s="1" t="s">
        <v>2581</v>
      </c>
      <c r="G1068" s="1" t="s">
        <v>46</v>
      </c>
      <c r="H1068" s="1" t="s">
        <v>130</v>
      </c>
      <c r="I1068" s="1" t="s">
        <v>54</v>
      </c>
      <c r="J1068" s="1" t="s">
        <v>34</v>
      </c>
      <c r="K1068" s="1" t="s">
        <v>2584</v>
      </c>
      <c r="L1068" s="1" t="s">
        <v>2583</v>
      </c>
      <c r="M1068" s="41">
        <v>46302</v>
      </c>
    </row>
    <row r="1069" spans="1:13" x14ac:dyDescent="0.25">
      <c r="A1069" s="1" t="s">
        <v>2579</v>
      </c>
      <c r="B1069" s="1" t="s">
        <v>131</v>
      </c>
      <c r="C1069" s="1" t="s">
        <v>7</v>
      </c>
      <c r="D1069" s="1" t="s">
        <v>1415</v>
      </c>
      <c r="E1069" s="1" t="s">
        <v>2580</v>
      </c>
      <c r="F1069" s="1" t="s">
        <v>2581</v>
      </c>
      <c r="G1069" s="1" t="s">
        <v>46</v>
      </c>
      <c r="H1069" s="1" t="s">
        <v>130</v>
      </c>
      <c r="I1069" s="1" t="s">
        <v>55</v>
      </c>
      <c r="J1069" s="1" t="s">
        <v>34</v>
      </c>
      <c r="K1069" s="1" t="s">
        <v>2585</v>
      </c>
      <c r="L1069" s="1" t="s">
        <v>2583</v>
      </c>
      <c r="M1069" s="41">
        <v>46302</v>
      </c>
    </row>
    <row r="1070" spans="1:13" x14ac:dyDescent="0.25">
      <c r="A1070" s="1" t="s">
        <v>2579</v>
      </c>
      <c r="B1070" s="1" t="s">
        <v>131</v>
      </c>
      <c r="C1070" s="1" t="s">
        <v>7</v>
      </c>
      <c r="D1070" s="1" t="s">
        <v>1415</v>
      </c>
      <c r="E1070" s="1" t="s">
        <v>2580</v>
      </c>
      <c r="F1070" s="1" t="s">
        <v>2581</v>
      </c>
      <c r="G1070" s="1" t="s">
        <v>46</v>
      </c>
      <c r="H1070" s="1" t="s">
        <v>130</v>
      </c>
      <c r="I1070" s="1" t="s">
        <v>20</v>
      </c>
      <c r="J1070" s="1" t="s">
        <v>34</v>
      </c>
      <c r="K1070" s="1" t="s">
        <v>2586</v>
      </c>
      <c r="L1070" s="1" t="s">
        <v>2583</v>
      </c>
      <c r="M1070" s="41">
        <v>46302</v>
      </c>
    </row>
    <row r="1071" spans="1:13" x14ac:dyDescent="0.25">
      <c r="A1071" s="1" t="s">
        <v>2579</v>
      </c>
      <c r="B1071" s="1" t="s">
        <v>131</v>
      </c>
      <c r="C1071" s="1" t="s">
        <v>7</v>
      </c>
      <c r="D1071" s="1" t="s">
        <v>1415</v>
      </c>
      <c r="E1071" s="1" t="s">
        <v>2580</v>
      </c>
      <c r="F1071" s="1" t="s">
        <v>2581</v>
      </c>
      <c r="G1071" s="1" t="s">
        <v>46</v>
      </c>
      <c r="H1071" s="1" t="s">
        <v>130</v>
      </c>
      <c r="I1071" s="1" t="s">
        <v>21</v>
      </c>
      <c r="J1071" s="1" t="s">
        <v>34</v>
      </c>
      <c r="K1071" s="1" t="s">
        <v>2587</v>
      </c>
      <c r="L1071" s="1" t="s">
        <v>2583</v>
      </c>
      <c r="M1071" s="41">
        <v>46302</v>
      </c>
    </row>
    <row r="1072" spans="1:13" x14ac:dyDescent="0.25">
      <c r="A1072" s="1" t="s">
        <v>2579</v>
      </c>
      <c r="B1072" s="1" t="s">
        <v>131</v>
      </c>
      <c r="C1072" s="1" t="s">
        <v>7</v>
      </c>
      <c r="D1072" s="1" t="s">
        <v>1415</v>
      </c>
      <c r="E1072" s="1" t="s">
        <v>2580</v>
      </c>
      <c r="F1072" s="1" t="s">
        <v>2581</v>
      </c>
      <c r="G1072" s="1" t="s">
        <v>46</v>
      </c>
      <c r="H1072" s="1" t="s">
        <v>130</v>
      </c>
      <c r="I1072" s="1" t="s">
        <v>22</v>
      </c>
      <c r="J1072" s="1" t="s">
        <v>34</v>
      </c>
      <c r="K1072" s="1" t="s">
        <v>2588</v>
      </c>
      <c r="L1072" s="1" t="s">
        <v>2583</v>
      </c>
      <c r="M1072" s="41">
        <v>46302</v>
      </c>
    </row>
    <row r="1073" spans="1:13" x14ac:dyDescent="0.25">
      <c r="A1073" s="1" t="s">
        <v>2579</v>
      </c>
      <c r="B1073" s="1" t="s">
        <v>131</v>
      </c>
      <c r="C1073" s="1" t="s">
        <v>7</v>
      </c>
      <c r="D1073" s="1" t="s">
        <v>1415</v>
      </c>
      <c r="E1073" s="1" t="s">
        <v>2580</v>
      </c>
      <c r="F1073" s="1" t="s">
        <v>2581</v>
      </c>
      <c r="G1073" s="1" t="s">
        <v>46</v>
      </c>
      <c r="H1073" s="1" t="s">
        <v>130</v>
      </c>
      <c r="I1073" s="1" t="s">
        <v>23</v>
      </c>
      <c r="J1073" s="1" t="s">
        <v>34</v>
      </c>
      <c r="K1073" s="1" t="s">
        <v>2589</v>
      </c>
      <c r="L1073" s="1" t="s">
        <v>2583</v>
      </c>
      <c r="M1073" s="41">
        <v>46302</v>
      </c>
    </row>
    <row r="1074" spans="1:13" x14ac:dyDescent="0.25">
      <c r="A1074" s="1" t="s">
        <v>2579</v>
      </c>
      <c r="B1074" s="1" t="s">
        <v>131</v>
      </c>
      <c r="C1074" s="1" t="s">
        <v>7</v>
      </c>
      <c r="D1074" s="1" t="s">
        <v>1415</v>
      </c>
      <c r="E1074" s="1" t="s">
        <v>2580</v>
      </c>
      <c r="F1074" s="1" t="s">
        <v>2581</v>
      </c>
      <c r="G1074" s="1" t="s">
        <v>46</v>
      </c>
      <c r="H1074" s="1" t="s">
        <v>130</v>
      </c>
      <c r="I1074" s="1" t="s">
        <v>24</v>
      </c>
      <c r="J1074" s="1" t="s">
        <v>34</v>
      </c>
      <c r="K1074" s="1" t="s">
        <v>2590</v>
      </c>
      <c r="L1074" s="1" t="s">
        <v>2583</v>
      </c>
      <c r="M1074" s="41">
        <v>46302</v>
      </c>
    </row>
    <row r="1075" spans="1:13" x14ac:dyDescent="0.25">
      <c r="A1075" s="1" t="s">
        <v>2579</v>
      </c>
      <c r="B1075" s="1" t="s">
        <v>131</v>
      </c>
      <c r="C1075" s="1" t="s">
        <v>7</v>
      </c>
      <c r="D1075" s="1" t="s">
        <v>1415</v>
      </c>
      <c r="E1075" s="1" t="s">
        <v>2580</v>
      </c>
      <c r="F1075" s="1" t="s">
        <v>2581</v>
      </c>
      <c r="G1075" s="1" t="s">
        <v>46</v>
      </c>
      <c r="H1075" s="1" t="s">
        <v>130</v>
      </c>
      <c r="I1075" s="1" t="s">
        <v>25</v>
      </c>
      <c r="J1075" s="1" t="s">
        <v>34</v>
      </c>
      <c r="K1075" s="1" t="s">
        <v>2591</v>
      </c>
      <c r="L1075" s="1" t="s">
        <v>2583</v>
      </c>
      <c r="M1075" s="41">
        <v>46302</v>
      </c>
    </row>
    <row r="1076" spans="1:13" x14ac:dyDescent="0.25">
      <c r="A1076" s="1" t="s">
        <v>2579</v>
      </c>
      <c r="B1076" s="1" t="s">
        <v>131</v>
      </c>
      <c r="C1076" s="1" t="s">
        <v>7</v>
      </c>
      <c r="D1076" s="1" t="s">
        <v>1415</v>
      </c>
      <c r="E1076" s="1" t="s">
        <v>2580</v>
      </c>
      <c r="F1076" s="1" t="s">
        <v>2581</v>
      </c>
      <c r="G1076" s="1" t="s">
        <v>46</v>
      </c>
      <c r="H1076" s="1" t="s">
        <v>130</v>
      </c>
      <c r="I1076" s="1" t="s">
        <v>26</v>
      </c>
      <c r="J1076" s="1" t="s">
        <v>34</v>
      </c>
      <c r="K1076" s="1" t="s">
        <v>2592</v>
      </c>
      <c r="L1076" s="1" t="s">
        <v>2583</v>
      </c>
      <c r="M1076" s="41">
        <v>46302</v>
      </c>
    </row>
    <row r="1077" spans="1:13" x14ac:dyDescent="0.25">
      <c r="A1077" s="1" t="s">
        <v>2579</v>
      </c>
      <c r="B1077" s="1" t="s">
        <v>131</v>
      </c>
      <c r="C1077" s="1" t="s">
        <v>7</v>
      </c>
      <c r="D1077" s="1" t="s">
        <v>1415</v>
      </c>
      <c r="E1077" s="1" t="s">
        <v>2580</v>
      </c>
      <c r="F1077" s="1" t="s">
        <v>2581</v>
      </c>
      <c r="G1077" s="1" t="s">
        <v>46</v>
      </c>
      <c r="H1077" s="1" t="s">
        <v>130</v>
      </c>
      <c r="I1077" s="1" t="s">
        <v>28</v>
      </c>
      <c r="J1077" s="1" t="s">
        <v>34</v>
      </c>
      <c r="K1077" s="1" t="s">
        <v>2593</v>
      </c>
      <c r="L1077" s="1" t="s">
        <v>2583</v>
      </c>
      <c r="M1077" s="41">
        <v>46251</v>
      </c>
    </row>
    <row r="1078" spans="1:13" x14ac:dyDescent="0.25">
      <c r="A1078" s="1" t="s">
        <v>2594</v>
      </c>
      <c r="B1078" s="1" t="s">
        <v>131</v>
      </c>
      <c r="C1078" s="1" t="s">
        <v>7</v>
      </c>
      <c r="D1078" s="1" t="s">
        <v>1415</v>
      </c>
      <c r="E1078" s="1" t="s">
        <v>2580</v>
      </c>
      <c r="F1078" s="1" t="s">
        <v>2581</v>
      </c>
      <c r="G1078" s="1" t="s">
        <v>132</v>
      </c>
      <c r="H1078" s="1" t="s">
        <v>130</v>
      </c>
      <c r="I1078" s="1" t="s">
        <v>53</v>
      </c>
      <c r="J1078" s="1" t="s">
        <v>34</v>
      </c>
      <c r="K1078" s="1" t="s">
        <v>2595</v>
      </c>
      <c r="L1078" s="1" t="s">
        <v>2583</v>
      </c>
      <c r="M1078" s="41">
        <v>46251</v>
      </c>
    </row>
    <row r="1079" spans="1:13" x14ac:dyDescent="0.25">
      <c r="A1079" s="1" t="s">
        <v>2594</v>
      </c>
      <c r="B1079" s="1" t="s">
        <v>131</v>
      </c>
      <c r="C1079" s="1" t="s">
        <v>7</v>
      </c>
      <c r="D1079" s="1" t="s">
        <v>1415</v>
      </c>
      <c r="E1079" s="1" t="s">
        <v>2580</v>
      </c>
      <c r="F1079" s="1" t="s">
        <v>2581</v>
      </c>
      <c r="G1079" s="1" t="s">
        <v>132</v>
      </c>
      <c r="H1079" s="1" t="s">
        <v>130</v>
      </c>
      <c r="I1079" s="1" t="s">
        <v>54</v>
      </c>
      <c r="J1079" s="1" t="s">
        <v>34</v>
      </c>
      <c r="K1079" s="1" t="s">
        <v>2596</v>
      </c>
      <c r="L1079" s="1" t="s">
        <v>2583</v>
      </c>
      <c r="M1079" s="41">
        <v>46087</v>
      </c>
    </row>
    <row r="1080" spans="1:13" x14ac:dyDescent="0.25">
      <c r="A1080" s="1" t="s">
        <v>2594</v>
      </c>
      <c r="B1080" s="1" t="s">
        <v>131</v>
      </c>
      <c r="C1080" s="1" t="s">
        <v>7</v>
      </c>
      <c r="D1080" s="1" t="s">
        <v>1415</v>
      </c>
      <c r="E1080" s="1" t="s">
        <v>2580</v>
      </c>
      <c r="F1080" s="1" t="s">
        <v>2581</v>
      </c>
      <c r="G1080" s="1" t="s">
        <v>132</v>
      </c>
      <c r="H1080" s="1" t="s">
        <v>130</v>
      </c>
      <c r="I1080" s="1" t="s">
        <v>55</v>
      </c>
      <c r="J1080" s="1" t="s">
        <v>34</v>
      </c>
      <c r="K1080" s="1" t="s">
        <v>2597</v>
      </c>
      <c r="L1080" s="1" t="s">
        <v>2583</v>
      </c>
      <c r="M1080" s="41">
        <v>46251</v>
      </c>
    </row>
    <row r="1081" spans="1:13" x14ac:dyDescent="0.25">
      <c r="A1081" s="1" t="s">
        <v>2594</v>
      </c>
      <c r="B1081" s="1" t="s">
        <v>131</v>
      </c>
      <c r="C1081" s="1" t="s">
        <v>7</v>
      </c>
      <c r="D1081" s="1" t="s">
        <v>1415</v>
      </c>
      <c r="E1081" s="1" t="s">
        <v>2580</v>
      </c>
      <c r="F1081" s="1" t="s">
        <v>2581</v>
      </c>
      <c r="G1081" s="1" t="s">
        <v>132</v>
      </c>
      <c r="H1081" s="1" t="s">
        <v>130</v>
      </c>
      <c r="I1081" s="1" t="s">
        <v>20</v>
      </c>
      <c r="J1081" s="1" t="s">
        <v>34</v>
      </c>
      <c r="K1081" s="1" t="s">
        <v>2598</v>
      </c>
      <c r="L1081" s="1" t="s">
        <v>2583</v>
      </c>
      <c r="M1081" s="41">
        <v>46251</v>
      </c>
    </row>
    <row r="1082" spans="1:13" x14ac:dyDescent="0.25">
      <c r="A1082" s="1" t="s">
        <v>2594</v>
      </c>
      <c r="B1082" s="1" t="s">
        <v>131</v>
      </c>
      <c r="C1082" s="1" t="s">
        <v>7</v>
      </c>
      <c r="D1082" s="1" t="s">
        <v>1415</v>
      </c>
      <c r="E1082" s="1" t="s">
        <v>2580</v>
      </c>
      <c r="F1082" s="1" t="s">
        <v>2581</v>
      </c>
      <c r="G1082" s="1" t="s">
        <v>132</v>
      </c>
      <c r="H1082" s="1" t="s">
        <v>130</v>
      </c>
      <c r="I1082" s="1" t="s">
        <v>21</v>
      </c>
      <c r="J1082" s="1" t="s">
        <v>34</v>
      </c>
      <c r="K1082" s="1" t="s">
        <v>2599</v>
      </c>
      <c r="L1082" s="1" t="s">
        <v>2583</v>
      </c>
      <c r="M1082" s="41">
        <v>46251</v>
      </c>
    </row>
    <row r="1083" spans="1:13" x14ac:dyDescent="0.25">
      <c r="A1083" s="1" t="s">
        <v>2594</v>
      </c>
      <c r="B1083" s="1" t="s">
        <v>131</v>
      </c>
      <c r="C1083" s="1" t="s">
        <v>7</v>
      </c>
      <c r="D1083" s="1" t="s">
        <v>1415</v>
      </c>
      <c r="E1083" s="1" t="s">
        <v>2580</v>
      </c>
      <c r="F1083" s="1" t="s">
        <v>2581</v>
      </c>
      <c r="G1083" s="1" t="s">
        <v>132</v>
      </c>
      <c r="H1083" s="1" t="s">
        <v>130</v>
      </c>
      <c r="I1083" s="1" t="s">
        <v>22</v>
      </c>
      <c r="J1083" s="1" t="s">
        <v>34</v>
      </c>
      <c r="K1083" s="1" t="s">
        <v>2600</v>
      </c>
      <c r="L1083" s="1" t="s">
        <v>2583</v>
      </c>
      <c r="M1083" s="41">
        <v>46251</v>
      </c>
    </row>
    <row r="1084" spans="1:13" x14ac:dyDescent="0.25">
      <c r="A1084" s="1" t="s">
        <v>2594</v>
      </c>
      <c r="B1084" s="1" t="s">
        <v>131</v>
      </c>
      <c r="C1084" s="1" t="s">
        <v>7</v>
      </c>
      <c r="D1084" s="1" t="s">
        <v>1415</v>
      </c>
      <c r="E1084" s="1" t="s">
        <v>2580</v>
      </c>
      <c r="F1084" s="1" t="s">
        <v>2581</v>
      </c>
      <c r="G1084" s="1" t="s">
        <v>132</v>
      </c>
      <c r="H1084" s="1" t="s">
        <v>130</v>
      </c>
      <c r="I1084" s="1" t="s">
        <v>23</v>
      </c>
      <c r="J1084" s="1" t="s">
        <v>34</v>
      </c>
      <c r="K1084" s="1" t="s">
        <v>2601</v>
      </c>
      <c r="L1084" s="1" t="s">
        <v>2583</v>
      </c>
      <c r="M1084" s="41">
        <v>46251</v>
      </c>
    </row>
    <row r="1085" spans="1:13" x14ac:dyDescent="0.25">
      <c r="A1085" s="1" t="s">
        <v>2594</v>
      </c>
      <c r="B1085" s="1" t="s">
        <v>131</v>
      </c>
      <c r="C1085" s="1" t="s">
        <v>7</v>
      </c>
      <c r="D1085" s="1" t="s">
        <v>1415</v>
      </c>
      <c r="E1085" s="1" t="s">
        <v>2580</v>
      </c>
      <c r="F1085" s="1" t="s">
        <v>2581</v>
      </c>
      <c r="G1085" s="1" t="s">
        <v>132</v>
      </c>
      <c r="H1085" s="1" t="s">
        <v>130</v>
      </c>
      <c r="I1085" s="1" t="s">
        <v>24</v>
      </c>
      <c r="J1085" s="1" t="s">
        <v>34</v>
      </c>
      <c r="K1085" s="1" t="s">
        <v>2602</v>
      </c>
      <c r="L1085" s="1" t="s">
        <v>2583</v>
      </c>
      <c r="M1085" s="41">
        <v>46251</v>
      </c>
    </row>
    <row r="1086" spans="1:13" x14ac:dyDescent="0.25">
      <c r="A1086" s="1" t="s">
        <v>2594</v>
      </c>
      <c r="B1086" s="1" t="s">
        <v>131</v>
      </c>
      <c r="C1086" s="1" t="s">
        <v>7</v>
      </c>
      <c r="D1086" s="1" t="s">
        <v>1415</v>
      </c>
      <c r="E1086" s="1" t="s">
        <v>2580</v>
      </c>
      <c r="F1086" s="1" t="s">
        <v>2581</v>
      </c>
      <c r="G1086" s="1" t="s">
        <v>132</v>
      </c>
      <c r="H1086" s="1" t="s">
        <v>130</v>
      </c>
      <c r="I1086" s="1" t="s">
        <v>25</v>
      </c>
      <c r="J1086" s="1" t="s">
        <v>34</v>
      </c>
      <c r="K1086" s="1" t="s">
        <v>2603</v>
      </c>
      <c r="L1086" s="1" t="s">
        <v>2583</v>
      </c>
      <c r="M1086" s="41">
        <v>46251</v>
      </c>
    </row>
    <row r="1087" spans="1:13" x14ac:dyDescent="0.25">
      <c r="A1087" s="1" t="s">
        <v>2594</v>
      </c>
      <c r="B1087" s="1" t="s">
        <v>131</v>
      </c>
      <c r="C1087" s="1" t="s">
        <v>7</v>
      </c>
      <c r="D1087" s="1" t="s">
        <v>1415</v>
      </c>
      <c r="E1087" s="1" t="s">
        <v>2580</v>
      </c>
      <c r="F1087" s="1" t="s">
        <v>2581</v>
      </c>
      <c r="G1087" s="1" t="s">
        <v>132</v>
      </c>
      <c r="H1087" s="1" t="s">
        <v>130</v>
      </c>
      <c r="I1087" s="1" t="s">
        <v>26</v>
      </c>
      <c r="J1087" s="1" t="s">
        <v>34</v>
      </c>
      <c r="K1087" s="1" t="s">
        <v>2604</v>
      </c>
      <c r="L1087" s="1" t="s">
        <v>2583</v>
      </c>
      <c r="M1087" s="41">
        <v>46251</v>
      </c>
    </row>
    <row r="1088" spans="1:13" x14ac:dyDescent="0.25">
      <c r="A1088" s="1" t="s">
        <v>2594</v>
      </c>
      <c r="B1088" s="1" t="s">
        <v>131</v>
      </c>
      <c r="C1088" s="1" t="s">
        <v>7</v>
      </c>
      <c r="D1088" s="1" t="s">
        <v>1415</v>
      </c>
      <c r="E1088" s="1" t="s">
        <v>2580</v>
      </c>
      <c r="F1088" s="1" t="s">
        <v>2581</v>
      </c>
      <c r="G1088" s="1" t="s">
        <v>132</v>
      </c>
      <c r="H1088" s="1" t="s">
        <v>130</v>
      </c>
      <c r="I1088" s="1" t="s">
        <v>28</v>
      </c>
      <c r="J1088" s="1" t="s">
        <v>34</v>
      </c>
      <c r="K1088" s="1" t="s">
        <v>2605</v>
      </c>
      <c r="L1088" s="1" t="s">
        <v>2583</v>
      </c>
      <c r="M1088" s="41">
        <v>46251</v>
      </c>
    </row>
    <row r="1089" spans="1:13" x14ac:dyDescent="0.25">
      <c r="A1089" s="1" t="s">
        <v>2606</v>
      </c>
      <c r="B1089" s="1" t="s">
        <v>109</v>
      </c>
      <c r="C1089" s="1" t="s">
        <v>7</v>
      </c>
      <c r="D1089" s="1" t="s">
        <v>1415</v>
      </c>
      <c r="E1089" s="1" t="s">
        <v>2580</v>
      </c>
      <c r="F1089" s="1" t="s">
        <v>2607</v>
      </c>
      <c r="G1089" s="1" t="s">
        <v>68</v>
      </c>
      <c r="H1089" s="1" t="s">
        <v>130</v>
      </c>
      <c r="I1089" s="1" t="s">
        <v>52</v>
      </c>
      <c r="J1089" s="1" t="s">
        <v>57</v>
      </c>
      <c r="K1089" s="1" t="s">
        <v>2608</v>
      </c>
      <c r="L1089" s="1" t="s">
        <v>2210</v>
      </c>
      <c r="M1089" s="41">
        <v>46087</v>
      </c>
    </row>
    <row r="1090" spans="1:13" x14ac:dyDescent="0.25">
      <c r="A1090" s="1" t="s">
        <v>2606</v>
      </c>
      <c r="B1090" s="1" t="s">
        <v>109</v>
      </c>
      <c r="C1090" s="1" t="s">
        <v>7</v>
      </c>
      <c r="D1090" s="1" t="s">
        <v>1415</v>
      </c>
      <c r="E1090" s="1" t="s">
        <v>2580</v>
      </c>
      <c r="F1090" s="1" t="s">
        <v>2607</v>
      </c>
      <c r="G1090" s="1" t="s">
        <v>68</v>
      </c>
      <c r="H1090" s="1" t="s">
        <v>130</v>
      </c>
      <c r="I1090" s="1" t="s">
        <v>53</v>
      </c>
      <c r="J1090" s="1" t="s">
        <v>57</v>
      </c>
      <c r="K1090" s="1" t="s">
        <v>2609</v>
      </c>
      <c r="L1090" s="1" t="s">
        <v>2210</v>
      </c>
      <c r="M1090" s="41">
        <v>46087</v>
      </c>
    </row>
    <row r="1091" spans="1:13" x14ac:dyDescent="0.25">
      <c r="A1091" s="1" t="s">
        <v>2606</v>
      </c>
      <c r="B1091" s="1" t="s">
        <v>109</v>
      </c>
      <c r="C1091" s="1" t="s">
        <v>7</v>
      </c>
      <c r="D1091" s="1" t="s">
        <v>1415</v>
      </c>
      <c r="E1091" s="1" t="s">
        <v>2580</v>
      </c>
      <c r="F1091" s="1" t="s">
        <v>2607</v>
      </c>
      <c r="G1091" s="1" t="s">
        <v>68</v>
      </c>
      <c r="H1091" s="1" t="s">
        <v>130</v>
      </c>
      <c r="I1091" s="1" t="s">
        <v>54</v>
      </c>
      <c r="J1091" s="1" t="s">
        <v>57</v>
      </c>
      <c r="K1091" s="1" t="s">
        <v>2610</v>
      </c>
      <c r="L1091" s="1" t="s">
        <v>2210</v>
      </c>
      <c r="M1091" s="41">
        <v>46307</v>
      </c>
    </row>
    <row r="1092" spans="1:13" x14ac:dyDescent="0.25">
      <c r="A1092" s="1" t="s">
        <v>2606</v>
      </c>
      <c r="B1092" s="1" t="s">
        <v>109</v>
      </c>
      <c r="C1092" s="1" t="s">
        <v>7</v>
      </c>
      <c r="D1092" s="1" t="s">
        <v>1415</v>
      </c>
      <c r="E1092" s="1" t="s">
        <v>2580</v>
      </c>
      <c r="F1092" s="1" t="s">
        <v>2607</v>
      </c>
      <c r="G1092" s="1" t="s">
        <v>68</v>
      </c>
      <c r="H1092" s="1" t="s">
        <v>130</v>
      </c>
      <c r="I1092" s="1" t="s">
        <v>55</v>
      </c>
      <c r="J1092" s="1" t="s">
        <v>57</v>
      </c>
      <c r="K1092" s="1" t="s">
        <v>2611</v>
      </c>
      <c r="L1092" s="1" t="s">
        <v>2210</v>
      </c>
      <c r="M1092" s="41">
        <v>46307</v>
      </c>
    </row>
    <row r="1093" spans="1:13" x14ac:dyDescent="0.25">
      <c r="A1093" s="1" t="s">
        <v>2606</v>
      </c>
      <c r="B1093" s="1" t="s">
        <v>109</v>
      </c>
      <c r="C1093" s="1" t="s">
        <v>7</v>
      </c>
      <c r="D1093" s="1" t="s">
        <v>1415</v>
      </c>
      <c r="E1093" s="1" t="s">
        <v>2580</v>
      </c>
      <c r="F1093" s="1" t="s">
        <v>2607</v>
      </c>
      <c r="G1093" s="1" t="s">
        <v>68</v>
      </c>
      <c r="H1093" s="1" t="s">
        <v>130</v>
      </c>
      <c r="I1093" s="1" t="s">
        <v>20</v>
      </c>
      <c r="J1093" s="1" t="s">
        <v>57</v>
      </c>
      <c r="K1093" s="1" t="s">
        <v>2612</v>
      </c>
      <c r="L1093" s="1" t="s">
        <v>2210</v>
      </c>
      <c r="M1093" s="41">
        <v>46307</v>
      </c>
    </row>
    <row r="1094" spans="1:13" x14ac:dyDescent="0.25">
      <c r="A1094" s="1" t="s">
        <v>2606</v>
      </c>
      <c r="B1094" s="1" t="s">
        <v>109</v>
      </c>
      <c r="C1094" s="1" t="s">
        <v>7</v>
      </c>
      <c r="D1094" s="1" t="s">
        <v>1415</v>
      </c>
      <c r="E1094" s="1" t="s">
        <v>2580</v>
      </c>
      <c r="F1094" s="1" t="s">
        <v>2607</v>
      </c>
      <c r="G1094" s="1" t="s">
        <v>68</v>
      </c>
      <c r="H1094" s="1" t="s">
        <v>130</v>
      </c>
      <c r="I1094" s="1" t="s">
        <v>21</v>
      </c>
      <c r="J1094" s="1" t="s">
        <v>57</v>
      </c>
      <c r="K1094" s="1" t="s">
        <v>2613</v>
      </c>
      <c r="L1094" s="1" t="s">
        <v>2210</v>
      </c>
      <c r="M1094" s="41">
        <v>46307</v>
      </c>
    </row>
    <row r="1095" spans="1:13" x14ac:dyDescent="0.25">
      <c r="A1095" s="1" t="s">
        <v>2606</v>
      </c>
      <c r="B1095" s="1" t="s">
        <v>109</v>
      </c>
      <c r="C1095" s="1" t="s">
        <v>7</v>
      </c>
      <c r="D1095" s="1" t="s">
        <v>1415</v>
      </c>
      <c r="E1095" s="1" t="s">
        <v>2580</v>
      </c>
      <c r="F1095" s="1" t="s">
        <v>2607</v>
      </c>
      <c r="G1095" s="1" t="s">
        <v>68</v>
      </c>
      <c r="H1095" s="1" t="s">
        <v>130</v>
      </c>
      <c r="I1095" s="1" t="s">
        <v>22</v>
      </c>
      <c r="J1095" s="1" t="s">
        <v>57</v>
      </c>
      <c r="K1095" s="1" t="s">
        <v>2614</v>
      </c>
      <c r="L1095" s="1" t="s">
        <v>2210</v>
      </c>
      <c r="M1095" s="41">
        <v>46307</v>
      </c>
    </row>
    <row r="1096" spans="1:13" x14ac:dyDescent="0.25">
      <c r="A1096" s="1" t="s">
        <v>2606</v>
      </c>
      <c r="B1096" s="1" t="s">
        <v>109</v>
      </c>
      <c r="C1096" s="1" t="s">
        <v>7</v>
      </c>
      <c r="D1096" s="1" t="s">
        <v>1415</v>
      </c>
      <c r="E1096" s="1" t="s">
        <v>2580</v>
      </c>
      <c r="F1096" s="1" t="s">
        <v>2607</v>
      </c>
      <c r="G1096" s="1" t="s">
        <v>68</v>
      </c>
      <c r="H1096" s="1" t="s">
        <v>130</v>
      </c>
      <c r="I1096" s="1" t="s">
        <v>23</v>
      </c>
      <c r="J1096" s="1" t="s">
        <v>57</v>
      </c>
      <c r="K1096" s="1" t="s">
        <v>2615</v>
      </c>
      <c r="L1096" s="1" t="s">
        <v>2210</v>
      </c>
      <c r="M1096" s="41">
        <v>46307</v>
      </c>
    </row>
    <row r="1097" spans="1:13" x14ac:dyDescent="0.25">
      <c r="A1097" s="1" t="s">
        <v>2606</v>
      </c>
      <c r="B1097" s="1" t="s">
        <v>109</v>
      </c>
      <c r="C1097" s="1" t="s">
        <v>7</v>
      </c>
      <c r="D1097" s="1" t="s">
        <v>1415</v>
      </c>
      <c r="E1097" s="1" t="s">
        <v>2580</v>
      </c>
      <c r="F1097" s="1" t="s">
        <v>2607</v>
      </c>
      <c r="G1097" s="1" t="s">
        <v>68</v>
      </c>
      <c r="H1097" s="1" t="s">
        <v>130</v>
      </c>
      <c r="I1097" s="1" t="s">
        <v>24</v>
      </c>
      <c r="J1097" s="1" t="s">
        <v>57</v>
      </c>
      <c r="K1097" s="1" t="s">
        <v>2616</v>
      </c>
      <c r="L1097" s="1" t="s">
        <v>2210</v>
      </c>
      <c r="M1097" s="41">
        <v>46307</v>
      </c>
    </row>
    <row r="1098" spans="1:13" x14ac:dyDescent="0.25">
      <c r="A1098" s="1" t="s">
        <v>2606</v>
      </c>
      <c r="B1098" s="1" t="s">
        <v>109</v>
      </c>
      <c r="C1098" s="1" t="s">
        <v>7</v>
      </c>
      <c r="D1098" s="1" t="s">
        <v>1415</v>
      </c>
      <c r="E1098" s="1" t="s">
        <v>2580</v>
      </c>
      <c r="F1098" s="1" t="s">
        <v>2607</v>
      </c>
      <c r="G1098" s="1" t="s">
        <v>68</v>
      </c>
      <c r="H1098" s="1" t="s">
        <v>130</v>
      </c>
      <c r="I1098" s="1" t="s">
        <v>25</v>
      </c>
      <c r="J1098" s="1" t="s">
        <v>57</v>
      </c>
      <c r="K1098" s="1" t="s">
        <v>2617</v>
      </c>
      <c r="L1098" s="1" t="s">
        <v>2210</v>
      </c>
      <c r="M1098" s="41">
        <v>46307</v>
      </c>
    </row>
    <row r="1099" spans="1:13" x14ac:dyDescent="0.25">
      <c r="A1099" s="1" t="s">
        <v>2606</v>
      </c>
      <c r="B1099" s="1" t="s">
        <v>109</v>
      </c>
      <c r="C1099" s="1" t="s">
        <v>7</v>
      </c>
      <c r="D1099" s="1" t="s">
        <v>1415</v>
      </c>
      <c r="E1099" s="1" t="s">
        <v>2580</v>
      </c>
      <c r="F1099" s="1" t="s">
        <v>2607</v>
      </c>
      <c r="G1099" s="1" t="s">
        <v>68</v>
      </c>
      <c r="H1099" s="1" t="s">
        <v>130</v>
      </c>
      <c r="I1099" s="1" t="s">
        <v>26</v>
      </c>
      <c r="J1099" s="1" t="s">
        <v>57</v>
      </c>
      <c r="K1099" s="1" t="s">
        <v>2618</v>
      </c>
      <c r="L1099" s="1" t="s">
        <v>2210</v>
      </c>
      <c r="M1099" s="41">
        <v>46307</v>
      </c>
    </row>
    <row r="1100" spans="1:13" x14ac:dyDescent="0.25">
      <c r="A1100" s="1" t="s">
        <v>2606</v>
      </c>
      <c r="B1100" s="1" t="s">
        <v>109</v>
      </c>
      <c r="C1100" s="1" t="s">
        <v>7</v>
      </c>
      <c r="D1100" s="1" t="s">
        <v>1415</v>
      </c>
      <c r="E1100" s="1" t="s">
        <v>2580</v>
      </c>
      <c r="F1100" s="1" t="s">
        <v>2607</v>
      </c>
      <c r="G1100" s="1" t="s">
        <v>68</v>
      </c>
      <c r="H1100" s="1" t="s">
        <v>130</v>
      </c>
      <c r="I1100" s="1" t="s">
        <v>28</v>
      </c>
      <c r="J1100" s="1" t="s">
        <v>57</v>
      </c>
      <c r="K1100" s="1" t="s">
        <v>2619</v>
      </c>
      <c r="L1100" s="1" t="s">
        <v>2210</v>
      </c>
      <c r="M1100" s="41">
        <v>46307</v>
      </c>
    </row>
    <row r="1101" spans="1:13" x14ac:dyDescent="0.25">
      <c r="A1101" s="1" t="s">
        <v>2620</v>
      </c>
      <c r="B1101" s="1" t="s">
        <v>40</v>
      </c>
      <c r="C1101" s="1" t="s">
        <v>7</v>
      </c>
      <c r="D1101" s="1" t="s">
        <v>1415</v>
      </c>
      <c r="E1101" s="1" t="s">
        <v>2580</v>
      </c>
      <c r="F1101" s="1" t="s">
        <v>2621</v>
      </c>
      <c r="G1101" s="1" t="s">
        <v>135</v>
      </c>
      <c r="H1101" s="1" t="s">
        <v>130</v>
      </c>
      <c r="I1101" s="1" t="s">
        <v>53</v>
      </c>
      <c r="J1101" s="1" t="s">
        <v>34</v>
      </c>
      <c r="K1101" s="1" t="s">
        <v>2622</v>
      </c>
      <c r="L1101" s="1" t="s">
        <v>1448</v>
      </c>
      <c r="M1101" s="41">
        <v>46295</v>
      </c>
    </row>
    <row r="1102" spans="1:13" x14ac:dyDescent="0.25">
      <c r="A1102" s="1" t="s">
        <v>2620</v>
      </c>
      <c r="B1102" s="1" t="s">
        <v>40</v>
      </c>
      <c r="C1102" s="1" t="s">
        <v>7</v>
      </c>
      <c r="D1102" s="1" t="s">
        <v>1415</v>
      </c>
      <c r="E1102" s="1" t="s">
        <v>2580</v>
      </c>
      <c r="F1102" s="1" t="s">
        <v>2621</v>
      </c>
      <c r="G1102" s="1" t="s">
        <v>135</v>
      </c>
      <c r="H1102" s="1" t="s">
        <v>130</v>
      </c>
      <c r="I1102" s="1" t="s">
        <v>54</v>
      </c>
      <c r="J1102" s="1" t="s">
        <v>34</v>
      </c>
      <c r="K1102" s="1" t="s">
        <v>2623</v>
      </c>
      <c r="L1102" s="1" t="s">
        <v>1448</v>
      </c>
      <c r="M1102" s="41">
        <v>46087</v>
      </c>
    </row>
    <row r="1103" spans="1:13" x14ac:dyDescent="0.25">
      <c r="A1103" s="1" t="s">
        <v>2620</v>
      </c>
      <c r="B1103" s="1" t="s">
        <v>40</v>
      </c>
      <c r="C1103" s="1" t="s">
        <v>7</v>
      </c>
      <c r="D1103" s="1" t="s">
        <v>1415</v>
      </c>
      <c r="E1103" s="1" t="s">
        <v>2580</v>
      </c>
      <c r="F1103" s="1" t="s">
        <v>2621</v>
      </c>
      <c r="G1103" s="1" t="s">
        <v>135</v>
      </c>
      <c r="H1103" s="1" t="s">
        <v>130</v>
      </c>
      <c r="I1103" s="1" t="s">
        <v>55</v>
      </c>
      <c r="J1103" s="1" t="s">
        <v>34</v>
      </c>
      <c r="K1103" s="1" t="s">
        <v>2624</v>
      </c>
      <c r="L1103" s="1" t="s">
        <v>1448</v>
      </c>
      <c r="M1103" s="41">
        <v>46087</v>
      </c>
    </row>
    <row r="1104" spans="1:13" x14ac:dyDescent="0.25">
      <c r="A1104" s="1" t="s">
        <v>2620</v>
      </c>
      <c r="B1104" s="1" t="s">
        <v>40</v>
      </c>
      <c r="C1104" s="1" t="s">
        <v>7</v>
      </c>
      <c r="D1104" s="1" t="s">
        <v>1415</v>
      </c>
      <c r="E1104" s="1" t="s">
        <v>2580</v>
      </c>
      <c r="F1104" s="1" t="s">
        <v>2621</v>
      </c>
      <c r="G1104" s="1" t="s">
        <v>135</v>
      </c>
      <c r="H1104" s="1" t="s">
        <v>130</v>
      </c>
      <c r="I1104" s="1" t="s">
        <v>20</v>
      </c>
      <c r="J1104" s="1" t="s">
        <v>34</v>
      </c>
      <c r="K1104" s="1" t="s">
        <v>2625</v>
      </c>
      <c r="L1104" s="1" t="s">
        <v>1448</v>
      </c>
      <c r="M1104" s="41">
        <v>46087</v>
      </c>
    </row>
    <row r="1105" spans="1:13" x14ac:dyDescent="0.25">
      <c r="A1105" s="1" t="s">
        <v>2620</v>
      </c>
      <c r="B1105" s="1" t="s">
        <v>40</v>
      </c>
      <c r="C1105" s="1" t="s">
        <v>7</v>
      </c>
      <c r="D1105" s="1" t="s">
        <v>1415</v>
      </c>
      <c r="E1105" s="1" t="s">
        <v>2580</v>
      </c>
      <c r="F1105" s="1" t="s">
        <v>2621</v>
      </c>
      <c r="G1105" s="1" t="s">
        <v>135</v>
      </c>
      <c r="H1105" s="1" t="s">
        <v>130</v>
      </c>
      <c r="I1105" s="1" t="s">
        <v>21</v>
      </c>
      <c r="J1105" s="1" t="s">
        <v>34</v>
      </c>
      <c r="K1105" s="1" t="s">
        <v>2626</v>
      </c>
      <c r="L1105" s="1" t="s">
        <v>1448</v>
      </c>
      <c r="M1105" s="41">
        <v>46295</v>
      </c>
    </row>
    <row r="1106" spans="1:13" x14ac:dyDescent="0.25">
      <c r="A1106" s="1" t="s">
        <v>2620</v>
      </c>
      <c r="B1106" s="1" t="s">
        <v>40</v>
      </c>
      <c r="C1106" s="1" t="s">
        <v>7</v>
      </c>
      <c r="D1106" s="1" t="s">
        <v>1415</v>
      </c>
      <c r="E1106" s="1" t="s">
        <v>2580</v>
      </c>
      <c r="F1106" s="1" t="s">
        <v>2621</v>
      </c>
      <c r="G1106" s="1" t="s">
        <v>135</v>
      </c>
      <c r="H1106" s="1" t="s">
        <v>130</v>
      </c>
      <c r="I1106" s="1" t="s">
        <v>22</v>
      </c>
      <c r="J1106" s="1" t="s">
        <v>34</v>
      </c>
      <c r="K1106" s="1" t="s">
        <v>2627</v>
      </c>
      <c r="L1106" s="1" t="s">
        <v>1448</v>
      </c>
      <c r="M1106" s="41">
        <v>46295</v>
      </c>
    </row>
    <row r="1107" spans="1:13" x14ac:dyDescent="0.25">
      <c r="A1107" s="1" t="s">
        <v>2620</v>
      </c>
      <c r="B1107" s="1" t="s">
        <v>40</v>
      </c>
      <c r="C1107" s="1" t="s">
        <v>7</v>
      </c>
      <c r="D1107" s="1" t="s">
        <v>1415</v>
      </c>
      <c r="E1107" s="1" t="s">
        <v>2580</v>
      </c>
      <c r="F1107" s="1" t="s">
        <v>2621</v>
      </c>
      <c r="G1107" s="1" t="s">
        <v>135</v>
      </c>
      <c r="H1107" s="1" t="s">
        <v>130</v>
      </c>
      <c r="I1107" s="1" t="s">
        <v>23</v>
      </c>
      <c r="J1107" s="1" t="s">
        <v>34</v>
      </c>
      <c r="K1107" s="1" t="s">
        <v>2628</v>
      </c>
      <c r="L1107" s="1" t="s">
        <v>1448</v>
      </c>
      <c r="M1107" s="41">
        <v>46295</v>
      </c>
    </row>
    <row r="1108" spans="1:13" x14ac:dyDescent="0.25">
      <c r="A1108" s="1" t="s">
        <v>2620</v>
      </c>
      <c r="B1108" s="1" t="s">
        <v>40</v>
      </c>
      <c r="C1108" s="1" t="s">
        <v>7</v>
      </c>
      <c r="D1108" s="1" t="s">
        <v>1415</v>
      </c>
      <c r="E1108" s="1" t="s">
        <v>2580</v>
      </c>
      <c r="F1108" s="1" t="s">
        <v>2621</v>
      </c>
      <c r="G1108" s="1" t="s">
        <v>135</v>
      </c>
      <c r="H1108" s="1" t="s">
        <v>130</v>
      </c>
      <c r="I1108" s="1" t="s">
        <v>24</v>
      </c>
      <c r="J1108" s="1" t="s">
        <v>34</v>
      </c>
      <c r="K1108" s="1" t="s">
        <v>2629</v>
      </c>
      <c r="L1108" s="1" t="s">
        <v>1448</v>
      </c>
      <c r="M1108" s="41">
        <v>46087</v>
      </c>
    </row>
    <row r="1109" spans="1:13" x14ac:dyDescent="0.25">
      <c r="A1109" s="1" t="s">
        <v>2620</v>
      </c>
      <c r="B1109" s="1" t="s">
        <v>40</v>
      </c>
      <c r="C1109" s="1" t="s">
        <v>7</v>
      </c>
      <c r="D1109" s="1" t="s">
        <v>1415</v>
      </c>
      <c r="E1109" s="1" t="s">
        <v>2580</v>
      </c>
      <c r="F1109" s="1" t="s">
        <v>2621</v>
      </c>
      <c r="G1109" s="1" t="s">
        <v>135</v>
      </c>
      <c r="H1109" s="1" t="s">
        <v>130</v>
      </c>
      <c r="I1109" s="1" t="s">
        <v>25</v>
      </c>
      <c r="J1109" s="1" t="s">
        <v>34</v>
      </c>
      <c r="K1109" s="1" t="s">
        <v>2630</v>
      </c>
      <c r="L1109" s="1" t="s">
        <v>1448</v>
      </c>
      <c r="M1109" s="41">
        <v>46087</v>
      </c>
    </row>
    <row r="1110" spans="1:13" x14ac:dyDescent="0.25">
      <c r="A1110" s="1" t="s">
        <v>2620</v>
      </c>
      <c r="B1110" s="1" t="s">
        <v>40</v>
      </c>
      <c r="C1110" s="1" t="s">
        <v>7</v>
      </c>
      <c r="D1110" s="1" t="s">
        <v>1415</v>
      </c>
      <c r="E1110" s="1" t="s">
        <v>2580</v>
      </c>
      <c r="F1110" s="1" t="s">
        <v>2621</v>
      </c>
      <c r="G1110" s="1" t="s">
        <v>135</v>
      </c>
      <c r="H1110" s="1" t="s">
        <v>130</v>
      </c>
      <c r="I1110" s="1" t="s">
        <v>26</v>
      </c>
      <c r="J1110" s="1" t="s">
        <v>34</v>
      </c>
      <c r="K1110" s="1" t="s">
        <v>2631</v>
      </c>
      <c r="L1110" s="1" t="s">
        <v>1448</v>
      </c>
      <c r="M1110" s="41">
        <v>46295</v>
      </c>
    </row>
    <row r="1111" spans="1:13" x14ac:dyDescent="0.25">
      <c r="A1111" s="1" t="s">
        <v>2620</v>
      </c>
      <c r="B1111" s="1" t="s">
        <v>40</v>
      </c>
      <c r="C1111" s="1" t="s">
        <v>7</v>
      </c>
      <c r="D1111" s="1" t="s">
        <v>1415</v>
      </c>
      <c r="E1111" s="1" t="s">
        <v>2580</v>
      </c>
      <c r="F1111" s="1" t="s">
        <v>2621</v>
      </c>
      <c r="G1111" s="1" t="s">
        <v>135</v>
      </c>
      <c r="H1111" s="1" t="s">
        <v>130</v>
      </c>
      <c r="I1111" s="1" t="s">
        <v>28</v>
      </c>
      <c r="J1111" s="1" t="s">
        <v>34</v>
      </c>
      <c r="K1111" s="1" t="s">
        <v>2632</v>
      </c>
      <c r="L1111" s="1" t="s">
        <v>1448</v>
      </c>
      <c r="M1111" s="41">
        <v>46295</v>
      </c>
    </row>
    <row r="1112" spans="1:13" x14ac:dyDescent="0.25">
      <c r="A1112" s="1" t="s">
        <v>2633</v>
      </c>
      <c r="B1112" s="1" t="s">
        <v>93</v>
      </c>
      <c r="C1112" s="1" t="s">
        <v>7</v>
      </c>
      <c r="D1112" s="1" t="s">
        <v>1415</v>
      </c>
      <c r="E1112" s="1" t="s">
        <v>2580</v>
      </c>
      <c r="F1112" s="1" t="s">
        <v>2621</v>
      </c>
      <c r="G1112" s="1" t="s">
        <v>46</v>
      </c>
      <c r="H1112" s="1" t="s">
        <v>130</v>
      </c>
      <c r="I1112" s="1" t="s">
        <v>53</v>
      </c>
      <c r="J1112" s="1" t="s">
        <v>34</v>
      </c>
      <c r="K1112" s="1" t="s">
        <v>2634</v>
      </c>
      <c r="L1112" s="1" t="s">
        <v>1477</v>
      </c>
      <c r="M1112" s="41">
        <v>46237</v>
      </c>
    </row>
    <row r="1113" spans="1:13" x14ac:dyDescent="0.25">
      <c r="A1113" s="1" t="s">
        <v>2633</v>
      </c>
      <c r="B1113" s="1" t="s">
        <v>93</v>
      </c>
      <c r="C1113" s="1" t="s">
        <v>7</v>
      </c>
      <c r="D1113" s="1" t="s">
        <v>1415</v>
      </c>
      <c r="E1113" s="1" t="s">
        <v>2580</v>
      </c>
      <c r="F1113" s="1" t="s">
        <v>2621</v>
      </c>
      <c r="G1113" s="1" t="s">
        <v>46</v>
      </c>
      <c r="H1113" s="1" t="s">
        <v>130</v>
      </c>
      <c r="I1113" s="1" t="s">
        <v>54</v>
      </c>
      <c r="J1113" s="1" t="s">
        <v>34</v>
      </c>
      <c r="K1113" s="1" t="s">
        <v>2635</v>
      </c>
      <c r="L1113" s="1" t="s">
        <v>1477</v>
      </c>
      <c r="M1113" s="41">
        <v>46174</v>
      </c>
    </row>
    <row r="1114" spans="1:13" x14ac:dyDescent="0.25">
      <c r="A1114" s="1" t="s">
        <v>2633</v>
      </c>
      <c r="B1114" s="1" t="s">
        <v>93</v>
      </c>
      <c r="C1114" s="1" t="s">
        <v>7</v>
      </c>
      <c r="D1114" s="1" t="s">
        <v>1415</v>
      </c>
      <c r="E1114" s="1" t="s">
        <v>2580</v>
      </c>
      <c r="F1114" s="1" t="s">
        <v>2621</v>
      </c>
      <c r="G1114" s="1" t="s">
        <v>46</v>
      </c>
      <c r="H1114" s="1" t="s">
        <v>130</v>
      </c>
      <c r="I1114" s="1" t="s">
        <v>55</v>
      </c>
      <c r="J1114" s="1" t="s">
        <v>34</v>
      </c>
      <c r="K1114" s="1" t="s">
        <v>2636</v>
      </c>
      <c r="L1114" s="1" t="s">
        <v>1477</v>
      </c>
      <c r="M1114" s="41">
        <v>46174</v>
      </c>
    </row>
    <row r="1115" spans="1:13" x14ac:dyDescent="0.25">
      <c r="A1115" s="1" t="s">
        <v>2633</v>
      </c>
      <c r="B1115" s="1" t="s">
        <v>93</v>
      </c>
      <c r="C1115" s="1" t="s">
        <v>7</v>
      </c>
      <c r="D1115" s="1" t="s">
        <v>1415</v>
      </c>
      <c r="E1115" s="1" t="s">
        <v>2580</v>
      </c>
      <c r="F1115" s="1" t="s">
        <v>2621</v>
      </c>
      <c r="G1115" s="1" t="s">
        <v>46</v>
      </c>
      <c r="H1115" s="1" t="s">
        <v>130</v>
      </c>
      <c r="I1115" s="1" t="s">
        <v>20</v>
      </c>
      <c r="J1115" s="1" t="s">
        <v>34</v>
      </c>
      <c r="K1115" s="1" t="s">
        <v>2637</v>
      </c>
      <c r="L1115" s="1" t="s">
        <v>1477</v>
      </c>
      <c r="M1115" s="41">
        <v>46174</v>
      </c>
    </row>
    <row r="1116" spans="1:13" x14ac:dyDescent="0.25">
      <c r="A1116" s="1" t="s">
        <v>2633</v>
      </c>
      <c r="B1116" s="1" t="s">
        <v>93</v>
      </c>
      <c r="C1116" s="1" t="s">
        <v>7</v>
      </c>
      <c r="D1116" s="1" t="s">
        <v>1415</v>
      </c>
      <c r="E1116" s="1" t="s">
        <v>2580</v>
      </c>
      <c r="F1116" s="1" t="s">
        <v>2621</v>
      </c>
      <c r="G1116" s="1" t="s">
        <v>46</v>
      </c>
      <c r="H1116" s="1" t="s">
        <v>130</v>
      </c>
      <c r="I1116" s="1" t="s">
        <v>21</v>
      </c>
      <c r="J1116" s="1" t="s">
        <v>34</v>
      </c>
      <c r="K1116" s="1" t="s">
        <v>2638</v>
      </c>
      <c r="L1116" s="1" t="s">
        <v>1477</v>
      </c>
      <c r="M1116" s="41">
        <v>46087</v>
      </c>
    </row>
    <row r="1117" spans="1:13" x14ac:dyDescent="0.25">
      <c r="A1117" s="1" t="s">
        <v>2633</v>
      </c>
      <c r="B1117" s="1" t="s">
        <v>93</v>
      </c>
      <c r="C1117" s="1" t="s">
        <v>7</v>
      </c>
      <c r="D1117" s="1" t="s">
        <v>1415</v>
      </c>
      <c r="E1117" s="1" t="s">
        <v>2580</v>
      </c>
      <c r="F1117" s="1" t="s">
        <v>2621</v>
      </c>
      <c r="G1117" s="1" t="s">
        <v>46</v>
      </c>
      <c r="H1117" s="1" t="s">
        <v>130</v>
      </c>
      <c r="I1117" s="1" t="s">
        <v>22</v>
      </c>
      <c r="J1117" s="1" t="s">
        <v>34</v>
      </c>
      <c r="K1117" s="1" t="s">
        <v>2639</v>
      </c>
      <c r="L1117" s="1" t="s">
        <v>1477</v>
      </c>
      <c r="M1117" s="41">
        <v>46174</v>
      </c>
    </row>
    <row r="1118" spans="1:13" x14ac:dyDescent="0.25">
      <c r="A1118" s="1" t="s">
        <v>2633</v>
      </c>
      <c r="B1118" s="1" t="s">
        <v>93</v>
      </c>
      <c r="C1118" s="1" t="s">
        <v>7</v>
      </c>
      <c r="D1118" s="1" t="s">
        <v>1415</v>
      </c>
      <c r="E1118" s="1" t="s">
        <v>2580</v>
      </c>
      <c r="F1118" s="1" t="s">
        <v>2621</v>
      </c>
      <c r="G1118" s="1" t="s">
        <v>46</v>
      </c>
      <c r="H1118" s="1" t="s">
        <v>130</v>
      </c>
      <c r="I1118" s="1" t="s">
        <v>23</v>
      </c>
      <c r="J1118" s="1" t="s">
        <v>34</v>
      </c>
      <c r="K1118" s="1" t="s">
        <v>2640</v>
      </c>
      <c r="L1118" s="1" t="s">
        <v>1477</v>
      </c>
      <c r="M1118" s="41">
        <v>46087</v>
      </c>
    </row>
    <row r="1119" spans="1:13" x14ac:dyDescent="0.25">
      <c r="A1119" s="1" t="s">
        <v>2633</v>
      </c>
      <c r="B1119" s="1" t="s">
        <v>93</v>
      </c>
      <c r="C1119" s="1" t="s">
        <v>7</v>
      </c>
      <c r="D1119" s="1" t="s">
        <v>1415</v>
      </c>
      <c r="E1119" s="1" t="s">
        <v>2580</v>
      </c>
      <c r="F1119" s="1" t="s">
        <v>2621</v>
      </c>
      <c r="G1119" s="1" t="s">
        <v>46</v>
      </c>
      <c r="H1119" s="1" t="s">
        <v>130</v>
      </c>
      <c r="I1119" s="1" t="s">
        <v>24</v>
      </c>
      <c r="J1119" s="1" t="s">
        <v>34</v>
      </c>
      <c r="K1119" s="1" t="s">
        <v>2641</v>
      </c>
      <c r="L1119" s="1" t="s">
        <v>1477</v>
      </c>
      <c r="M1119" s="41">
        <v>46087</v>
      </c>
    </row>
    <row r="1120" spans="1:13" x14ac:dyDescent="0.25">
      <c r="A1120" s="1" t="s">
        <v>2633</v>
      </c>
      <c r="B1120" s="1" t="s">
        <v>93</v>
      </c>
      <c r="C1120" s="1" t="s">
        <v>7</v>
      </c>
      <c r="D1120" s="1" t="s">
        <v>1415</v>
      </c>
      <c r="E1120" s="1" t="s">
        <v>2580</v>
      </c>
      <c r="F1120" s="1" t="s">
        <v>2621</v>
      </c>
      <c r="G1120" s="1" t="s">
        <v>46</v>
      </c>
      <c r="H1120" s="1" t="s">
        <v>130</v>
      </c>
      <c r="I1120" s="1" t="s">
        <v>25</v>
      </c>
      <c r="J1120" s="1" t="s">
        <v>34</v>
      </c>
      <c r="K1120" s="1" t="s">
        <v>2642</v>
      </c>
      <c r="L1120" s="1" t="s">
        <v>1477</v>
      </c>
      <c r="M1120" s="41">
        <v>46087</v>
      </c>
    </row>
    <row r="1121" spans="1:13" x14ac:dyDescent="0.25">
      <c r="A1121" s="1" t="s">
        <v>2633</v>
      </c>
      <c r="B1121" s="1" t="s">
        <v>93</v>
      </c>
      <c r="C1121" s="1" t="s">
        <v>7</v>
      </c>
      <c r="D1121" s="1" t="s">
        <v>1415</v>
      </c>
      <c r="E1121" s="1" t="s">
        <v>2580</v>
      </c>
      <c r="F1121" s="1" t="s">
        <v>2621</v>
      </c>
      <c r="G1121" s="1" t="s">
        <v>46</v>
      </c>
      <c r="H1121" s="1" t="s">
        <v>130</v>
      </c>
      <c r="I1121" s="1" t="s">
        <v>26</v>
      </c>
      <c r="J1121" s="1" t="s">
        <v>34</v>
      </c>
      <c r="K1121" s="1" t="s">
        <v>2643</v>
      </c>
      <c r="L1121" s="1" t="s">
        <v>1477</v>
      </c>
      <c r="M1121" s="41">
        <v>46087</v>
      </c>
    </row>
    <row r="1122" spans="1:13" x14ac:dyDescent="0.25">
      <c r="A1122" s="1" t="s">
        <v>2633</v>
      </c>
      <c r="B1122" s="1" t="s">
        <v>93</v>
      </c>
      <c r="C1122" s="1" t="s">
        <v>7</v>
      </c>
      <c r="D1122" s="1" t="s">
        <v>1415</v>
      </c>
      <c r="E1122" s="1" t="s">
        <v>2580</v>
      </c>
      <c r="F1122" s="1" t="s">
        <v>2621</v>
      </c>
      <c r="G1122" s="1" t="s">
        <v>46</v>
      </c>
      <c r="H1122" s="1" t="s">
        <v>130</v>
      </c>
      <c r="I1122" s="1" t="s">
        <v>28</v>
      </c>
      <c r="J1122" s="1" t="s">
        <v>34</v>
      </c>
      <c r="K1122" s="1" t="s">
        <v>2644</v>
      </c>
      <c r="L1122" s="1" t="s">
        <v>1477</v>
      </c>
      <c r="M1122" s="41">
        <v>46237</v>
      </c>
    </row>
    <row r="1123" spans="1:13" x14ac:dyDescent="0.25">
      <c r="A1123" s="1" t="s">
        <v>2645</v>
      </c>
      <c r="B1123" s="1" t="s">
        <v>93</v>
      </c>
      <c r="C1123" s="1" t="s">
        <v>7</v>
      </c>
      <c r="D1123" s="1" t="s">
        <v>1415</v>
      </c>
      <c r="E1123" s="1" t="s">
        <v>2580</v>
      </c>
      <c r="F1123" s="1" t="s">
        <v>2621</v>
      </c>
      <c r="G1123" s="1" t="s">
        <v>94</v>
      </c>
      <c r="H1123" s="1" t="s">
        <v>130</v>
      </c>
      <c r="I1123" s="1" t="s">
        <v>53</v>
      </c>
      <c r="J1123" s="1" t="s">
        <v>34</v>
      </c>
      <c r="K1123" s="1" t="s">
        <v>2646</v>
      </c>
      <c r="L1123" s="1" t="s">
        <v>1477</v>
      </c>
      <c r="M1123" s="41">
        <v>46087</v>
      </c>
    </row>
    <row r="1124" spans="1:13" x14ac:dyDescent="0.25">
      <c r="A1124" s="1" t="s">
        <v>2645</v>
      </c>
      <c r="B1124" s="1" t="s">
        <v>93</v>
      </c>
      <c r="C1124" s="1" t="s">
        <v>7</v>
      </c>
      <c r="D1124" s="1" t="s">
        <v>1415</v>
      </c>
      <c r="E1124" s="1" t="s">
        <v>2580</v>
      </c>
      <c r="F1124" s="1" t="s">
        <v>2621</v>
      </c>
      <c r="G1124" s="1" t="s">
        <v>94</v>
      </c>
      <c r="H1124" s="1" t="s">
        <v>130</v>
      </c>
      <c r="I1124" s="1" t="s">
        <v>54</v>
      </c>
      <c r="J1124" s="1" t="s">
        <v>34</v>
      </c>
      <c r="K1124" s="1" t="s">
        <v>2647</v>
      </c>
      <c r="L1124" s="1" t="s">
        <v>1477</v>
      </c>
      <c r="M1124" s="41">
        <v>46087</v>
      </c>
    </row>
    <row r="1125" spans="1:13" x14ac:dyDescent="0.25">
      <c r="A1125" s="1" t="s">
        <v>2645</v>
      </c>
      <c r="B1125" s="1" t="s">
        <v>93</v>
      </c>
      <c r="C1125" s="1" t="s">
        <v>7</v>
      </c>
      <c r="D1125" s="1" t="s">
        <v>1415</v>
      </c>
      <c r="E1125" s="1" t="s">
        <v>2580</v>
      </c>
      <c r="F1125" s="1" t="s">
        <v>2621</v>
      </c>
      <c r="G1125" s="1" t="s">
        <v>94</v>
      </c>
      <c r="H1125" s="1" t="s">
        <v>130</v>
      </c>
      <c r="I1125" s="1" t="s">
        <v>55</v>
      </c>
      <c r="J1125" s="1" t="s">
        <v>34</v>
      </c>
      <c r="K1125" s="1" t="s">
        <v>2648</v>
      </c>
      <c r="L1125" s="1" t="s">
        <v>1477</v>
      </c>
      <c r="M1125" s="41">
        <v>46087</v>
      </c>
    </row>
    <row r="1126" spans="1:13" x14ac:dyDescent="0.25">
      <c r="A1126" s="1" t="s">
        <v>2645</v>
      </c>
      <c r="B1126" s="1" t="s">
        <v>93</v>
      </c>
      <c r="C1126" s="1" t="s">
        <v>7</v>
      </c>
      <c r="D1126" s="1" t="s">
        <v>1415</v>
      </c>
      <c r="E1126" s="1" t="s">
        <v>2580</v>
      </c>
      <c r="F1126" s="1" t="s">
        <v>2621</v>
      </c>
      <c r="G1126" s="1" t="s">
        <v>94</v>
      </c>
      <c r="H1126" s="1" t="s">
        <v>130</v>
      </c>
      <c r="I1126" s="1" t="s">
        <v>20</v>
      </c>
      <c r="J1126" s="1" t="s">
        <v>34</v>
      </c>
      <c r="K1126" s="1" t="s">
        <v>2649</v>
      </c>
      <c r="L1126" s="1" t="s">
        <v>1477</v>
      </c>
      <c r="M1126" s="41">
        <v>46087</v>
      </c>
    </row>
    <row r="1127" spans="1:13" x14ac:dyDescent="0.25">
      <c r="A1127" s="1" t="s">
        <v>2645</v>
      </c>
      <c r="B1127" s="1" t="s">
        <v>93</v>
      </c>
      <c r="C1127" s="1" t="s">
        <v>7</v>
      </c>
      <c r="D1127" s="1" t="s">
        <v>1415</v>
      </c>
      <c r="E1127" s="1" t="s">
        <v>2580</v>
      </c>
      <c r="F1127" s="1" t="s">
        <v>2621</v>
      </c>
      <c r="G1127" s="1" t="s">
        <v>94</v>
      </c>
      <c r="H1127" s="1" t="s">
        <v>130</v>
      </c>
      <c r="I1127" s="1" t="s">
        <v>21</v>
      </c>
      <c r="J1127" s="1" t="s">
        <v>34</v>
      </c>
      <c r="K1127" s="1" t="s">
        <v>2650</v>
      </c>
      <c r="L1127" s="1" t="s">
        <v>1477</v>
      </c>
      <c r="M1127" s="41">
        <v>46087</v>
      </c>
    </row>
    <row r="1128" spans="1:13" x14ac:dyDescent="0.25">
      <c r="A1128" s="1" t="s">
        <v>2645</v>
      </c>
      <c r="B1128" s="1" t="s">
        <v>93</v>
      </c>
      <c r="C1128" s="1" t="s">
        <v>7</v>
      </c>
      <c r="D1128" s="1" t="s">
        <v>1415</v>
      </c>
      <c r="E1128" s="1" t="s">
        <v>2580</v>
      </c>
      <c r="F1128" s="1" t="s">
        <v>2621</v>
      </c>
      <c r="G1128" s="1" t="s">
        <v>94</v>
      </c>
      <c r="H1128" s="1" t="s">
        <v>130</v>
      </c>
      <c r="I1128" s="1" t="s">
        <v>22</v>
      </c>
      <c r="J1128" s="1" t="s">
        <v>34</v>
      </c>
      <c r="K1128" s="1" t="s">
        <v>2651</v>
      </c>
      <c r="L1128" s="1" t="s">
        <v>1477</v>
      </c>
      <c r="M1128" s="41">
        <v>46087</v>
      </c>
    </row>
    <row r="1129" spans="1:13" x14ac:dyDescent="0.25">
      <c r="A1129" s="1" t="s">
        <v>2645</v>
      </c>
      <c r="B1129" s="1" t="s">
        <v>93</v>
      </c>
      <c r="C1129" s="1" t="s">
        <v>7</v>
      </c>
      <c r="D1129" s="1" t="s">
        <v>1415</v>
      </c>
      <c r="E1129" s="1" t="s">
        <v>2580</v>
      </c>
      <c r="F1129" s="1" t="s">
        <v>2621</v>
      </c>
      <c r="G1129" s="1" t="s">
        <v>94</v>
      </c>
      <c r="H1129" s="1" t="s">
        <v>130</v>
      </c>
      <c r="I1129" s="1" t="s">
        <v>23</v>
      </c>
      <c r="J1129" s="1" t="s">
        <v>34</v>
      </c>
      <c r="K1129" s="1" t="s">
        <v>2652</v>
      </c>
      <c r="L1129" s="1" t="s">
        <v>1477</v>
      </c>
      <c r="M1129" s="41">
        <v>46087</v>
      </c>
    </row>
    <row r="1130" spans="1:13" x14ac:dyDescent="0.25">
      <c r="A1130" s="1" t="s">
        <v>2645</v>
      </c>
      <c r="B1130" s="1" t="s">
        <v>93</v>
      </c>
      <c r="C1130" s="1" t="s">
        <v>7</v>
      </c>
      <c r="D1130" s="1" t="s">
        <v>1415</v>
      </c>
      <c r="E1130" s="1" t="s">
        <v>2580</v>
      </c>
      <c r="F1130" s="1" t="s">
        <v>2621</v>
      </c>
      <c r="G1130" s="1" t="s">
        <v>94</v>
      </c>
      <c r="H1130" s="1" t="s">
        <v>130</v>
      </c>
      <c r="I1130" s="1" t="s">
        <v>24</v>
      </c>
      <c r="J1130" s="1" t="s">
        <v>34</v>
      </c>
      <c r="K1130" s="1" t="s">
        <v>2653</v>
      </c>
      <c r="L1130" s="1" t="s">
        <v>1477</v>
      </c>
      <c r="M1130" s="41">
        <v>46087</v>
      </c>
    </row>
    <row r="1131" spans="1:13" x14ac:dyDescent="0.25">
      <c r="A1131" s="1" t="s">
        <v>2645</v>
      </c>
      <c r="B1131" s="1" t="s">
        <v>93</v>
      </c>
      <c r="C1131" s="1" t="s">
        <v>7</v>
      </c>
      <c r="D1131" s="1" t="s">
        <v>1415</v>
      </c>
      <c r="E1131" s="1" t="s">
        <v>2580</v>
      </c>
      <c r="F1131" s="1" t="s">
        <v>2621</v>
      </c>
      <c r="G1131" s="1" t="s">
        <v>94</v>
      </c>
      <c r="H1131" s="1" t="s">
        <v>130</v>
      </c>
      <c r="I1131" s="1" t="s">
        <v>25</v>
      </c>
      <c r="J1131" s="1" t="s">
        <v>34</v>
      </c>
      <c r="K1131" s="1" t="s">
        <v>2654</v>
      </c>
      <c r="L1131" s="1" t="s">
        <v>1477</v>
      </c>
      <c r="M1131" s="41">
        <v>46087</v>
      </c>
    </row>
    <row r="1132" spans="1:13" x14ac:dyDescent="0.25">
      <c r="A1132" s="1" t="s">
        <v>2645</v>
      </c>
      <c r="B1132" s="1" t="s">
        <v>93</v>
      </c>
      <c r="C1132" s="1" t="s">
        <v>7</v>
      </c>
      <c r="D1132" s="1" t="s">
        <v>1415</v>
      </c>
      <c r="E1132" s="1" t="s">
        <v>2580</v>
      </c>
      <c r="F1132" s="1" t="s">
        <v>2621</v>
      </c>
      <c r="G1132" s="1" t="s">
        <v>94</v>
      </c>
      <c r="H1132" s="1" t="s">
        <v>130</v>
      </c>
      <c r="I1132" s="1" t="s">
        <v>26</v>
      </c>
      <c r="J1132" s="1" t="s">
        <v>34</v>
      </c>
      <c r="K1132" s="1" t="s">
        <v>2655</v>
      </c>
      <c r="L1132" s="1" t="s">
        <v>1477</v>
      </c>
      <c r="M1132" s="41">
        <v>46087</v>
      </c>
    </row>
    <row r="1133" spans="1:13" x14ac:dyDescent="0.25">
      <c r="A1133" s="1" t="s">
        <v>2645</v>
      </c>
      <c r="B1133" s="1" t="s">
        <v>93</v>
      </c>
      <c r="C1133" s="1" t="s">
        <v>7</v>
      </c>
      <c r="D1133" s="1" t="s">
        <v>1415</v>
      </c>
      <c r="E1133" s="1" t="s">
        <v>2580</v>
      </c>
      <c r="F1133" s="1" t="s">
        <v>2621</v>
      </c>
      <c r="G1133" s="1" t="s">
        <v>94</v>
      </c>
      <c r="H1133" s="1" t="s">
        <v>130</v>
      </c>
      <c r="I1133" s="1" t="s">
        <v>28</v>
      </c>
      <c r="J1133" s="1" t="s">
        <v>34</v>
      </c>
      <c r="K1133" s="1" t="s">
        <v>2656</v>
      </c>
      <c r="L1133" s="1" t="s">
        <v>1477</v>
      </c>
      <c r="M1133" s="41">
        <v>46087</v>
      </c>
    </row>
    <row r="1134" spans="1:13" x14ac:dyDescent="0.25">
      <c r="A1134" s="1" t="s">
        <v>2657</v>
      </c>
      <c r="B1134" s="1" t="s">
        <v>47</v>
      </c>
      <c r="C1134" s="1" t="s">
        <v>7</v>
      </c>
      <c r="D1134" s="1" t="s">
        <v>1415</v>
      </c>
      <c r="E1134" s="1" t="s">
        <v>2580</v>
      </c>
      <c r="F1134" s="1" t="s">
        <v>2621</v>
      </c>
      <c r="G1134" s="1" t="s">
        <v>46</v>
      </c>
      <c r="H1134" s="1" t="s">
        <v>130</v>
      </c>
      <c r="I1134" s="1" t="s">
        <v>53</v>
      </c>
      <c r="J1134" s="1" t="s">
        <v>34</v>
      </c>
      <c r="K1134" s="1" t="s">
        <v>2658</v>
      </c>
      <c r="L1134" s="1" t="s">
        <v>1492</v>
      </c>
      <c r="M1134" s="41" t="s">
        <v>9</v>
      </c>
    </row>
    <row r="1135" spans="1:13" x14ac:dyDescent="0.25">
      <c r="A1135" s="1" t="s">
        <v>2657</v>
      </c>
      <c r="B1135" s="1" t="s">
        <v>47</v>
      </c>
      <c r="C1135" s="1" t="s">
        <v>7</v>
      </c>
      <c r="D1135" s="1" t="s">
        <v>1415</v>
      </c>
      <c r="E1135" s="1" t="s">
        <v>2580</v>
      </c>
      <c r="F1135" s="1" t="s">
        <v>2621</v>
      </c>
      <c r="G1135" s="1" t="s">
        <v>46</v>
      </c>
      <c r="H1135" s="1" t="s">
        <v>130</v>
      </c>
      <c r="I1135" s="1" t="s">
        <v>54</v>
      </c>
      <c r="J1135" s="1" t="s">
        <v>34</v>
      </c>
      <c r="K1135" s="1" t="s">
        <v>2659</v>
      </c>
      <c r="L1135" s="1" t="s">
        <v>1492</v>
      </c>
      <c r="M1135" s="41" t="s">
        <v>9</v>
      </c>
    </row>
    <row r="1136" spans="1:13" x14ac:dyDescent="0.25">
      <c r="A1136" s="1" t="s">
        <v>2657</v>
      </c>
      <c r="B1136" s="1" t="s">
        <v>47</v>
      </c>
      <c r="C1136" s="1" t="s">
        <v>7</v>
      </c>
      <c r="D1136" s="1" t="s">
        <v>1415</v>
      </c>
      <c r="E1136" s="1" t="s">
        <v>2580</v>
      </c>
      <c r="F1136" s="1" t="s">
        <v>2621</v>
      </c>
      <c r="G1136" s="1" t="s">
        <v>46</v>
      </c>
      <c r="H1136" s="1" t="s">
        <v>130</v>
      </c>
      <c r="I1136" s="1" t="s">
        <v>55</v>
      </c>
      <c r="J1136" s="1" t="s">
        <v>34</v>
      </c>
      <c r="K1136" s="1" t="s">
        <v>2660</v>
      </c>
      <c r="L1136" s="1" t="s">
        <v>1492</v>
      </c>
      <c r="M1136" s="41">
        <v>46087</v>
      </c>
    </row>
    <row r="1137" spans="1:13" x14ac:dyDescent="0.25">
      <c r="A1137" s="1" t="s">
        <v>2657</v>
      </c>
      <c r="B1137" s="1" t="s">
        <v>47</v>
      </c>
      <c r="C1137" s="1" t="s">
        <v>7</v>
      </c>
      <c r="D1137" s="1" t="s">
        <v>1415</v>
      </c>
      <c r="E1137" s="1" t="s">
        <v>2580</v>
      </c>
      <c r="F1137" s="1" t="s">
        <v>2621</v>
      </c>
      <c r="G1137" s="1" t="s">
        <v>46</v>
      </c>
      <c r="H1137" s="1" t="s">
        <v>130</v>
      </c>
      <c r="I1137" s="1" t="s">
        <v>20</v>
      </c>
      <c r="J1137" s="1" t="s">
        <v>34</v>
      </c>
      <c r="K1137" s="1" t="s">
        <v>2661</v>
      </c>
      <c r="L1137" s="1" t="s">
        <v>1492</v>
      </c>
      <c r="M1137" s="41">
        <v>46087</v>
      </c>
    </row>
    <row r="1138" spans="1:13" x14ac:dyDescent="0.25">
      <c r="A1138" s="1" t="s">
        <v>2657</v>
      </c>
      <c r="B1138" s="1" t="s">
        <v>47</v>
      </c>
      <c r="C1138" s="1" t="s">
        <v>7</v>
      </c>
      <c r="D1138" s="1" t="s">
        <v>1415</v>
      </c>
      <c r="E1138" s="1" t="s">
        <v>2580</v>
      </c>
      <c r="F1138" s="1" t="s">
        <v>2621</v>
      </c>
      <c r="G1138" s="1" t="s">
        <v>46</v>
      </c>
      <c r="H1138" s="1" t="s">
        <v>130</v>
      </c>
      <c r="I1138" s="1" t="s">
        <v>21</v>
      </c>
      <c r="J1138" s="1" t="s">
        <v>34</v>
      </c>
      <c r="K1138" s="1" t="s">
        <v>2662</v>
      </c>
      <c r="L1138" s="1" t="s">
        <v>1492</v>
      </c>
      <c r="M1138" s="41">
        <v>46087</v>
      </c>
    </row>
    <row r="1139" spans="1:13" x14ac:dyDescent="0.25">
      <c r="A1139" s="1" t="s">
        <v>2657</v>
      </c>
      <c r="B1139" s="1" t="s">
        <v>47</v>
      </c>
      <c r="C1139" s="1" t="s">
        <v>7</v>
      </c>
      <c r="D1139" s="1" t="s">
        <v>1415</v>
      </c>
      <c r="E1139" s="1" t="s">
        <v>2580</v>
      </c>
      <c r="F1139" s="1" t="s">
        <v>2621</v>
      </c>
      <c r="G1139" s="1" t="s">
        <v>46</v>
      </c>
      <c r="H1139" s="1" t="s">
        <v>130</v>
      </c>
      <c r="I1139" s="1" t="s">
        <v>22</v>
      </c>
      <c r="J1139" s="1" t="s">
        <v>34</v>
      </c>
      <c r="K1139" s="1" t="s">
        <v>2663</v>
      </c>
      <c r="L1139" s="1" t="s">
        <v>1492</v>
      </c>
      <c r="M1139" s="41">
        <v>46087</v>
      </c>
    </row>
    <row r="1140" spans="1:13" x14ac:dyDescent="0.25">
      <c r="A1140" s="1" t="s">
        <v>2657</v>
      </c>
      <c r="B1140" s="1" t="s">
        <v>47</v>
      </c>
      <c r="C1140" s="1" t="s">
        <v>7</v>
      </c>
      <c r="D1140" s="1" t="s">
        <v>1415</v>
      </c>
      <c r="E1140" s="1" t="s">
        <v>2580</v>
      </c>
      <c r="F1140" s="1" t="s">
        <v>2621</v>
      </c>
      <c r="G1140" s="1" t="s">
        <v>46</v>
      </c>
      <c r="H1140" s="1" t="s">
        <v>130</v>
      </c>
      <c r="I1140" s="1" t="s">
        <v>23</v>
      </c>
      <c r="J1140" s="1" t="s">
        <v>34</v>
      </c>
      <c r="K1140" s="1" t="s">
        <v>2664</v>
      </c>
      <c r="L1140" s="1" t="s">
        <v>1492</v>
      </c>
      <c r="M1140" s="41">
        <v>46087</v>
      </c>
    </row>
    <row r="1141" spans="1:13" x14ac:dyDescent="0.25">
      <c r="A1141" s="1" t="s">
        <v>2657</v>
      </c>
      <c r="B1141" s="1" t="s">
        <v>47</v>
      </c>
      <c r="C1141" s="1" t="s">
        <v>7</v>
      </c>
      <c r="D1141" s="1" t="s">
        <v>1415</v>
      </c>
      <c r="E1141" s="1" t="s">
        <v>2580</v>
      </c>
      <c r="F1141" s="1" t="s">
        <v>2621</v>
      </c>
      <c r="G1141" s="1" t="s">
        <v>46</v>
      </c>
      <c r="H1141" s="1" t="s">
        <v>130</v>
      </c>
      <c r="I1141" s="1" t="s">
        <v>24</v>
      </c>
      <c r="J1141" s="1" t="s">
        <v>34</v>
      </c>
      <c r="K1141" s="1" t="s">
        <v>2665</v>
      </c>
      <c r="L1141" s="1" t="s">
        <v>1492</v>
      </c>
      <c r="M1141" s="41" t="s">
        <v>9</v>
      </c>
    </row>
    <row r="1142" spans="1:13" x14ac:dyDescent="0.25">
      <c r="A1142" s="1" t="s">
        <v>2657</v>
      </c>
      <c r="B1142" s="1" t="s">
        <v>47</v>
      </c>
      <c r="C1142" s="1" t="s">
        <v>7</v>
      </c>
      <c r="D1142" s="1" t="s">
        <v>1415</v>
      </c>
      <c r="E1142" s="1" t="s">
        <v>2580</v>
      </c>
      <c r="F1142" s="1" t="s">
        <v>2621</v>
      </c>
      <c r="G1142" s="1" t="s">
        <v>46</v>
      </c>
      <c r="H1142" s="1" t="s">
        <v>130</v>
      </c>
      <c r="I1142" s="1" t="s">
        <v>25</v>
      </c>
      <c r="J1142" s="1" t="s">
        <v>34</v>
      </c>
      <c r="K1142" s="1" t="s">
        <v>2666</v>
      </c>
      <c r="L1142" s="1" t="s">
        <v>1492</v>
      </c>
      <c r="M1142" s="41" t="s">
        <v>9</v>
      </c>
    </row>
    <row r="1143" spans="1:13" x14ac:dyDescent="0.25">
      <c r="A1143" s="1" t="s">
        <v>2657</v>
      </c>
      <c r="B1143" s="1" t="s">
        <v>47</v>
      </c>
      <c r="C1143" s="1" t="s">
        <v>7</v>
      </c>
      <c r="D1143" s="1" t="s">
        <v>1415</v>
      </c>
      <c r="E1143" s="1" t="s">
        <v>2580</v>
      </c>
      <c r="F1143" s="1" t="s">
        <v>2621</v>
      </c>
      <c r="G1143" s="1" t="s">
        <v>46</v>
      </c>
      <c r="H1143" s="1" t="s">
        <v>130</v>
      </c>
      <c r="I1143" s="1" t="s">
        <v>26</v>
      </c>
      <c r="J1143" s="1" t="s">
        <v>34</v>
      </c>
      <c r="K1143" s="1" t="s">
        <v>2667</v>
      </c>
      <c r="L1143" s="1" t="s">
        <v>1492</v>
      </c>
      <c r="M1143" s="41" t="s">
        <v>9</v>
      </c>
    </row>
    <row r="1144" spans="1:13" x14ac:dyDescent="0.25">
      <c r="A1144" s="1" t="s">
        <v>2657</v>
      </c>
      <c r="B1144" s="1" t="s">
        <v>47</v>
      </c>
      <c r="C1144" s="1" t="s">
        <v>7</v>
      </c>
      <c r="D1144" s="1" t="s">
        <v>1415</v>
      </c>
      <c r="E1144" s="1" t="s">
        <v>2580</v>
      </c>
      <c r="F1144" s="1" t="s">
        <v>2621</v>
      </c>
      <c r="G1144" s="1" t="s">
        <v>46</v>
      </c>
      <c r="H1144" s="1" t="s">
        <v>130</v>
      </c>
      <c r="I1144" s="1" t="s">
        <v>28</v>
      </c>
      <c r="J1144" s="1" t="s">
        <v>34</v>
      </c>
      <c r="K1144" s="1" t="s">
        <v>2668</v>
      </c>
      <c r="L1144" s="1" t="s">
        <v>1492</v>
      </c>
      <c r="M1144" s="41" t="s">
        <v>9</v>
      </c>
    </row>
    <row r="1145" spans="1:13" x14ac:dyDescent="0.25">
      <c r="A1145" s="1" t="s">
        <v>2669</v>
      </c>
      <c r="B1145" s="1" t="s">
        <v>107</v>
      </c>
      <c r="C1145" s="1" t="s">
        <v>7</v>
      </c>
      <c r="D1145" s="1" t="s">
        <v>1415</v>
      </c>
      <c r="E1145" s="1" t="s">
        <v>2580</v>
      </c>
      <c r="F1145" s="1" t="s">
        <v>2670</v>
      </c>
      <c r="G1145" s="1" t="s">
        <v>76</v>
      </c>
      <c r="H1145" s="1" t="s">
        <v>130</v>
      </c>
      <c r="I1145" s="1" t="s">
        <v>53</v>
      </c>
      <c r="J1145" s="1" t="s">
        <v>34</v>
      </c>
      <c r="K1145" s="1" t="s">
        <v>2671</v>
      </c>
      <c r="L1145" s="1" t="s">
        <v>1642</v>
      </c>
      <c r="M1145" s="41">
        <v>46248</v>
      </c>
    </row>
    <row r="1146" spans="1:13" x14ac:dyDescent="0.25">
      <c r="A1146" s="1" t="s">
        <v>2669</v>
      </c>
      <c r="B1146" s="1" t="s">
        <v>107</v>
      </c>
      <c r="C1146" s="1" t="s">
        <v>7</v>
      </c>
      <c r="D1146" s="1" t="s">
        <v>1415</v>
      </c>
      <c r="E1146" s="1" t="s">
        <v>2580</v>
      </c>
      <c r="F1146" s="1" t="s">
        <v>2670</v>
      </c>
      <c r="G1146" s="1" t="s">
        <v>76</v>
      </c>
      <c r="H1146" s="1" t="s">
        <v>130</v>
      </c>
      <c r="I1146" s="1" t="s">
        <v>54</v>
      </c>
      <c r="J1146" s="1" t="s">
        <v>34</v>
      </c>
      <c r="K1146" s="1" t="s">
        <v>2672</v>
      </c>
      <c r="L1146" s="1" t="s">
        <v>1642</v>
      </c>
      <c r="M1146" s="41">
        <v>46087</v>
      </c>
    </row>
    <row r="1147" spans="1:13" x14ac:dyDescent="0.25">
      <c r="A1147" s="1" t="s">
        <v>2669</v>
      </c>
      <c r="B1147" s="1" t="s">
        <v>107</v>
      </c>
      <c r="C1147" s="1" t="s">
        <v>7</v>
      </c>
      <c r="D1147" s="1" t="s">
        <v>1415</v>
      </c>
      <c r="E1147" s="1" t="s">
        <v>2580</v>
      </c>
      <c r="F1147" s="1" t="s">
        <v>2670</v>
      </c>
      <c r="G1147" s="1" t="s">
        <v>76</v>
      </c>
      <c r="H1147" s="1" t="s">
        <v>130</v>
      </c>
      <c r="I1147" s="1" t="s">
        <v>55</v>
      </c>
      <c r="J1147" s="1" t="s">
        <v>34</v>
      </c>
      <c r="K1147" s="1" t="s">
        <v>2673</v>
      </c>
      <c r="L1147" s="1" t="s">
        <v>1642</v>
      </c>
      <c r="M1147" s="41">
        <v>46248</v>
      </c>
    </row>
    <row r="1148" spans="1:13" x14ac:dyDescent="0.25">
      <c r="A1148" s="1" t="s">
        <v>2669</v>
      </c>
      <c r="B1148" s="1" t="s">
        <v>107</v>
      </c>
      <c r="C1148" s="1" t="s">
        <v>7</v>
      </c>
      <c r="D1148" s="1" t="s">
        <v>1415</v>
      </c>
      <c r="E1148" s="1" t="s">
        <v>2580</v>
      </c>
      <c r="F1148" s="1" t="s">
        <v>2670</v>
      </c>
      <c r="G1148" s="1" t="s">
        <v>76</v>
      </c>
      <c r="H1148" s="1" t="s">
        <v>130</v>
      </c>
      <c r="I1148" s="1" t="s">
        <v>20</v>
      </c>
      <c r="J1148" s="1" t="s">
        <v>34</v>
      </c>
      <c r="K1148" s="1" t="s">
        <v>2674</v>
      </c>
      <c r="L1148" s="1" t="s">
        <v>1642</v>
      </c>
      <c r="M1148" s="41">
        <v>46087</v>
      </c>
    </row>
    <row r="1149" spans="1:13" x14ac:dyDescent="0.25">
      <c r="A1149" s="1" t="s">
        <v>2669</v>
      </c>
      <c r="B1149" s="1" t="s">
        <v>107</v>
      </c>
      <c r="C1149" s="1" t="s">
        <v>7</v>
      </c>
      <c r="D1149" s="1" t="s">
        <v>1415</v>
      </c>
      <c r="E1149" s="1" t="s">
        <v>2580</v>
      </c>
      <c r="F1149" s="1" t="s">
        <v>2670</v>
      </c>
      <c r="G1149" s="1" t="s">
        <v>76</v>
      </c>
      <c r="H1149" s="1" t="s">
        <v>130</v>
      </c>
      <c r="I1149" s="1" t="s">
        <v>21</v>
      </c>
      <c r="J1149" s="1" t="s">
        <v>34</v>
      </c>
      <c r="K1149" s="1" t="s">
        <v>2675</v>
      </c>
      <c r="L1149" s="1" t="s">
        <v>1642</v>
      </c>
      <c r="M1149" s="41">
        <v>46087</v>
      </c>
    </row>
    <row r="1150" spans="1:13" x14ac:dyDescent="0.25">
      <c r="A1150" s="1" t="s">
        <v>2669</v>
      </c>
      <c r="B1150" s="1" t="s">
        <v>107</v>
      </c>
      <c r="C1150" s="1" t="s">
        <v>7</v>
      </c>
      <c r="D1150" s="1" t="s">
        <v>1415</v>
      </c>
      <c r="E1150" s="1" t="s">
        <v>2580</v>
      </c>
      <c r="F1150" s="1" t="s">
        <v>2670</v>
      </c>
      <c r="G1150" s="1" t="s">
        <v>76</v>
      </c>
      <c r="H1150" s="1" t="s">
        <v>130</v>
      </c>
      <c r="I1150" s="1" t="s">
        <v>22</v>
      </c>
      <c r="J1150" s="1" t="s">
        <v>34</v>
      </c>
      <c r="K1150" s="1" t="s">
        <v>2676</v>
      </c>
      <c r="L1150" s="1" t="s">
        <v>1642</v>
      </c>
      <c r="M1150" s="41">
        <v>46248</v>
      </c>
    </row>
    <row r="1151" spans="1:13" x14ac:dyDescent="0.25">
      <c r="A1151" s="1" t="s">
        <v>2669</v>
      </c>
      <c r="B1151" s="1" t="s">
        <v>107</v>
      </c>
      <c r="C1151" s="1" t="s">
        <v>7</v>
      </c>
      <c r="D1151" s="1" t="s">
        <v>1415</v>
      </c>
      <c r="E1151" s="1" t="s">
        <v>2580</v>
      </c>
      <c r="F1151" s="1" t="s">
        <v>2670</v>
      </c>
      <c r="G1151" s="1" t="s">
        <v>76</v>
      </c>
      <c r="H1151" s="1" t="s">
        <v>130</v>
      </c>
      <c r="I1151" s="1" t="s">
        <v>23</v>
      </c>
      <c r="J1151" s="1" t="s">
        <v>34</v>
      </c>
      <c r="K1151" s="1" t="s">
        <v>2677</v>
      </c>
      <c r="L1151" s="1" t="s">
        <v>1642</v>
      </c>
      <c r="M1151" s="41">
        <v>46087</v>
      </c>
    </row>
    <row r="1152" spans="1:13" x14ac:dyDescent="0.25">
      <c r="A1152" s="1" t="s">
        <v>2669</v>
      </c>
      <c r="B1152" s="1" t="s">
        <v>107</v>
      </c>
      <c r="C1152" s="1" t="s">
        <v>7</v>
      </c>
      <c r="D1152" s="1" t="s">
        <v>1415</v>
      </c>
      <c r="E1152" s="1" t="s">
        <v>2580</v>
      </c>
      <c r="F1152" s="1" t="s">
        <v>2670</v>
      </c>
      <c r="G1152" s="1" t="s">
        <v>76</v>
      </c>
      <c r="H1152" s="1" t="s">
        <v>130</v>
      </c>
      <c r="I1152" s="1" t="s">
        <v>24</v>
      </c>
      <c r="J1152" s="1" t="s">
        <v>34</v>
      </c>
      <c r="K1152" s="1" t="s">
        <v>2678</v>
      </c>
      <c r="L1152" s="1" t="s">
        <v>1642</v>
      </c>
      <c r="M1152" s="41">
        <v>46314</v>
      </c>
    </row>
    <row r="1153" spans="1:13" x14ac:dyDescent="0.25">
      <c r="A1153" s="1" t="s">
        <v>2669</v>
      </c>
      <c r="B1153" s="1" t="s">
        <v>107</v>
      </c>
      <c r="C1153" s="1" t="s">
        <v>7</v>
      </c>
      <c r="D1153" s="1" t="s">
        <v>1415</v>
      </c>
      <c r="E1153" s="1" t="s">
        <v>2580</v>
      </c>
      <c r="F1153" s="1" t="s">
        <v>2670</v>
      </c>
      <c r="G1153" s="1" t="s">
        <v>76</v>
      </c>
      <c r="H1153" s="1" t="s">
        <v>130</v>
      </c>
      <c r="I1153" s="1" t="s">
        <v>25</v>
      </c>
      <c r="J1153" s="1" t="s">
        <v>34</v>
      </c>
      <c r="K1153" s="1" t="s">
        <v>2679</v>
      </c>
      <c r="L1153" s="1" t="s">
        <v>1642</v>
      </c>
      <c r="M1153" s="41">
        <v>46248</v>
      </c>
    </row>
    <row r="1154" spans="1:13" x14ac:dyDescent="0.25">
      <c r="A1154" s="1" t="s">
        <v>2669</v>
      </c>
      <c r="B1154" s="1" t="s">
        <v>107</v>
      </c>
      <c r="C1154" s="1" t="s">
        <v>7</v>
      </c>
      <c r="D1154" s="1" t="s">
        <v>1415</v>
      </c>
      <c r="E1154" s="1" t="s">
        <v>2580</v>
      </c>
      <c r="F1154" s="1" t="s">
        <v>2670</v>
      </c>
      <c r="G1154" s="1" t="s">
        <v>76</v>
      </c>
      <c r="H1154" s="1" t="s">
        <v>130</v>
      </c>
      <c r="I1154" s="1" t="s">
        <v>26</v>
      </c>
      <c r="J1154" s="1" t="s">
        <v>34</v>
      </c>
      <c r="K1154" s="1" t="s">
        <v>2680</v>
      </c>
      <c r="L1154" s="1" t="s">
        <v>1642</v>
      </c>
      <c r="M1154" s="41">
        <v>46248</v>
      </c>
    </row>
    <row r="1155" spans="1:13" x14ac:dyDescent="0.25">
      <c r="A1155" s="1" t="s">
        <v>2669</v>
      </c>
      <c r="B1155" s="1" t="s">
        <v>107</v>
      </c>
      <c r="C1155" s="1" t="s">
        <v>7</v>
      </c>
      <c r="D1155" s="1" t="s">
        <v>1415</v>
      </c>
      <c r="E1155" s="1" t="s">
        <v>2580</v>
      </c>
      <c r="F1155" s="1" t="s">
        <v>2670</v>
      </c>
      <c r="G1155" s="1" t="s">
        <v>76</v>
      </c>
      <c r="H1155" s="1" t="s">
        <v>130</v>
      </c>
      <c r="I1155" s="1" t="s">
        <v>28</v>
      </c>
      <c r="J1155" s="1" t="s">
        <v>34</v>
      </c>
      <c r="K1155" s="1" t="s">
        <v>2681</v>
      </c>
      <c r="L1155" s="1" t="s">
        <v>1642</v>
      </c>
      <c r="M1155" s="41">
        <v>46248</v>
      </c>
    </row>
    <row r="1156" spans="1:13" x14ac:dyDescent="0.25">
      <c r="A1156" s="1" t="s">
        <v>2682</v>
      </c>
      <c r="B1156" s="1" t="s">
        <v>138</v>
      </c>
      <c r="C1156" s="1" t="s">
        <v>7</v>
      </c>
      <c r="D1156" s="1" t="s">
        <v>1415</v>
      </c>
      <c r="E1156" s="1" t="s">
        <v>2580</v>
      </c>
      <c r="F1156" s="1" t="s">
        <v>2683</v>
      </c>
      <c r="G1156" s="1" t="s">
        <v>112</v>
      </c>
      <c r="H1156" s="1" t="s">
        <v>130</v>
      </c>
      <c r="I1156" s="1" t="s">
        <v>53</v>
      </c>
      <c r="J1156" s="1" t="s">
        <v>34</v>
      </c>
      <c r="K1156" s="1" t="s">
        <v>2684</v>
      </c>
      <c r="L1156" s="1" t="s">
        <v>2377</v>
      </c>
      <c r="M1156" s="41">
        <v>46289</v>
      </c>
    </row>
    <row r="1157" spans="1:13" x14ac:dyDescent="0.25">
      <c r="A1157" s="1" t="s">
        <v>2682</v>
      </c>
      <c r="B1157" s="1" t="s">
        <v>138</v>
      </c>
      <c r="C1157" s="1" t="s">
        <v>7</v>
      </c>
      <c r="D1157" s="1" t="s">
        <v>1415</v>
      </c>
      <c r="E1157" s="1" t="s">
        <v>2580</v>
      </c>
      <c r="F1157" s="1" t="s">
        <v>2683</v>
      </c>
      <c r="G1157" s="1" t="s">
        <v>112</v>
      </c>
      <c r="H1157" s="1" t="s">
        <v>130</v>
      </c>
      <c r="I1157" s="1" t="s">
        <v>54</v>
      </c>
      <c r="J1157" s="1" t="s">
        <v>34</v>
      </c>
      <c r="K1157" s="1" t="s">
        <v>2685</v>
      </c>
      <c r="L1157" s="1" t="s">
        <v>2377</v>
      </c>
      <c r="M1157" s="41">
        <v>46237</v>
      </c>
    </row>
    <row r="1158" spans="1:13" x14ac:dyDescent="0.25">
      <c r="A1158" s="1" t="s">
        <v>2682</v>
      </c>
      <c r="B1158" s="1" t="s">
        <v>138</v>
      </c>
      <c r="C1158" s="1" t="s">
        <v>7</v>
      </c>
      <c r="D1158" s="1" t="s">
        <v>1415</v>
      </c>
      <c r="E1158" s="1" t="s">
        <v>2580</v>
      </c>
      <c r="F1158" s="1" t="s">
        <v>2683</v>
      </c>
      <c r="G1158" s="1" t="s">
        <v>112</v>
      </c>
      <c r="H1158" s="1" t="s">
        <v>130</v>
      </c>
      <c r="I1158" s="1" t="s">
        <v>55</v>
      </c>
      <c r="J1158" s="1" t="s">
        <v>34</v>
      </c>
      <c r="K1158" s="1" t="s">
        <v>2686</v>
      </c>
      <c r="L1158" s="1" t="s">
        <v>2377</v>
      </c>
      <c r="M1158" s="41">
        <v>46237</v>
      </c>
    </row>
    <row r="1159" spans="1:13" x14ac:dyDescent="0.25">
      <c r="A1159" s="1" t="s">
        <v>2682</v>
      </c>
      <c r="B1159" s="1" t="s">
        <v>138</v>
      </c>
      <c r="C1159" s="1" t="s">
        <v>7</v>
      </c>
      <c r="D1159" s="1" t="s">
        <v>1415</v>
      </c>
      <c r="E1159" s="1" t="s">
        <v>2580</v>
      </c>
      <c r="F1159" s="1" t="s">
        <v>2683</v>
      </c>
      <c r="G1159" s="1" t="s">
        <v>112</v>
      </c>
      <c r="H1159" s="1" t="s">
        <v>130</v>
      </c>
      <c r="I1159" s="1" t="s">
        <v>20</v>
      </c>
      <c r="J1159" s="1" t="s">
        <v>34</v>
      </c>
      <c r="K1159" s="1" t="s">
        <v>2687</v>
      </c>
      <c r="L1159" s="1" t="s">
        <v>2377</v>
      </c>
      <c r="M1159" s="41">
        <v>46237</v>
      </c>
    </row>
    <row r="1160" spans="1:13" x14ac:dyDescent="0.25">
      <c r="A1160" s="1" t="s">
        <v>2682</v>
      </c>
      <c r="B1160" s="1" t="s">
        <v>138</v>
      </c>
      <c r="C1160" s="1" t="s">
        <v>7</v>
      </c>
      <c r="D1160" s="1" t="s">
        <v>1415</v>
      </c>
      <c r="E1160" s="1" t="s">
        <v>2580</v>
      </c>
      <c r="F1160" s="1" t="s">
        <v>2683</v>
      </c>
      <c r="G1160" s="1" t="s">
        <v>112</v>
      </c>
      <c r="H1160" s="1" t="s">
        <v>130</v>
      </c>
      <c r="I1160" s="1" t="s">
        <v>21</v>
      </c>
      <c r="J1160" s="1" t="s">
        <v>34</v>
      </c>
      <c r="K1160" s="1" t="s">
        <v>2688</v>
      </c>
      <c r="L1160" s="1" t="s">
        <v>2377</v>
      </c>
      <c r="M1160" s="41">
        <v>46237</v>
      </c>
    </row>
    <row r="1161" spans="1:13" x14ac:dyDescent="0.25">
      <c r="A1161" s="1" t="s">
        <v>2682</v>
      </c>
      <c r="B1161" s="1" t="s">
        <v>138</v>
      </c>
      <c r="C1161" s="1" t="s">
        <v>7</v>
      </c>
      <c r="D1161" s="1" t="s">
        <v>1415</v>
      </c>
      <c r="E1161" s="1" t="s">
        <v>2580</v>
      </c>
      <c r="F1161" s="1" t="s">
        <v>2683</v>
      </c>
      <c r="G1161" s="1" t="s">
        <v>112</v>
      </c>
      <c r="H1161" s="1" t="s">
        <v>130</v>
      </c>
      <c r="I1161" s="1" t="s">
        <v>22</v>
      </c>
      <c r="J1161" s="1" t="s">
        <v>34</v>
      </c>
      <c r="K1161" s="1" t="s">
        <v>2689</v>
      </c>
      <c r="L1161" s="1" t="s">
        <v>2377</v>
      </c>
      <c r="M1161" s="41">
        <v>46237</v>
      </c>
    </row>
    <row r="1162" spans="1:13" x14ac:dyDescent="0.25">
      <c r="A1162" s="1" t="s">
        <v>2682</v>
      </c>
      <c r="B1162" s="1" t="s">
        <v>138</v>
      </c>
      <c r="C1162" s="1" t="s">
        <v>7</v>
      </c>
      <c r="D1162" s="1" t="s">
        <v>1415</v>
      </c>
      <c r="E1162" s="1" t="s">
        <v>2580</v>
      </c>
      <c r="F1162" s="1" t="s">
        <v>2683</v>
      </c>
      <c r="G1162" s="1" t="s">
        <v>112</v>
      </c>
      <c r="H1162" s="1" t="s">
        <v>130</v>
      </c>
      <c r="I1162" s="1" t="s">
        <v>23</v>
      </c>
      <c r="J1162" s="1" t="s">
        <v>34</v>
      </c>
      <c r="K1162" s="1" t="s">
        <v>2690</v>
      </c>
      <c r="L1162" s="1" t="s">
        <v>2377</v>
      </c>
      <c r="M1162" s="41">
        <v>46237</v>
      </c>
    </row>
    <row r="1163" spans="1:13" x14ac:dyDescent="0.25">
      <c r="A1163" s="1" t="s">
        <v>2682</v>
      </c>
      <c r="B1163" s="1" t="s">
        <v>138</v>
      </c>
      <c r="C1163" s="1" t="s">
        <v>7</v>
      </c>
      <c r="D1163" s="1" t="s">
        <v>1415</v>
      </c>
      <c r="E1163" s="1" t="s">
        <v>2580</v>
      </c>
      <c r="F1163" s="1" t="s">
        <v>2683</v>
      </c>
      <c r="G1163" s="1" t="s">
        <v>112</v>
      </c>
      <c r="H1163" s="1" t="s">
        <v>130</v>
      </c>
      <c r="I1163" s="1" t="s">
        <v>24</v>
      </c>
      <c r="J1163" s="1" t="s">
        <v>34</v>
      </c>
      <c r="K1163" s="1" t="s">
        <v>2691</v>
      </c>
      <c r="L1163" s="1" t="s">
        <v>2377</v>
      </c>
      <c r="M1163" s="41">
        <v>46237</v>
      </c>
    </row>
    <row r="1164" spans="1:13" x14ac:dyDescent="0.25">
      <c r="A1164" s="1" t="s">
        <v>2682</v>
      </c>
      <c r="B1164" s="1" t="s">
        <v>138</v>
      </c>
      <c r="C1164" s="1" t="s">
        <v>7</v>
      </c>
      <c r="D1164" s="1" t="s">
        <v>1415</v>
      </c>
      <c r="E1164" s="1" t="s">
        <v>2580</v>
      </c>
      <c r="F1164" s="1" t="s">
        <v>2683</v>
      </c>
      <c r="G1164" s="1" t="s">
        <v>112</v>
      </c>
      <c r="H1164" s="1" t="s">
        <v>130</v>
      </c>
      <c r="I1164" s="1" t="s">
        <v>25</v>
      </c>
      <c r="J1164" s="1" t="s">
        <v>34</v>
      </c>
      <c r="K1164" s="1" t="s">
        <v>2692</v>
      </c>
      <c r="L1164" s="1" t="s">
        <v>2377</v>
      </c>
      <c r="M1164" s="41">
        <v>46237</v>
      </c>
    </row>
    <row r="1165" spans="1:13" x14ac:dyDescent="0.25">
      <c r="A1165" s="1" t="s">
        <v>2682</v>
      </c>
      <c r="B1165" s="1" t="s">
        <v>138</v>
      </c>
      <c r="C1165" s="1" t="s">
        <v>7</v>
      </c>
      <c r="D1165" s="1" t="s">
        <v>1415</v>
      </c>
      <c r="E1165" s="1" t="s">
        <v>2580</v>
      </c>
      <c r="F1165" s="1" t="s">
        <v>2683</v>
      </c>
      <c r="G1165" s="1" t="s">
        <v>112</v>
      </c>
      <c r="H1165" s="1" t="s">
        <v>130</v>
      </c>
      <c r="I1165" s="1" t="s">
        <v>26</v>
      </c>
      <c r="J1165" s="1" t="s">
        <v>34</v>
      </c>
      <c r="K1165" s="1" t="s">
        <v>2693</v>
      </c>
      <c r="L1165" s="1" t="s">
        <v>2377</v>
      </c>
      <c r="M1165" s="41">
        <v>46237</v>
      </c>
    </row>
    <row r="1166" spans="1:13" x14ac:dyDescent="0.25">
      <c r="A1166" s="1" t="s">
        <v>2682</v>
      </c>
      <c r="B1166" s="1" t="s">
        <v>138</v>
      </c>
      <c r="C1166" s="1" t="s">
        <v>7</v>
      </c>
      <c r="D1166" s="1" t="s">
        <v>1415</v>
      </c>
      <c r="E1166" s="1" t="s">
        <v>2580</v>
      </c>
      <c r="F1166" s="1" t="s">
        <v>2683</v>
      </c>
      <c r="G1166" s="1" t="s">
        <v>112</v>
      </c>
      <c r="H1166" s="1" t="s">
        <v>130</v>
      </c>
      <c r="I1166" s="1" t="s">
        <v>28</v>
      </c>
      <c r="J1166" s="1" t="s">
        <v>34</v>
      </c>
      <c r="K1166" s="1" t="s">
        <v>2694</v>
      </c>
      <c r="L1166" s="1" t="s">
        <v>2377</v>
      </c>
      <c r="M1166" s="41">
        <v>46237</v>
      </c>
    </row>
    <row r="1167" spans="1:13" x14ac:dyDescent="0.25">
      <c r="A1167" s="1" t="s">
        <v>2695</v>
      </c>
      <c r="B1167" s="1" t="s">
        <v>142</v>
      </c>
      <c r="C1167" s="1" t="s">
        <v>7</v>
      </c>
      <c r="D1167" s="1" t="s">
        <v>2696</v>
      </c>
      <c r="E1167" s="1" t="s">
        <v>2580</v>
      </c>
      <c r="F1167" s="1" t="s">
        <v>2697</v>
      </c>
      <c r="G1167" s="1" t="s">
        <v>46</v>
      </c>
      <c r="H1167" s="1" t="s">
        <v>130</v>
      </c>
      <c r="I1167" s="1" t="s">
        <v>140</v>
      </c>
      <c r="J1167" s="1" t="s">
        <v>141</v>
      </c>
      <c r="K1167" s="1" t="s">
        <v>2698</v>
      </c>
      <c r="L1167" s="1" t="s">
        <v>2699</v>
      </c>
      <c r="M1167" s="41" t="s">
        <v>9</v>
      </c>
    </row>
    <row r="1168" spans="1:13" x14ac:dyDescent="0.25">
      <c r="A1168" s="1" t="s">
        <v>2695</v>
      </c>
      <c r="B1168" s="1" t="s">
        <v>142</v>
      </c>
      <c r="C1168" s="1" t="s">
        <v>7</v>
      </c>
      <c r="D1168" s="1" t="s">
        <v>2696</v>
      </c>
      <c r="E1168" s="1" t="s">
        <v>2580</v>
      </c>
      <c r="F1168" s="1" t="s">
        <v>2697</v>
      </c>
      <c r="G1168" s="1" t="s">
        <v>46</v>
      </c>
      <c r="H1168" s="1" t="s">
        <v>130</v>
      </c>
      <c r="I1168" s="1" t="s">
        <v>50</v>
      </c>
      <c r="J1168" s="1" t="s">
        <v>141</v>
      </c>
      <c r="K1168" s="1" t="s">
        <v>2700</v>
      </c>
      <c r="L1168" s="1" t="s">
        <v>2699</v>
      </c>
      <c r="M1168" s="41" t="s">
        <v>9</v>
      </c>
    </row>
    <row r="1169" spans="1:13" x14ac:dyDescent="0.25">
      <c r="A1169" s="1" t="s">
        <v>2695</v>
      </c>
      <c r="B1169" s="1" t="s">
        <v>142</v>
      </c>
      <c r="C1169" s="1" t="s">
        <v>7</v>
      </c>
      <c r="D1169" s="1" t="s">
        <v>2696</v>
      </c>
      <c r="E1169" s="1" t="s">
        <v>2580</v>
      </c>
      <c r="F1169" s="1" t="s">
        <v>2697</v>
      </c>
      <c r="G1169" s="1" t="s">
        <v>46</v>
      </c>
      <c r="H1169" s="1" t="s">
        <v>130</v>
      </c>
      <c r="I1169" s="1" t="s">
        <v>54</v>
      </c>
      <c r="J1169" s="1" t="s">
        <v>141</v>
      </c>
      <c r="K1169" s="1" t="s">
        <v>2701</v>
      </c>
      <c r="L1169" s="1" t="s">
        <v>2699</v>
      </c>
      <c r="M1169" s="41" t="s">
        <v>9</v>
      </c>
    </row>
    <row r="1170" spans="1:13" x14ac:dyDescent="0.25">
      <c r="A1170" s="1" t="s">
        <v>2695</v>
      </c>
      <c r="B1170" s="1" t="s">
        <v>142</v>
      </c>
      <c r="C1170" s="1" t="s">
        <v>7</v>
      </c>
      <c r="D1170" s="1" t="s">
        <v>2696</v>
      </c>
      <c r="E1170" s="1" t="s">
        <v>2580</v>
      </c>
      <c r="F1170" s="1" t="s">
        <v>2697</v>
      </c>
      <c r="G1170" s="1" t="s">
        <v>46</v>
      </c>
      <c r="H1170" s="1" t="s">
        <v>130</v>
      </c>
      <c r="I1170" s="1" t="s">
        <v>22</v>
      </c>
      <c r="J1170" s="1" t="s">
        <v>141</v>
      </c>
      <c r="K1170" s="1" t="s">
        <v>2702</v>
      </c>
      <c r="L1170" s="1" t="s">
        <v>2699</v>
      </c>
      <c r="M1170" s="41" t="s">
        <v>9</v>
      </c>
    </row>
    <row r="1171" spans="1:13" x14ac:dyDescent="0.25">
      <c r="A1171" s="1" t="s">
        <v>2695</v>
      </c>
      <c r="B1171" s="1" t="s">
        <v>142</v>
      </c>
      <c r="C1171" s="1" t="s">
        <v>7</v>
      </c>
      <c r="D1171" s="1" t="s">
        <v>2696</v>
      </c>
      <c r="E1171" s="1" t="s">
        <v>2580</v>
      </c>
      <c r="F1171" s="1" t="s">
        <v>2697</v>
      </c>
      <c r="G1171" s="1" t="s">
        <v>46</v>
      </c>
      <c r="H1171" s="1" t="s">
        <v>130</v>
      </c>
      <c r="I1171" s="1" t="s">
        <v>26</v>
      </c>
      <c r="J1171" s="1" t="s">
        <v>141</v>
      </c>
      <c r="K1171" s="1" t="s">
        <v>2703</v>
      </c>
      <c r="L1171" s="1" t="s">
        <v>2699</v>
      </c>
      <c r="M1171" s="41" t="s">
        <v>9</v>
      </c>
    </row>
    <row r="1172" spans="1:13" x14ac:dyDescent="0.25">
      <c r="A1172" s="1" t="s">
        <v>2695</v>
      </c>
      <c r="B1172" s="1" t="s">
        <v>142</v>
      </c>
      <c r="C1172" s="1" t="s">
        <v>7</v>
      </c>
      <c r="D1172" s="1" t="s">
        <v>2696</v>
      </c>
      <c r="E1172" s="1" t="s">
        <v>2580</v>
      </c>
      <c r="F1172" s="1" t="s">
        <v>2697</v>
      </c>
      <c r="G1172" s="1" t="s">
        <v>46</v>
      </c>
      <c r="H1172" s="1" t="s">
        <v>130</v>
      </c>
      <c r="I1172" s="1" t="s">
        <v>29</v>
      </c>
      <c r="J1172" s="1" t="s">
        <v>141</v>
      </c>
      <c r="K1172" s="1" t="s">
        <v>2704</v>
      </c>
      <c r="L1172" s="1" t="s">
        <v>2699</v>
      </c>
      <c r="M1172" s="41" t="s">
        <v>9</v>
      </c>
    </row>
    <row r="1173" spans="1:13" x14ac:dyDescent="0.25">
      <c r="A1173" s="1" t="s">
        <v>2695</v>
      </c>
      <c r="B1173" s="1" t="s">
        <v>142</v>
      </c>
      <c r="C1173" s="1" t="s">
        <v>7</v>
      </c>
      <c r="D1173" s="1" t="s">
        <v>2696</v>
      </c>
      <c r="E1173" s="1" t="s">
        <v>2580</v>
      </c>
      <c r="F1173" s="1" t="s">
        <v>2697</v>
      </c>
      <c r="G1173" s="1" t="s">
        <v>46</v>
      </c>
      <c r="H1173" s="1" t="s">
        <v>130</v>
      </c>
      <c r="I1173" s="1" t="s">
        <v>31</v>
      </c>
      <c r="J1173" s="1" t="s">
        <v>141</v>
      </c>
      <c r="K1173" s="1" t="s">
        <v>2705</v>
      </c>
      <c r="L1173" s="1" t="s">
        <v>2699</v>
      </c>
      <c r="M1173" s="41" t="s">
        <v>9</v>
      </c>
    </row>
    <row r="1174" spans="1:13" x14ac:dyDescent="0.25">
      <c r="A1174" s="1" t="s">
        <v>2695</v>
      </c>
      <c r="B1174" s="1" t="s">
        <v>142</v>
      </c>
      <c r="C1174" s="1" t="s">
        <v>7</v>
      </c>
      <c r="D1174" s="1" t="s">
        <v>2696</v>
      </c>
      <c r="E1174" s="1" t="s">
        <v>2580</v>
      </c>
      <c r="F1174" s="1" t="s">
        <v>2697</v>
      </c>
      <c r="G1174" s="1" t="s">
        <v>46</v>
      </c>
      <c r="H1174" s="1" t="s">
        <v>130</v>
      </c>
      <c r="I1174" s="1" t="s">
        <v>127</v>
      </c>
      <c r="J1174" s="1" t="s">
        <v>141</v>
      </c>
      <c r="K1174" s="1" t="s">
        <v>2706</v>
      </c>
      <c r="L1174" s="1" t="s">
        <v>2699</v>
      </c>
      <c r="M1174" s="41" t="s">
        <v>9</v>
      </c>
    </row>
    <row r="1175" spans="1:13" x14ac:dyDescent="0.25">
      <c r="A1175" s="1" t="s">
        <v>2707</v>
      </c>
      <c r="B1175" s="1" t="s">
        <v>164</v>
      </c>
      <c r="C1175" s="1" t="s">
        <v>7</v>
      </c>
      <c r="D1175" s="1" t="s">
        <v>2696</v>
      </c>
      <c r="E1175" s="1" t="s">
        <v>1416</v>
      </c>
      <c r="F1175" s="1" t="s">
        <v>2708</v>
      </c>
      <c r="G1175" s="1" t="s">
        <v>163</v>
      </c>
      <c r="H1175" s="1" t="s">
        <v>36</v>
      </c>
      <c r="I1175" s="1" t="s">
        <v>144</v>
      </c>
      <c r="J1175" s="1" t="s">
        <v>145</v>
      </c>
      <c r="K1175" s="1" t="s">
        <v>2709</v>
      </c>
      <c r="L1175" s="1" t="s">
        <v>2710</v>
      </c>
      <c r="M1175" s="41">
        <v>46317</v>
      </c>
    </row>
    <row r="1176" spans="1:13" x14ac:dyDescent="0.25">
      <c r="A1176" s="1" t="s">
        <v>2707</v>
      </c>
      <c r="B1176" s="1" t="s">
        <v>164</v>
      </c>
      <c r="C1176" s="1" t="s">
        <v>7</v>
      </c>
      <c r="D1176" s="1" t="s">
        <v>2696</v>
      </c>
      <c r="E1176" s="1" t="s">
        <v>1416</v>
      </c>
      <c r="F1176" s="1" t="s">
        <v>2708</v>
      </c>
      <c r="G1176" s="1" t="s">
        <v>163</v>
      </c>
      <c r="H1176" s="1" t="s">
        <v>36</v>
      </c>
      <c r="I1176" s="1" t="s">
        <v>145</v>
      </c>
      <c r="J1176" s="1" t="s">
        <v>145</v>
      </c>
      <c r="K1176" s="1" t="s">
        <v>2711</v>
      </c>
      <c r="L1176" s="1" t="s">
        <v>2710</v>
      </c>
      <c r="M1176" s="41">
        <v>46317</v>
      </c>
    </row>
    <row r="1177" spans="1:13" x14ac:dyDescent="0.25">
      <c r="A1177" s="1" t="s">
        <v>2707</v>
      </c>
      <c r="B1177" s="1" t="s">
        <v>164</v>
      </c>
      <c r="C1177" s="1" t="s">
        <v>7</v>
      </c>
      <c r="D1177" s="1" t="s">
        <v>2696</v>
      </c>
      <c r="E1177" s="1" t="s">
        <v>1416</v>
      </c>
      <c r="F1177" s="1" t="s">
        <v>2708</v>
      </c>
      <c r="G1177" s="1" t="s">
        <v>163</v>
      </c>
      <c r="H1177" s="1" t="s">
        <v>36</v>
      </c>
      <c r="I1177" s="1" t="s">
        <v>146</v>
      </c>
      <c r="J1177" s="1" t="s">
        <v>145</v>
      </c>
      <c r="K1177" s="1" t="s">
        <v>2712</v>
      </c>
      <c r="L1177" s="1" t="s">
        <v>2710</v>
      </c>
      <c r="M1177" s="41">
        <v>46317</v>
      </c>
    </row>
    <row r="1178" spans="1:13" x14ac:dyDescent="0.25">
      <c r="A1178" s="1" t="s">
        <v>2707</v>
      </c>
      <c r="B1178" s="1" t="s">
        <v>164</v>
      </c>
      <c r="C1178" s="1" t="s">
        <v>7</v>
      </c>
      <c r="D1178" s="1" t="s">
        <v>2696</v>
      </c>
      <c r="E1178" s="1" t="s">
        <v>1416</v>
      </c>
      <c r="F1178" s="1" t="s">
        <v>2708</v>
      </c>
      <c r="G1178" s="1" t="s">
        <v>163</v>
      </c>
      <c r="H1178" s="1" t="s">
        <v>36</v>
      </c>
      <c r="I1178" s="1" t="s">
        <v>147</v>
      </c>
      <c r="J1178" s="1" t="s">
        <v>145</v>
      </c>
      <c r="K1178" s="1" t="s">
        <v>2713</v>
      </c>
      <c r="L1178" s="1" t="s">
        <v>2710</v>
      </c>
      <c r="M1178" s="41">
        <v>46088</v>
      </c>
    </row>
    <row r="1179" spans="1:13" x14ac:dyDescent="0.25">
      <c r="A1179" s="1" t="s">
        <v>2707</v>
      </c>
      <c r="B1179" s="1" t="s">
        <v>164</v>
      </c>
      <c r="C1179" s="1" t="s">
        <v>7</v>
      </c>
      <c r="D1179" s="1" t="s">
        <v>2696</v>
      </c>
      <c r="E1179" s="1" t="s">
        <v>1416</v>
      </c>
      <c r="F1179" s="1" t="s">
        <v>2708</v>
      </c>
      <c r="G1179" s="1" t="s">
        <v>163</v>
      </c>
      <c r="H1179" s="1" t="s">
        <v>36</v>
      </c>
      <c r="I1179" s="1" t="s">
        <v>148</v>
      </c>
      <c r="J1179" s="1" t="s">
        <v>145</v>
      </c>
      <c r="K1179" s="1" t="s">
        <v>2714</v>
      </c>
      <c r="L1179" s="1" t="s">
        <v>2710</v>
      </c>
      <c r="M1179" s="41">
        <v>46317</v>
      </c>
    </row>
    <row r="1180" spans="1:13" x14ac:dyDescent="0.25">
      <c r="A1180" s="1" t="s">
        <v>2707</v>
      </c>
      <c r="B1180" s="1" t="s">
        <v>164</v>
      </c>
      <c r="C1180" s="1" t="s">
        <v>7</v>
      </c>
      <c r="D1180" s="1" t="s">
        <v>2696</v>
      </c>
      <c r="E1180" s="1" t="s">
        <v>1416</v>
      </c>
      <c r="F1180" s="1" t="s">
        <v>2708</v>
      </c>
      <c r="G1180" s="1" t="s">
        <v>163</v>
      </c>
      <c r="H1180" s="1" t="s">
        <v>36</v>
      </c>
      <c r="I1180" s="1" t="s">
        <v>149</v>
      </c>
      <c r="J1180" s="1" t="s">
        <v>145</v>
      </c>
      <c r="K1180" s="1" t="s">
        <v>2715</v>
      </c>
      <c r="L1180" s="1" t="s">
        <v>2710</v>
      </c>
      <c r="M1180" s="41">
        <v>46317</v>
      </c>
    </row>
    <row r="1181" spans="1:13" x14ac:dyDescent="0.25">
      <c r="A1181" s="1" t="s">
        <v>2707</v>
      </c>
      <c r="B1181" s="1" t="s">
        <v>164</v>
      </c>
      <c r="C1181" s="1" t="s">
        <v>7</v>
      </c>
      <c r="D1181" s="1" t="s">
        <v>2696</v>
      </c>
      <c r="E1181" s="1" t="s">
        <v>1416</v>
      </c>
      <c r="F1181" s="1" t="s">
        <v>2708</v>
      </c>
      <c r="G1181" s="1" t="s">
        <v>163</v>
      </c>
      <c r="H1181" s="1" t="s">
        <v>36</v>
      </c>
      <c r="I1181" s="1" t="s">
        <v>150</v>
      </c>
      <c r="J1181" s="1" t="s">
        <v>145</v>
      </c>
      <c r="K1181" s="1" t="s">
        <v>2716</v>
      </c>
      <c r="L1181" s="1" t="s">
        <v>2710</v>
      </c>
      <c r="M1181" s="41">
        <v>46317</v>
      </c>
    </row>
    <row r="1182" spans="1:13" x14ac:dyDescent="0.25">
      <c r="A1182" s="1" t="s">
        <v>2707</v>
      </c>
      <c r="B1182" s="1" t="s">
        <v>164</v>
      </c>
      <c r="C1182" s="1" t="s">
        <v>7</v>
      </c>
      <c r="D1182" s="1" t="s">
        <v>2696</v>
      </c>
      <c r="E1182" s="1" t="s">
        <v>1416</v>
      </c>
      <c r="F1182" s="1" t="s">
        <v>2708</v>
      </c>
      <c r="G1182" s="1" t="s">
        <v>163</v>
      </c>
      <c r="H1182" s="1" t="s">
        <v>36</v>
      </c>
      <c r="I1182" s="1" t="s">
        <v>151</v>
      </c>
      <c r="J1182" s="1" t="s">
        <v>145</v>
      </c>
      <c r="K1182" s="1" t="s">
        <v>2717</v>
      </c>
      <c r="L1182" s="1" t="s">
        <v>2710</v>
      </c>
      <c r="M1182" s="41">
        <v>46317</v>
      </c>
    </row>
    <row r="1183" spans="1:13" x14ac:dyDescent="0.25">
      <c r="A1183" s="1" t="s">
        <v>2707</v>
      </c>
      <c r="B1183" s="1" t="s">
        <v>164</v>
      </c>
      <c r="C1183" s="1" t="s">
        <v>7</v>
      </c>
      <c r="D1183" s="1" t="s">
        <v>2696</v>
      </c>
      <c r="E1183" s="1" t="s">
        <v>1416</v>
      </c>
      <c r="F1183" s="1" t="s">
        <v>2708</v>
      </c>
      <c r="G1183" s="1" t="s">
        <v>163</v>
      </c>
      <c r="H1183" s="1" t="s">
        <v>36</v>
      </c>
      <c r="I1183" s="1" t="s">
        <v>152</v>
      </c>
      <c r="J1183" s="1" t="s">
        <v>145</v>
      </c>
      <c r="K1183" s="1" t="s">
        <v>2718</v>
      </c>
      <c r="L1183" s="1" t="s">
        <v>2710</v>
      </c>
      <c r="M1183" s="41">
        <v>46317</v>
      </c>
    </row>
    <row r="1184" spans="1:13" x14ac:dyDescent="0.25">
      <c r="A1184" s="1" t="s">
        <v>2707</v>
      </c>
      <c r="B1184" s="1" t="s">
        <v>164</v>
      </c>
      <c r="C1184" s="1" t="s">
        <v>7</v>
      </c>
      <c r="D1184" s="1" t="s">
        <v>2696</v>
      </c>
      <c r="E1184" s="1" t="s">
        <v>1416</v>
      </c>
      <c r="F1184" s="1" t="s">
        <v>2708</v>
      </c>
      <c r="G1184" s="1" t="s">
        <v>163</v>
      </c>
      <c r="H1184" s="1" t="s">
        <v>36</v>
      </c>
      <c r="I1184" s="1" t="s">
        <v>153</v>
      </c>
      <c r="J1184" s="1" t="s">
        <v>145</v>
      </c>
      <c r="K1184" s="1" t="s">
        <v>2719</v>
      </c>
      <c r="L1184" s="1" t="s">
        <v>2710</v>
      </c>
      <c r="M1184" s="41">
        <v>46317</v>
      </c>
    </row>
    <row r="1185" spans="1:13" x14ac:dyDescent="0.25">
      <c r="A1185" s="1" t="s">
        <v>2707</v>
      </c>
      <c r="B1185" s="1" t="s">
        <v>164</v>
      </c>
      <c r="C1185" s="1" t="s">
        <v>7</v>
      </c>
      <c r="D1185" s="1" t="s">
        <v>2696</v>
      </c>
      <c r="E1185" s="1" t="s">
        <v>1416</v>
      </c>
      <c r="F1185" s="1" t="s">
        <v>2708</v>
      </c>
      <c r="G1185" s="1" t="s">
        <v>163</v>
      </c>
      <c r="H1185" s="1" t="s">
        <v>36</v>
      </c>
      <c r="I1185" s="1" t="s">
        <v>154</v>
      </c>
      <c r="J1185" s="1" t="s">
        <v>145</v>
      </c>
      <c r="K1185" s="1" t="s">
        <v>2720</v>
      </c>
      <c r="L1185" s="1" t="s">
        <v>2710</v>
      </c>
      <c r="M1185" s="41">
        <v>46317</v>
      </c>
    </row>
    <row r="1186" spans="1:13" x14ac:dyDescent="0.25">
      <c r="A1186" s="1" t="s">
        <v>2707</v>
      </c>
      <c r="B1186" s="1" t="s">
        <v>164</v>
      </c>
      <c r="C1186" s="1" t="s">
        <v>7</v>
      </c>
      <c r="D1186" s="1" t="s">
        <v>2696</v>
      </c>
      <c r="E1186" s="1" t="s">
        <v>1416</v>
      </c>
      <c r="F1186" s="1" t="s">
        <v>2708</v>
      </c>
      <c r="G1186" s="1" t="s">
        <v>163</v>
      </c>
      <c r="H1186" s="1" t="s">
        <v>36</v>
      </c>
      <c r="I1186" s="1" t="s">
        <v>155</v>
      </c>
      <c r="J1186" s="1" t="s">
        <v>145</v>
      </c>
      <c r="K1186" s="1" t="s">
        <v>2721</v>
      </c>
      <c r="L1186" s="1" t="s">
        <v>2710</v>
      </c>
      <c r="M1186" s="41">
        <v>46087</v>
      </c>
    </row>
    <row r="1187" spans="1:13" x14ac:dyDescent="0.25">
      <c r="A1187" s="1" t="s">
        <v>2707</v>
      </c>
      <c r="B1187" s="1" t="s">
        <v>164</v>
      </c>
      <c r="C1187" s="1" t="s">
        <v>7</v>
      </c>
      <c r="D1187" s="1" t="s">
        <v>2696</v>
      </c>
      <c r="E1187" s="1" t="s">
        <v>1416</v>
      </c>
      <c r="F1187" s="1" t="s">
        <v>2708</v>
      </c>
      <c r="G1187" s="1" t="s">
        <v>163</v>
      </c>
      <c r="H1187" s="1" t="s">
        <v>36</v>
      </c>
      <c r="I1187" s="1" t="s">
        <v>144</v>
      </c>
      <c r="J1187" s="1" t="s">
        <v>147</v>
      </c>
      <c r="K1187" s="1" t="s">
        <v>2722</v>
      </c>
      <c r="L1187" s="1" t="s">
        <v>2710</v>
      </c>
      <c r="M1187" s="41">
        <v>46317</v>
      </c>
    </row>
    <row r="1188" spans="1:13" x14ac:dyDescent="0.25">
      <c r="A1188" s="1" t="s">
        <v>2707</v>
      </c>
      <c r="B1188" s="1" t="s">
        <v>164</v>
      </c>
      <c r="C1188" s="1" t="s">
        <v>7</v>
      </c>
      <c r="D1188" s="1" t="s">
        <v>2696</v>
      </c>
      <c r="E1188" s="1" t="s">
        <v>1416</v>
      </c>
      <c r="F1188" s="1" t="s">
        <v>2708</v>
      </c>
      <c r="G1188" s="1" t="s">
        <v>163</v>
      </c>
      <c r="H1188" s="1" t="s">
        <v>36</v>
      </c>
      <c r="I1188" s="1" t="s">
        <v>145</v>
      </c>
      <c r="J1188" s="1" t="s">
        <v>147</v>
      </c>
      <c r="K1188" s="1" t="s">
        <v>2723</v>
      </c>
      <c r="L1188" s="1" t="s">
        <v>2710</v>
      </c>
      <c r="M1188" s="41">
        <v>46317</v>
      </c>
    </row>
    <row r="1189" spans="1:13" x14ac:dyDescent="0.25">
      <c r="A1189" s="1" t="s">
        <v>2707</v>
      </c>
      <c r="B1189" s="1" t="s">
        <v>164</v>
      </c>
      <c r="C1189" s="1" t="s">
        <v>7</v>
      </c>
      <c r="D1189" s="1" t="s">
        <v>2696</v>
      </c>
      <c r="E1189" s="1" t="s">
        <v>1416</v>
      </c>
      <c r="F1189" s="1" t="s">
        <v>2708</v>
      </c>
      <c r="G1189" s="1" t="s">
        <v>163</v>
      </c>
      <c r="H1189" s="1" t="s">
        <v>36</v>
      </c>
      <c r="I1189" s="1" t="s">
        <v>146</v>
      </c>
      <c r="J1189" s="1" t="s">
        <v>147</v>
      </c>
      <c r="K1189" s="1" t="s">
        <v>2724</v>
      </c>
      <c r="L1189" s="1" t="s">
        <v>2710</v>
      </c>
      <c r="M1189" s="41">
        <v>46317</v>
      </c>
    </row>
    <row r="1190" spans="1:13" x14ac:dyDescent="0.25">
      <c r="A1190" s="1" t="s">
        <v>2707</v>
      </c>
      <c r="B1190" s="1" t="s">
        <v>164</v>
      </c>
      <c r="C1190" s="1" t="s">
        <v>7</v>
      </c>
      <c r="D1190" s="1" t="s">
        <v>2696</v>
      </c>
      <c r="E1190" s="1" t="s">
        <v>1416</v>
      </c>
      <c r="F1190" s="1" t="s">
        <v>2708</v>
      </c>
      <c r="G1190" s="1" t="s">
        <v>163</v>
      </c>
      <c r="H1190" s="1" t="s">
        <v>36</v>
      </c>
      <c r="I1190" s="1" t="s">
        <v>147</v>
      </c>
      <c r="J1190" s="1" t="s">
        <v>147</v>
      </c>
      <c r="K1190" s="1" t="s">
        <v>2725</v>
      </c>
      <c r="L1190" s="1" t="s">
        <v>2710</v>
      </c>
      <c r="M1190" s="41">
        <v>46317</v>
      </c>
    </row>
    <row r="1191" spans="1:13" x14ac:dyDescent="0.25">
      <c r="A1191" s="1" t="s">
        <v>2707</v>
      </c>
      <c r="B1191" s="1" t="s">
        <v>164</v>
      </c>
      <c r="C1191" s="1" t="s">
        <v>7</v>
      </c>
      <c r="D1191" s="1" t="s">
        <v>2696</v>
      </c>
      <c r="E1191" s="1" t="s">
        <v>1416</v>
      </c>
      <c r="F1191" s="1" t="s">
        <v>2708</v>
      </c>
      <c r="G1191" s="1" t="s">
        <v>163</v>
      </c>
      <c r="H1191" s="1" t="s">
        <v>36</v>
      </c>
      <c r="I1191" s="1" t="s">
        <v>148</v>
      </c>
      <c r="J1191" s="1" t="s">
        <v>147</v>
      </c>
      <c r="K1191" s="1" t="s">
        <v>2726</v>
      </c>
      <c r="L1191" s="1" t="s">
        <v>2710</v>
      </c>
      <c r="M1191" s="41">
        <v>46317</v>
      </c>
    </row>
    <row r="1192" spans="1:13" x14ac:dyDescent="0.25">
      <c r="A1192" s="1" t="s">
        <v>2707</v>
      </c>
      <c r="B1192" s="1" t="s">
        <v>164</v>
      </c>
      <c r="C1192" s="1" t="s">
        <v>7</v>
      </c>
      <c r="D1192" s="1" t="s">
        <v>2696</v>
      </c>
      <c r="E1192" s="1" t="s">
        <v>1416</v>
      </c>
      <c r="F1192" s="1" t="s">
        <v>2708</v>
      </c>
      <c r="G1192" s="1" t="s">
        <v>163</v>
      </c>
      <c r="H1192" s="1" t="s">
        <v>36</v>
      </c>
      <c r="I1192" s="1" t="s">
        <v>149</v>
      </c>
      <c r="J1192" s="1" t="s">
        <v>147</v>
      </c>
      <c r="K1192" s="1" t="s">
        <v>2727</v>
      </c>
      <c r="L1192" s="1" t="s">
        <v>2710</v>
      </c>
      <c r="M1192" s="41">
        <v>46317</v>
      </c>
    </row>
    <row r="1193" spans="1:13" x14ac:dyDescent="0.25">
      <c r="A1193" s="1" t="s">
        <v>2707</v>
      </c>
      <c r="B1193" s="1" t="s">
        <v>164</v>
      </c>
      <c r="C1193" s="1" t="s">
        <v>7</v>
      </c>
      <c r="D1193" s="1" t="s">
        <v>2696</v>
      </c>
      <c r="E1193" s="1" t="s">
        <v>1416</v>
      </c>
      <c r="F1193" s="1" t="s">
        <v>2708</v>
      </c>
      <c r="G1193" s="1" t="s">
        <v>163</v>
      </c>
      <c r="H1193" s="1" t="s">
        <v>36</v>
      </c>
      <c r="I1193" s="1" t="s">
        <v>150</v>
      </c>
      <c r="J1193" s="1" t="s">
        <v>147</v>
      </c>
      <c r="K1193" s="1" t="s">
        <v>2728</v>
      </c>
      <c r="L1193" s="1" t="s">
        <v>2710</v>
      </c>
      <c r="M1193" s="41">
        <v>46317</v>
      </c>
    </row>
    <row r="1194" spans="1:13" x14ac:dyDescent="0.25">
      <c r="A1194" s="1" t="s">
        <v>2707</v>
      </c>
      <c r="B1194" s="1" t="s">
        <v>164</v>
      </c>
      <c r="C1194" s="1" t="s">
        <v>7</v>
      </c>
      <c r="D1194" s="1" t="s">
        <v>2696</v>
      </c>
      <c r="E1194" s="1" t="s">
        <v>1416</v>
      </c>
      <c r="F1194" s="1" t="s">
        <v>2708</v>
      </c>
      <c r="G1194" s="1" t="s">
        <v>163</v>
      </c>
      <c r="H1194" s="1" t="s">
        <v>36</v>
      </c>
      <c r="I1194" s="1" t="s">
        <v>151</v>
      </c>
      <c r="J1194" s="1" t="s">
        <v>147</v>
      </c>
      <c r="K1194" s="1" t="s">
        <v>2729</v>
      </c>
      <c r="L1194" s="1" t="s">
        <v>2710</v>
      </c>
      <c r="M1194" s="41">
        <v>46317</v>
      </c>
    </row>
    <row r="1195" spans="1:13" x14ac:dyDescent="0.25">
      <c r="A1195" s="1" t="s">
        <v>2707</v>
      </c>
      <c r="B1195" s="1" t="s">
        <v>164</v>
      </c>
      <c r="C1195" s="1" t="s">
        <v>7</v>
      </c>
      <c r="D1195" s="1" t="s">
        <v>2696</v>
      </c>
      <c r="E1195" s="1" t="s">
        <v>1416</v>
      </c>
      <c r="F1195" s="1" t="s">
        <v>2708</v>
      </c>
      <c r="G1195" s="1" t="s">
        <v>163</v>
      </c>
      <c r="H1195" s="1" t="s">
        <v>36</v>
      </c>
      <c r="I1195" s="1" t="s">
        <v>152</v>
      </c>
      <c r="J1195" s="1" t="s">
        <v>147</v>
      </c>
      <c r="K1195" s="1" t="s">
        <v>2730</v>
      </c>
      <c r="L1195" s="1" t="s">
        <v>2710</v>
      </c>
      <c r="M1195" s="41">
        <v>46317</v>
      </c>
    </row>
    <row r="1196" spans="1:13" x14ac:dyDescent="0.25">
      <c r="A1196" s="1" t="s">
        <v>2707</v>
      </c>
      <c r="B1196" s="1" t="s">
        <v>164</v>
      </c>
      <c r="C1196" s="1" t="s">
        <v>7</v>
      </c>
      <c r="D1196" s="1" t="s">
        <v>2696</v>
      </c>
      <c r="E1196" s="1" t="s">
        <v>1416</v>
      </c>
      <c r="F1196" s="1" t="s">
        <v>2708</v>
      </c>
      <c r="G1196" s="1" t="s">
        <v>163</v>
      </c>
      <c r="H1196" s="1" t="s">
        <v>36</v>
      </c>
      <c r="I1196" s="1" t="s">
        <v>153</v>
      </c>
      <c r="J1196" s="1" t="s">
        <v>147</v>
      </c>
      <c r="K1196" s="1" t="s">
        <v>2731</v>
      </c>
      <c r="L1196" s="1" t="s">
        <v>2710</v>
      </c>
      <c r="M1196" s="41">
        <v>46317</v>
      </c>
    </row>
    <row r="1197" spans="1:13" x14ac:dyDescent="0.25">
      <c r="A1197" s="1" t="s">
        <v>2707</v>
      </c>
      <c r="B1197" s="1" t="s">
        <v>164</v>
      </c>
      <c r="C1197" s="1" t="s">
        <v>7</v>
      </c>
      <c r="D1197" s="1" t="s">
        <v>2696</v>
      </c>
      <c r="E1197" s="1" t="s">
        <v>1416</v>
      </c>
      <c r="F1197" s="1" t="s">
        <v>2708</v>
      </c>
      <c r="G1197" s="1" t="s">
        <v>163</v>
      </c>
      <c r="H1197" s="1" t="s">
        <v>36</v>
      </c>
      <c r="I1197" s="1" t="s">
        <v>154</v>
      </c>
      <c r="J1197" s="1" t="s">
        <v>147</v>
      </c>
      <c r="K1197" s="1" t="s">
        <v>2732</v>
      </c>
      <c r="L1197" s="1" t="s">
        <v>2710</v>
      </c>
      <c r="M1197" s="41">
        <v>46317</v>
      </c>
    </row>
    <row r="1198" spans="1:13" x14ac:dyDescent="0.25">
      <c r="A1198" s="1" t="s">
        <v>2707</v>
      </c>
      <c r="B1198" s="1" t="s">
        <v>164</v>
      </c>
      <c r="C1198" s="1" t="s">
        <v>7</v>
      </c>
      <c r="D1198" s="1" t="s">
        <v>2696</v>
      </c>
      <c r="E1198" s="1" t="s">
        <v>1416</v>
      </c>
      <c r="F1198" s="1" t="s">
        <v>2708</v>
      </c>
      <c r="G1198" s="1" t="s">
        <v>163</v>
      </c>
      <c r="H1198" s="1" t="s">
        <v>36</v>
      </c>
      <c r="I1198" s="1" t="s">
        <v>155</v>
      </c>
      <c r="J1198" s="1" t="s">
        <v>147</v>
      </c>
      <c r="K1198" s="1" t="s">
        <v>2733</v>
      </c>
      <c r="L1198" s="1" t="s">
        <v>2710</v>
      </c>
      <c r="M1198" s="41">
        <v>46087</v>
      </c>
    </row>
    <row r="1199" spans="1:13" x14ac:dyDescent="0.25">
      <c r="A1199" s="1" t="s">
        <v>2707</v>
      </c>
      <c r="B1199" s="1" t="s">
        <v>164</v>
      </c>
      <c r="C1199" s="1" t="s">
        <v>7</v>
      </c>
      <c r="D1199" s="1" t="s">
        <v>2696</v>
      </c>
      <c r="E1199" s="1" t="s">
        <v>1416</v>
      </c>
      <c r="F1199" s="1" t="s">
        <v>2708</v>
      </c>
      <c r="G1199" s="1" t="s">
        <v>163</v>
      </c>
      <c r="H1199" s="1" t="s">
        <v>36</v>
      </c>
      <c r="I1199" s="1" t="s">
        <v>144</v>
      </c>
      <c r="J1199" s="1" t="s">
        <v>149</v>
      </c>
      <c r="K1199" s="1" t="s">
        <v>2734</v>
      </c>
      <c r="L1199" s="1" t="s">
        <v>2710</v>
      </c>
      <c r="M1199" s="41">
        <v>46317</v>
      </c>
    </row>
    <row r="1200" spans="1:13" x14ac:dyDescent="0.25">
      <c r="A1200" s="1" t="s">
        <v>2707</v>
      </c>
      <c r="B1200" s="1" t="s">
        <v>164</v>
      </c>
      <c r="C1200" s="1" t="s">
        <v>7</v>
      </c>
      <c r="D1200" s="1" t="s">
        <v>2696</v>
      </c>
      <c r="E1200" s="1" t="s">
        <v>1416</v>
      </c>
      <c r="F1200" s="1" t="s">
        <v>2708</v>
      </c>
      <c r="G1200" s="1" t="s">
        <v>163</v>
      </c>
      <c r="H1200" s="1" t="s">
        <v>36</v>
      </c>
      <c r="I1200" s="1" t="s">
        <v>145</v>
      </c>
      <c r="J1200" s="1" t="s">
        <v>149</v>
      </c>
      <c r="K1200" s="1" t="s">
        <v>2735</v>
      </c>
      <c r="L1200" s="1" t="s">
        <v>2710</v>
      </c>
      <c r="M1200" s="41">
        <v>46317</v>
      </c>
    </row>
    <row r="1201" spans="1:13" x14ac:dyDescent="0.25">
      <c r="A1201" s="1" t="s">
        <v>2707</v>
      </c>
      <c r="B1201" s="1" t="s">
        <v>164</v>
      </c>
      <c r="C1201" s="1" t="s">
        <v>7</v>
      </c>
      <c r="D1201" s="1" t="s">
        <v>2696</v>
      </c>
      <c r="E1201" s="1" t="s">
        <v>1416</v>
      </c>
      <c r="F1201" s="1" t="s">
        <v>2708</v>
      </c>
      <c r="G1201" s="1" t="s">
        <v>163</v>
      </c>
      <c r="H1201" s="1" t="s">
        <v>36</v>
      </c>
      <c r="I1201" s="1" t="s">
        <v>146</v>
      </c>
      <c r="J1201" s="1" t="s">
        <v>149</v>
      </c>
      <c r="K1201" s="1" t="s">
        <v>2736</v>
      </c>
      <c r="L1201" s="1" t="s">
        <v>2710</v>
      </c>
      <c r="M1201" s="41">
        <v>46317</v>
      </c>
    </row>
    <row r="1202" spans="1:13" x14ac:dyDescent="0.25">
      <c r="A1202" s="1" t="s">
        <v>2707</v>
      </c>
      <c r="B1202" s="1" t="s">
        <v>164</v>
      </c>
      <c r="C1202" s="1" t="s">
        <v>7</v>
      </c>
      <c r="D1202" s="1" t="s">
        <v>2696</v>
      </c>
      <c r="E1202" s="1" t="s">
        <v>1416</v>
      </c>
      <c r="F1202" s="1" t="s">
        <v>2708</v>
      </c>
      <c r="G1202" s="1" t="s">
        <v>163</v>
      </c>
      <c r="H1202" s="1" t="s">
        <v>36</v>
      </c>
      <c r="I1202" s="1" t="s">
        <v>147</v>
      </c>
      <c r="J1202" s="1" t="s">
        <v>149</v>
      </c>
      <c r="K1202" s="1" t="s">
        <v>2737</v>
      </c>
      <c r="L1202" s="1" t="s">
        <v>2710</v>
      </c>
      <c r="M1202" s="41">
        <v>46317</v>
      </c>
    </row>
    <row r="1203" spans="1:13" x14ac:dyDescent="0.25">
      <c r="A1203" s="1" t="s">
        <v>2707</v>
      </c>
      <c r="B1203" s="1" t="s">
        <v>164</v>
      </c>
      <c r="C1203" s="1" t="s">
        <v>7</v>
      </c>
      <c r="D1203" s="1" t="s">
        <v>2696</v>
      </c>
      <c r="E1203" s="1" t="s">
        <v>1416</v>
      </c>
      <c r="F1203" s="1" t="s">
        <v>2708</v>
      </c>
      <c r="G1203" s="1" t="s">
        <v>163</v>
      </c>
      <c r="H1203" s="1" t="s">
        <v>36</v>
      </c>
      <c r="I1203" s="1" t="s">
        <v>148</v>
      </c>
      <c r="J1203" s="1" t="s">
        <v>149</v>
      </c>
      <c r="K1203" s="1" t="s">
        <v>2738</v>
      </c>
      <c r="L1203" s="1" t="s">
        <v>2710</v>
      </c>
      <c r="M1203" s="41">
        <v>46317</v>
      </c>
    </row>
    <row r="1204" spans="1:13" x14ac:dyDescent="0.25">
      <c r="A1204" s="1" t="s">
        <v>2707</v>
      </c>
      <c r="B1204" s="1" t="s">
        <v>164</v>
      </c>
      <c r="C1204" s="1" t="s">
        <v>7</v>
      </c>
      <c r="D1204" s="1" t="s">
        <v>2696</v>
      </c>
      <c r="E1204" s="1" t="s">
        <v>1416</v>
      </c>
      <c r="F1204" s="1" t="s">
        <v>2708</v>
      </c>
      <c r="G1204" s="1" t="s">
        <v>163</v>
      </c>
      <c r="H1204" s="1" t="s">
        <v>36</v>
      </c>
      <c r="I1204" s="1" t="s">
        <v>149</v>
      </c>
      <c r="J1204" s="1" t="s">
        <v>149</v>
      </c>
      <c r="K1204" s="1" t="s">
        <v>2739</v>
      </c>
      <c r="L1204" s="1" t="s">
        <v>2710</v>
      </c>
      <c r="M1204" s="41">
        <v>46317</v>
      </c>
    </row>
    <row r="1205" spans="1:13" x14ac:dyDescent="0.25">
      <c r="A1205" s="1" t="s">
        <v>2707</v>
      </c>
      <c r="B1205" s="1" t="s">
        <v>164</v>
      </c>
      <c r="C1205" s="1" t="s">
        <v>7</v>
      </c>
      <c r="D1205" s="1" t="s">
        <v>2696</v>
      </c>
      <c r="E1205" s="1" t="s">
        <v>1416</v>
      </c>
      <c r="F1205" s="1" t="s">
        <v>2708</v>
      </c>
      <c r="G1205" s="1" t="s">
        <v>163</v>
      </c>
      <c r="H1205" s="1" t="s">
        <v>36</v>
      </c>
      <c r="I1205" s="1" t="s">
        <v>150</v>
      </c>
      <c r="J1205" s="1" t="s">
        <v>149</v>
      </c>
      <c r="K1205" s="1" t="s">
        <v>2740</v>
      </c>
      <c r="L1205" s="1" t="s">
        <v>2710</v>
      </c>
      <c r="M1205" s="41">
        <v>46317</v>
      </c>
    </row>
    <row r="1206" spans="1:13" x14ac:dyDescent="0.25">
      <c r="A1206" s="1" t="s">
        <v>2707</v>
      </c>
      <c r="B1206" s="1" t="s">
        <v>164</v>
      </c>
      <c r="C1206" s="1" t="s">
        <v>7</v>
      </c>
      <c r="D1206" s="1" t="s">
        <v>2696</v>
      </c>
      <c r="E1206" s="1" t="s">
        <v>1416</v>
      </c>
      <c r="F1206" s="1" t="s">
        <v>2708</v>
      </c>
      <c r="G1206" s="1" t="s">
        <v>163</v>
      </c>
      <c r="H1206" s="1" t="s">
        <v>36</v>
      </c>
      <c r="I1206" s="1" t="s">
        <v>151</v>
      </c>
      <c r="J1206" s="1" t="s">
        <v>149</v>
      </c>
      <c r="K1206" s="1" t="s">
        <v>2741</v>
      </c>
      <c r="L1206" s="1" t="s">
        <v>2710</v>
      </c>
      <c r="M1206" s="41">
        <v>46317</v>
      </c>
    </row>
    <row r="1207" spans="1:13" x14ac:dyDescent="0.25">
      <c r="A1207" s="1" t="s">
        <v>2707</v>
      </c>
      <c r="B1207" s="1" t="s">
        <v>164</v>
      </c>
      <c r="C1207" s="1" t="s">
        <v>7</v>
      </c>
      <c r="D1207" s="1" t="s">
        <v>2696</v>
      </c>
      <c r="E1207" s="1" t="s">
        <v>1416</v>
      </c>
      <c r="F1207" s="1" t="s">
        <v>2708</v>
      </c>
      <c r="G1207" s="1" t="s">
        <v>163</v>
      </c>
      <c r="H1207" s="1" t="s">
        <v>36</v>
      </c>
      <c r="I1207" s="1" t="s">
        <v>152</v>
      </c>
      <c r="J1207" s="1" t="s">
        <v>149</v>
      </c>
      <c r="K1207" s="1" t="s">
        <v>2742</v>
      </c>
      <c r="L1207" s="1" t="s">
        <v>2710</v>
      </c>
      <c r="M1207" s="41">
        <v>46317</v>
      </c>
    </row>
    <row r="1208" spans="1:13" x14ac:dyDescent="0.25">
      <c r="A1208" s="1" t="s">
        <v>2707</v>
      </c>
      <c r="B1208" s="1" t="s">
        <v>164</v>
      </c>
      <c r="C1208" s="1" t="s">
        <v>7</v>
      </c>
      <c r="D1208" s="1" t="s">
        <v>2696</v>
      </c>
      <c r="E1208" s="1" t="s">
        <v>1416</v>
      </c>
      <c r="F1208" s="1" t="s">
        <v>2708</v>
      </c>
      <c r="G1208" s="1" t="s">
        <v>163</v>
      </c>
      <c r="H1208" s="1" t="s">
        <v>36</v>
      </c>
      <c r="I1208" s="1" t="s">
        <v>153</v>
      </c>
      <c r="J1208" s="1" t="s">
        <v>149</v>
      </c>
      <c r="K1208" s="1" t="s">
        <v>2743</v>
      </c>
      <c r="L1208" s="1" t="s">
        <v>2710</v>
      </c>
      <c r="M1208" s="41">
        <v>46317</v>
      </c>
    </row>
    <row r="1209" spans="1:13" x14ac:dyDescent="0.25">
      <c r="A1209" s="1" t="s">
        <v>2707</v>
      </c>
      <c r="B1209" s="1" t="s">
        <v>164</v>
      </c>
      <c r="C1209" s="1" t="s">
        <v>7</v>
      </c>
      <c r="D1209" s="1" t="s">
        <v>2696</v>
      </c>
      <c r="E1209" s="1" t="s">
        <v>1416</v>
      </c>
      <c r="F1209" s="1" t="s">
        <v>2708</v>
      </c>
      <c r="G1209" s="1" t="s">
        <v>163</v>
      </c>
      <c r="H1209" s="1" t="s">
        <v>36</v>
      </c>
      <c r="I1209" s="1" t="s">
        <v>154</v>
      </c>
      <c r="J1209" s="1" t="s">
        <v>149</v>
      </c>
      <c r="K1209" s="1" t="s">
        <v>2744</v>
      </c>
      <c r="L1209" s="1" t="s">
        <v>2710</v>
      </c>
      <c r="M1209" s="41">
        <v>46087</v>
      </c>
    </row>
    <row r="1210" spans="1:13" x14ac:dyDescent="0.25">
      <c r="A1210" s="1" t="s">
        <v>2707</v>
      </c>
      <c r="B1210" s="1" t="s">
        <v>164</v>
      </c>
      <c r="C1210" s="1" t="s">
        <v>7</v>
      </c>
      <c r="D1210" s="1" t="s">
        <v>2696</v>
      </c>
      <c r="E1210" s="1" t="s">
        <v>1416</v>
      </c>
      <c r="F1210" s="1" t="s">
        <v>2708</v>
      </c>
      <c r="G1210" s="1" t="s">
        <v>163</v>
      </c>
      <c r="H1210" s="1" t="s">
        <v>36</v>
      </c>
      <c r="I1210" s="1" t="s">
        <v>155</v>
      </c>
      <c r="J1210" s="1" t="s">
        <v>149</v>
      </c>
      <c r="K1210" s="1" t="s">
        <v>2745</v>
      </c>
      <c r="L1210" s="1" t="s">
        <v>2710</v>
      </c>
      <c r="M1210" s="41">
        <v>46087</v>
      </c>
    </row>
    <row r="1211" spans="1:13" x14ac:dyDescent="0.25">
      <c r="A1211" s="1" t="s">
        <v>2707</v>
      </c>
      <c r="B1211" s="1" t="s">
        <v>164</v>
      </c>
      <c r="C1211" s="1" t="s">
        <v>7</v>
      </c>
      <c r="D1211" s="1" t="s">
        <v>2696</v>
      </c>
      <c r="E1211" s="1" t="s">
        <v>1416</v>
      </c>
      <c r="F1211" s="1" t="s">
        <v>2708</v>
      </c>
      <c r="G1211" s="1" t="s">
        <v>163</v>
      </c>
      <c r="H1211" s="1" t="s">
        <v>36</v>
      </c>
      <c r="I1211" s="1" t="s">
        <v>144</v>
      </c>
      <c r="J1211" s="1" t="s">
        <v>165</v>
      </c>
      <c r="K1211" s="1" t="s">
        <v>2746</v>
      </c>
      <c r="L1211" s="1" t="s">
        <v>2710</v>
      </c>
      <c r="M1211" s="41">
        <v>46317</v>
      </c>
    </row>
    <row r="1212" spans="1:13" x14ac:dyDescent="0.25">
      <c r="A1212" s="1" t="s">
        <v>2707</v>
      </c>
      <c r="B1212" s="1" t="s">
        <v>164</v>
      </c>
      <c r="C1212" s="1" t="s">
        <v>7</v>
      </c>
      <c r="D1212" s="1" t="s">
        <v>2696</v>
      </c>
      <c r="E1212" s="1" t="s">
        <v>1416</v>
      </c>
      <c r="F1212" s="1" t="s">
        <v>2708</v>
      </c>
      <c r="G1212" s="1" t="s">
        <v>163</v>
      </c>
      <c r="H1212" s="1" t="s">
        <v>36</v>
      </c>
      <c r="I1212" s="1" t="s">
        <v>145</v>
      </c>
      <c r="J1212" s="1" t="s">
        <v>165</v>
      </c>
      <c r="K1212" s="1" t="s">
        <v>2747</v>
      </c>
      <c r="L1212" s="1" t="s">
        <v>2710</v>
      </c>
      <c r="M1212" s="41">
        <v>46088</v>
      </c>
    </row>
    <row r="1213" spans="1:13" x14ac:dyDescent="0.25">
      <c r="A1213" s="1" t="s">
        <v>2707</v>
      </c>
      <c r="B1213" s="1" t="s">
        <v>164</v>
      </c>
      <c r="C1213" s="1" t="s">
        <v>7</v>
      </c>
      <c r="D1213" s="1" t="s">
        <v>2696</v>
      </c>
      <c r="E1213" s="1" t="s">
        <v>1416</v>
      </c>
      <c r="F1213" s="1" t="s">
        <v>2708</v>
      </c>
      <c r="G1213" s="1" t="s">
        <v>163</v>
      </c>
      <c r="H1213" s="1" t="s">
        <v>36</v>
      </c>
      <c r="I1213" s="1" t="s">
        <v>147</v>
      </c>
      <c r="J1213" s="1" t="s">
        <v>165</v>
      </c>
      <c r="K1213" s="1" t="s">
        <v>2748</v>
      </c>
      <c r="L1213" s="1" t="s">
        <v>2710</v>
      </c>
      <c r="M1213" s="41">
        <v>46317</v>
      </c>
    </row>
    <row r="1214" spans="1:13" x14ac:dyDescent="0.25">
      <c r="A1214" s="1" t="s">
        <v>2707</v>
      </c>
      <c r="B1214" s="1" t="s">
        <v>164</v>
      </c>
      <c r="C1214" s="1" t="s">
        <v>7</v>
      </c>
      <c r="D1214" s="1" t="s">
        <v>2696</v>
      </c>
      <c r="E1214" s="1" t="s">
        <v>1416</v>
      </c>
      <c r="F1214" s="1" t="s">
        <v>2708</v>
      </c>
      <c r="G1214" s="1" t="s">
        <v>163</v>
      </c>
      <c r="H1214" s="1" t="s">
        <v>36</v>
      </c>
      <c r="I1214" s="1" t="s">
        <v>149</v>
      </c>
      <c r="J1214" s="1" t="s">
        <v>165</v>
      </c>
      <c r="K1214" s="1" t="s">
        <v>2749</v>
      </c>
      <c r="L1214" s="1" t="s">
        <v>2710</v>
      </c>
      <c r="M1214" s="41">
        <v>46087</v>
      </c>
    </row>
    <row r="1215" spans="1:13" x14ac:dyDescent="0.25">
      <c r="A1215" s="1" t="s">
        <v>2707</v>
      </c>
      <c r="B1215" s="1" t="s">
        <v>164</v>
      </c>
      <c r="C1215" s="1" t="s">
        <v>7</v>
      </c>
      <c r="D1215" s="1" t="s">
        <v>2696</v>
      </c>
      <c r="E1215" s="1" t="s">
        <v>1416</v>
      </c>
      <c r="F1215" s="1" t="s">
        <v>2708</v>
      </c>
      <c r="G1215" s="1" t="s">
        <v>163</v>
      </c>
      <c r="H1215" s="1" t="s">
        <v>36</v>
      </c>
      <c r="I1215" s="1" t="s">
        <v>150</v>
      </c>
      <c r="J1215" s="1" t="s">
        <v>165</v>
      </c>
      <c r="K1215" s="1" t="s">
        <v>2750</v>
      </c>
      <c r="L1215" s="1" t="s">
        <v>2710</v>
      </c>
      <c r="M1215" s="41">
        <v>46317</v>
      </c>
    </row>
    <row r="1216" spans="1:13" x14ac:dyDescent="0.25">
      <c r="A1216" s="1" t="s">
        <v>2707</v>
      </c>
      <c r="B1216" s="1" t="s">
        <v>164</v>
      </c>
      <c r="C1216" s="1" t="s">
        <v>7</v>
      </c>
      <c r="D1216" s="1" t="s">
        <v>2696</v>
      </c>
      <c r="E1216" s="1" t="s">
        <v>1416</v>
      </c>
      <c r="F1216" s="1" t="s">
        <v>2708</v>
      </c>
      <c r="G1216" s="1" t="s">
        <v>163</v>
      </c>
      <c r="H1216" s="1" t="s">
        <v>36</v>
      </c>
      <c r="I1216" s="1" t="s">
        <v>151</v>
      </c>
      <c r="J1216" s="1" t="s">
        <v>165</v>
      </c>
      <c r="K1216" s="1" t="s">
        <v>2751</v>
      </c>
      <c r="L1216" s="1" t="s">
        <v>2710</v>
      </c>
      <c r="M1216" s="41">
        <v>46317</v>
      </c>
    </row>
    <row r="1217" spans="1:13" x14ac:dyDescent="0.25">
      <c r="A1217" s="1" t="s">
        <v>2707</v>
      </c>
      <c r="B1217" s="1" t="s">
        <v>164</v>
      </c>
      <c r="C1217" s="1" t="s">
        <v>7</v>
      </c>
      <c r="D1217" s="1" t="s">
        <v>2696</v>
      </c>
      <c r="E1217" s="1" t="s">
        <v>1416</v>
      </c>
      <c r="F1217" s="1" t="s">
        <v>2708</v>
      </c>
      <c r="G1217" s="1" t="s">
        <v>163</v>
      </c>
      <c r="H1217" s="1" t="s">
        <v>36</v>
      </c>
      <c r="I1217" s="1" t="s">
        <v>152</v>
      </c>
      <c r="J1217" s="1" t="s">
        <v>165</v>
      </c>
      <c r="K1217" s="1" t="s">
        <v>2752</v>
      </c>
      <c r="L1217" s="1" t="s">
        <v>2710</v>
      </c>
      <c r="M1217" s="41">
        <v>46317</v>
      </c>
    </row>
    <row r="1218" spans="1:13" x14ac:dyDescent="0.25">
      <c r="A1218" s="1" t="s">
        <v>2707</v>
      </c>
      <c r="B1218" s="1" t="s">
        <v>164</v>
      </c>
      <c r="C1218" s="1" t="s">
        <v>7</v>
      </c>
      <c r="D1218" s="1" t="s">
        <v>2696</v>
      </c>
      <c r="E1218" s="1" t="s">
        <v>1416</v>
      </c>
      <c r="F1218" s="1" t="s">
        <v>2708</v>
      </c>
      <c r="G1218" s="1" t="s">
        <v>163</v>
      </c>
      <c r="H1218" s="1" t="s">
        <v>36</v>
      </c>
      <c r="I1218" s="1" t="s">
        <v>153</v>
      </c>
      <c r="J1218" s="1" t="s">
        <v>165</v>
      </c>
      <c r="K1218" s="1" t="s">
        <v>2753</v>
      </c>
      <c r="L1218" s="1" t="s">
        <v>2710</v>
      </c>
      <c r="M1218" s="41">
        <v>46087</v>
      </c>
    </row>
    <row r="1219" spans="1:13" x14ac:dyDescent="0.25">
      <c r="A1219" s="1" t="s">
        <v>2707</v>
      </c>
      <c r="B1219" s="1" t="s">
        <v>164</v>
      </c>
      <c r="C1219" s="1" t="s">
        <v>7</v>
      </c>
      <c r="D1219" s="1" t="s">
        <v>2696</v>
      </c>
      <c r="E1219" s="1" t="s">
        <v>1416</v>
      </c>
      <c r="F1219" s="1" t="s">
        <v>2708</v>
      </c>
      <c r="G1219" s="1" t="s">
        <v>163</v>
      </c>
      <c r="H1219" s="1" t="s">
        <v>36</v>
      </c>
      <c r="I1219" s="1" t="s">
        <v>154</v>
      </c>
      <c r="J1219" s="1" t="s">
        <v>165</v>
      </c>
      <c r="K1219" s="1" t="s">
        <v>2754</v>
      </c>
      <c r="L1219" s="1" t="s">
        <v>2710</v>
      </c>
      <c r="M1219" s="41">
        <v>46087</v>
      </c>
    </row>
    <row r="1220" spans="1:13" x14ac:dyDescent="0.25">
      <c r="A1220" s="1" t="s">
        <v>2707</v>
      </c>
      <c r="B1220" s="1" t="s">
        <v>164</v>
      </c>
      <c r="C1220" s="1" t="s">
        <v>7</v>
      </c>
      <c r="D1220" s="1" t="s">
        <v>2696</v>
      </c>
      <c r="E1220" s="1" t="s">
        <v>1416</v>
      </c>
      <c r="F1220" s="1" t="s">
        <v>2708</v>
      </c>
      <c r="G1220" s="1" t="s">
        <v>163</v>
      </c>
      <c r="H1220" s="1" t="s">
        <v>36</v>
      </c>
      <c r="I1220" s="1" t="s">
        <v>155</v>
      </c>
      <c r="J1220" s="1" t="s">
        <v>165</v>
      </c>
      <c r="K1220" s="1" t="s">
        <v>2755</v>
      </c>
      <c r="L1220" s="1" t="s">
        <v>2710</v>
      </c>
      <c r="M1220" s="41">
        <v>46087</v>
      </c>
    </row>
    <row r="1221" spans="1:13" x14ac:dyDescent="0.25">
      <c r="A1221" s="1" t="s">
        <v>2707</v>
      </c>
      <c r="B1221" s="1" t="s">
        <v>164</v>
      </c>
      <c r="C1221" s="1" t="s">
        <v>7</v>
      </c>
      <c r="D1221" s="1" t="s">
        <v>2696</v>
      </c>
      <c r="E1221" s="1" t="s">
        <v>1416</v>
      </c>
      <c r="F1221" s="1" t="s">
        <v>2708</v>
      </c>
      <c r="G1221" s="1" t="s">
        <v>163</v>
      </c>
      <c r="H1221" s="1" t="s">
        <v>36</v>
      </c>
      <c r="I1221" s="1" t="s">
        <v>156</v>
      </c>
      <c r="J1221" s="1" t="s">
        <v>165</v>
      </c>
      <c r="K1221" s="1" t="s">
        <v>2756</v>
      </c>
      <c r="L1221" s="1" t="s">
        <v>2710</v>
      </c>
      <c r="M1221" s="41">
        <v>46087</v>
      </c>
    </row>
    <row r="1222" spans="1:13" x14ac:dyDescent="0.25">
      <c r="A1222" s="1" t="s">
        <v>2707</v>
      </c>
      <c r="B1222" s="1" t="s">
        <v>164</v>
      </c>
      <c r="C1222" s="1" t="s">
        <v>7</v>
      </c>
      <c r="D1222" s="1" t="s">
        <v>2696</v>
      </c>
      <c r="E1222" s="1" t="s">
        <v>1416</v>
      </c>
      <c r="F1222" s="1" t="s">
        <v>2708</v>
      </c>
      <c r="G1222" s="1" t="s">
        <v>163</v>
      </c>
      <c r="H1222" s="1" t="s">
        <v>36</v>
      </c>
      <c r="I1222" s="1" t="s">
        <v>157</v>
      </c>
      <c r="J1222" s="1" t="s">
        <v>165</v>
      </c>
      <c r="K1222" s="1" t="s">
        <v>2757</v>
      </c>
      <c r="L1222" s="1" t="s">
        <v>2710</v>
      </c>
      <c r="M1222" s="41">
        <v>46087</v>
      </c>
    </row>
    <row r="1223" spans="1:13" x14ac:dyDescent="0.25">
      <c r="A1223" s="1" t="s">
        <v>2707</v>
      </c>
      <c r="B1223" s="1" t="s">
        <v>164</v>
      </c>
      <c r="C1223" s="1" t="s">
        <v>7</v>
      </c>
      <c r="D1223" s="1" t="s">
        <v>2696</v>
      </c>
      <c r="E1223" s="1" t="s">
        <v>1416</v>
      </c>
      <c r="F1223" s="1" t="s">
        <v>2708</v>
      </c>
      <c r="G1223" s="1" t="s">
        <v>163</v>
      </c>
      <c r="H1223" s="1" t="s">
        <v>36</v>
      </c>
      <c r="I1223" s="1" t="s">
        <v>158</v>
      </c>
      <c r="J1223" s="1" t="s">
        <v>165</v>
      </c>
      <c r="K1223" s="1" t="s">
        <v>2758</v>
      </c>
      <c r="L1223" s="1" t="s">
        <v>2710</v>
      </c>
      <c r="M1223" s="41">
        <v>46087</v>
      </c>
    </row>
    <row r="1224" spans="1:13" x14ac:dyDescent="0.25">
      <c r="A1224" s="1" t="s">
        <v>2707</v>
      </c>
      <c r="B1224" s="1" t="s">
        <v>164</v>
      </c>
      <c r="C1224" s="1" t="s">
        <v>7</v>
      </c>
      <c r="D1224" s="1" t="s">
        <v>2696</v>
      </c>
      <c r="E1224" s="1" t="s">
        <v>1416</v>
      </c>
      <c r="F1224" s="1" t="s">
        <v>2708</v>
      </c>
      <c r="G1224" s="1" t="s">
        <v>163</v>
      </c>
      <c r="H1224" s="1" t="s">
        <v>36</v>
      </c>
      <c r="I1224" s="1" t="s">
        <v>159</v>
      </c>
      <c r="J1224" s="1" t="s">
        <v>165</v>
      </c>
      <c r="K1224" s="1" t="s">
        <v>2759</v>
      </c>
      <c r="L1224" s="1" t="s">
        <v>2710</v>
      </c>
      <c r="M1224" s="41">
        <v>46087</v>
      </c>
    </row>
    <row r="1225" spans="1:13" x14ac:dyDescent="0.25">
      <c r="A1225" s="1" t="s">
        <v>2707</v>
      </c>
      <c r="B1225" s="1" t="s">
        <v>164</v>
      </c>
      <c r="C1225" s="1" t="s">
        <v>7</v>
      </c>
      <c r="D1225" s="1" t="s">
        <v>2696</v>
      </c>
      <c r="E1225" s="1" t="s">
        <v>1416</v>
      </c>
      <c r="F1225" s="1" t="s">
        <v>2708</v>
      </c>
      <c r="G1225" s="1" t="s">
        <v>163</v>
      </c>
      <c r="H1225" s="1" t="s">
        <v>36</v>
      </c>
      <c r="I1225" s="1" t="s">
        <v>160</v>
      </c>
      <c r="J1225" s="1" t="s">
        <v>165</v>
      </c>
      <c r="K1225" s="1" t="s">
        <v>2760</v>
      </c>
      <c r="L1225" s="1" t="s">
        <v>2710</v>
      </c>
      <c r="M1225" s="41">
        <v>46317</v>
      </c>
    </row>
    <row r="1226" spans="1:13" x14ac:dyDescent="0.25">
      <c r="A1226" s="1" t="s">
        <v>2707</v>
      </c>
      <c r="B1226" s="1" t="s">
        <v>164</v>
      </c>
      <c r="C1226" s="1" t="s">
        <v>7</v>
      </c>
      <c r="D1226" s="1" t="s">
        <v>2696</v>
      </c>
      <c r="E1226" s="1" t="s">
        <v>1416</v>
      </c>
      <c r="F1226" s="1" t="s">
        <v>2708</v>
      </c>
      <c r="G1226" s="1" t="s">
        <v>163</v>
      </c>
      <c r="H1226" s="1" t="s">
        <v>36</v>
      </c>
      <c r="I1226" s="1" t="s">
        <v>161</v>
      </c>
      <c r="J1226" s="1" t="s">
        <v>165</v>
      </c>
      <c r="K1226" s="1" t="s">
        <v>2761</v>
      </c>
      <c r="L1226" s="1" t="s">
        <v>2710</v>
      </c>
      <c r="M1226" s="41">
        <v>46317</v>
      </c>
    </row>
    <row r="1227" spans="1:13" x14ac:dyDescent="0.25">
      <c r="A1227" s="1" t="s">
        <v>2707</v>
      </c>
      <c r="B1227" s="1" t="s">
        <v>164</v>
      </c>
      <c r="C1227" s="1" t="s">
        <v>7</v>
      </c>
      <c r="D1227" s="1" t="s">
        <v>2696</v>
      </c>
      <c r="E1227" s="1" t="s">
        <v>1416</v>
      </c>
      <c r="F1227" s="1" t="s">
        <v>2708</v>
      </c>
      <c r="G1227" s="1" t="s">
        <v>163</v>
      </c>
      <c r="H1227" s="1" t="s">
        <v>36</v>
      </c>
      <c r="I1227" s="1" t="s">
        <v>162</v>
      </c>
      <c r="J1227" s="1" t="s">
        <v>165</v>
      </c>
      <c r="K1227" s="1" t="s">
        <v>2762</v>
      </c>
      <c r="L1227" s="1" t="s">
        <v>2710</v>
      </c>
      <c r="M1227" s="41">
        <v>46317</v>
      </c>
    </row>
    <row r="1228" spans="1:13" x14ac:dyDescent="0.25">
      <c r="A1228" s="1" t="s">
        <v>2763</v>
      </c>
      <c r="B1228" s="1" t="s">
        <v>172</v>
      </c>
      <c r="C1228" s="1" t="s">
        <v>7</v>
      </c>
      <c r="D1228" s="1" t="s">
        <v>2696</v>
      </c>
      <c r="E1228" s="1" t="s">
        <v>1416</v>
      </c>
      <c r="F1228" s="1" t="s">
        <v>2764</v>
      </c>
      <c r="G1228" s="1" t="s">
        <v>163</v>
      </c>
      <c r="H1228" s="1" t="s">
        <v>36</v>
      </c>
      <c r="I1228" s="1" t="s">
        <v>167</v>
      </c>
      <c r="J1228" s="1" t="s">
        <v>9</v>
      </c>
      <c r="K1228" s="1" t="s">
        <v>2765</v>
      </c>
      <c r="L1228" s="1" t="s">
        <v>2493</v>
      </c>
      <c r="M1228" s="41">
        <v>46087</v>
      </c>
    </row>
    <row r="1229" spans="1:13" x14ac:dyDescent="0.25">
      <c r="A1229" s="1" t="s">
        <v>2763</v>
      </c>
      <c r="B1229" s="1" t="s">
        <v>172</v>
      </c>
      <c r="C1229" s="1" t="s">
        <v>7</v>
      </c>
      <c r="D1229" s="1" t="s">
        <v>2696</v>
      </c>
      <c r="E1229" s="1" t="s">
        <v>1416</v>
      </c>
      <c r="F1229" s="1" t="s">
        <v>2764</v>
      </c>
      <c r="G1229" s="1" t="s">
        <v>163</v>
      </c>
      <c r="H1229" s="1" t="s">
        <v>36</v>
      </c>
      <c r="I1229" s="1" t="s">
        <v>168</v>
      </c>
      <c r="J1229" s="1" t="s">
        <v>9</v>
      </c>
      <c r="K1229" s="1" t="s">
        <v>2766</v>
      </c>
      <c r="L1229" s="1" t="s">
        <v>2493</v>
      </c>
      <c r="M1229" s="41">
        <v>46087</v>
      </c>
    </row>
    <row r="1230" spans="1:13" x14ac:dyDescent="0.25">
      <c r="A1230" s="1" t="s">
        <v>2763</v>
      </c>
      <c r="B1230" s="1" t="s">
        <v>172</v>
      </c>
      <c r="C1230" s="1" t="s">
        <v>7</v>
      </c>
      <c r="D1230" s="1" t="s">
        <v>2696</v>
      </c>
      <c r="E1230" s="1" t="s">
        <v>1416</v>
      </c>
      <c r="F1230" s="1" t="s">
        <v>2764</v>
      </c>
      <c r="G1230" s="1" t="s">
        <v>163</v>
      </c>
      <c r="H1230" s="1" t="s">
        <v>36</v>
      </c>
      <c r="I1230" s="1" t="s">
        <v>169</v>
      </c>
      <c r="J1230" s="1" t="s">
        <v>9</v>
      </c>
      <c r="K1230" s="1" t="s">
        <v>2767</v>
      </c>
      <c r="L1230" s="1" t="s">
        <v>2493</v>
      </c>
      <c r="M1230" s="41" t="s">
        <v>9</v>
      </c>
    </row>
    <row r="1231" spans="1:13" x14ac:dyDescent="0.25">
      <c r="A1231" s="1" t="s">
        <v>2763</v>
      </c>
      <c r="B1231" s="1" t="s">
        <v>172</v>
      </c>
      <c r="C1231" s="1" t="s">
        <v>7</v>
      </c>
      <c r="D1231" s="1" t="s">
        <v>2696</v>
      </c>
      <c r="E1231" s="1" t="s">
        <v>1416</v>
      </c>
      <c r="F1231" s="1" t="s">
        <v>2764</v>
      </c>
      <c r="G1231" s="1" t="s">
        <v>163</v>
      </c>
      <c r="H1231" s="1" t="s">
        <v>36</v>
      </c>
      <c r="I1231" s="1" t="s">
        <v>170</v>
      </c>
      <c r="J1231" s="1" t="s">
        <v>9</v>
      </c>
      <c r="K1231" s="1" t="s">
        <v>2768</v>
      </c>
      <c r="L1231" s="1" t="s">
        <v>2493</v>
      </c>
      <c r="M1231" s="41" t="s">
        <v>9</v>
      </c>
    </row>
    <row r="1232" spans="1:13" x14ac:dyDescent="0.25">
      <c r="A1232" s="1" t="s">
        <v>2763</v>
      </c>
      <c r="B1232" s="1" t="s">
        <v>172</v>
      </c>
      <c r="C1232" s="1" t="s">
        <v>7</v>
      </c>
      <c r="D1232" s="1" t="s">
        <v>2696</v>
      </c>
      <c r="E1232" s="1" t="s">
        <v>1416</v>
      </c>
      <c r="F1232" s="1" t="s">
        <v>2764</v>
      </c>
      <c r="G1232" s="1" t="s">
        <v>163</v>
      </c>
      <c r="H1232" s="1" t="s">
        <v>36</v>
      </c>
      <c r="I1232" s="1" t="s">
        <v>171</v>
      </c>
      <c r="J1232" s="1" t="s">
        <v>9</v>
      </c>
      <c r="K1232" s="1" t="s">
        <v>2769</v>
      </c>
      <c r="L1232" s="1" t="s">
        <v>2493</v>
      </c>
      <c r="M1232" s="41">
        <v>46087</v>
      </c>
    </row>
    <row r="1233" spans="1:13" x14ac:dyDescent="0.25">
      <c r="A1233" s="1" t="s">
        <v>2770</v>
      </c>
      <c r="B1233" s="1" t="s">
        <v>175</v>
      </c>
      <c r="C1233" s="1" t="s">
        <v>7</v>
      </c>
      <c r="D1233" s="1" t="s">
        <v>2771</v>
      </c>
      <c r="E1233" s="1" t="s">
        <v>1416</v>
      </c>
      <c r="F1233" s="1" t="s">
        <v>2772</v>
      </c>
      <c r="G1233" s="1" t="s">
        <v>174</v>
      </c>
      <c r="H1233" s="1" t="s">
        <v>36</v>
      </c>
      <c r="I1233" s="1" t="s">
        <v>50</v>
      </c>
      <c r="J1233" s="1" t="s">
        <v>34</v>
      </c>
      <c r="K1233" s="1" t="s">
        <v>2773</v>
      </c>
      <c r="L1233" s="1" t="s">
        <v>2699</v>
      </c>
      <c r="M1233" s="41">
        <v>46087</v>
      </c>
    </row>
    <row r="1234" spans="1:13" x14ac:dyDescent="0.25">
      <c r="A1234" s="1" t="s">
        <v>2770</v>
      </c>
      <c r="B1234" s="1" t="s">
        <v>175</v>
      </c>
      <c r="C1234" s="1" t="s">
        <v>7</v>
      </c>
      <c r="D1234" s="1" t="s">
        <v>2771</v>
      </c>
      <c r="E1234" s="1" t="s">
        <v>1416</v>
      </c>
      <c r="F1234" s="1" t="s">
        <v>2772</v>
      </c>
      <c r="G1234" s="1" t="s">
        <v>174</v>
      </c>
      <c r="H1234" s="1" t="s">
        <v>36</v>
      </c>
      <c r="I1234" s="1" t="s">
        <v>52</v>
      </c>
      <c r="J1234" s="1" t="s">
        <v>34</v>
      </c>
      <c r="K1234" s="1" t="s">
        <v>2774</v>
      </c>
      <c r="L1234" s="1" t="s">
        <v>2699</v>
      </c>
      <c r="M1234" s="41">
        <v>46087</v>
      </c>
    </row>
    <row r="1235" spans="1:13" x14ac:dyDescent="0.25">
      <c r="A1235" s="1" t="s">
        <v>2770</v>
      </c>
      <c r="B1235" s="1" t="s">
        <v>175</v>
      </c>
      <c r="C1235" s="1" t="s">
        <v>7</v>
      </c>
      <c r="D1235" s="1" t="s">
        <v>2771</v>
      </c>
      <c r="E1235" s="1" t="s">
        <v>1416</v>
      </c>
      <c r="F1235" s="1" t="s">
        <v>2772</v>
      </c>
      <c r="G1235" s="1" t="s">
        <v>174</v>
      </c>
      <c r="H1235" s="1" t="s">
        <v>36</v>
      </c>
      <c r="I1235" s="1" t="s">
        <v>54</v>
      </c>
      <c r="J1235" s="1" t="s">
        <v>34</v>
      </c>
      <c r="K1235" s="1" t="s">
        <v>2775</v>
      </c>
      <c r="L1235" s="1" t="s">
        <v>2699</v>
      </c>
      <c r="M1235" s="41">
        <v>46087</v>
      </c>
    </row>
    <row r="1236" spans="1:13" x14ac:dyDescent="0.25">
      <c r="A1236" s="1" t="s">
        <v>2770</v>
      </c>
      <c r="B1236" s="1" t="s">
        <v>175</v>
      </c>
      <c r="C1236" s="1" t="s">
        <v>7</v>
      </c>
      <c r="D1236" s="1" t="s">
        <v>2771</v>
      </c>
      <c r="E1236" s="1" t="s">
        <v>1416</v>
      </c>
      <c r="F1236" s="1" t="s">
        <v>2772</v>
      </c>
      <c r="G1236" s="1" t="s">
        <v>174</v>
      </c>
      <c r="H1236" s="1" t="s">
        <v>36</v>
      </c>
      <c r="I1236" s="1" t="s">
        <v>20</v>
      </c>
      <c r="J1236" s="1" t="s">
        <v>34</v>
      </c>
      <c r="K1236" s="1" t="s">
        <v>2776</v>
      </c>
      <c r="L1236" s="1" t="s">
        <v>2699</v>
      </c>
      <c r="M1236" s="41">
        <v>46302</v>
      </c>
    </row>
    <row r="1237" spans="1:13" x14ac:dyDescent="0.25">
      <c r="A1237" s="1" t="s">
        <v>2770</v>
      </c>
      <c r="B1237" s="1" t="s">
        <v>175</v>
      </c>
      <c r="C1237" s="1" t="s">
        <v>7</v>
      </c>
      <c r="D1237" s="1" t="s">
        <v>2771</v>
      </c>
      <c r="E1237" s="1" t="s">
        <v>1416</v>
      </c>
      <c r="F1237" s="1" t="s">
        <v>2772</v>
      </c>
      <c r="G1237" s="1" t="s">
        <v>174</v>
      </c>
      <c r="H1237" s="1" t="s">
        <v>36</v>
      </c>
      <c r="I1237" s="1" t="s">
        <v>22</v>
      </c>
      <c r="J1237" s="1" t="s">
        <v>34</v>
      </c>
      <c r="K1237" s="1" t="s">
        <v>2777</v>
      </c>
      <c r="L1237" s="1" t="s">
        <v>2699</v>
      </c>
      <c r="M1237" s="41">
        <v>46302</v>
      </c>
    </row>
    <row r="1238" spans="1:13" x14ac:dyDescent="0.25">
      <c r="A1238" s="1" t="s">
        <v>2770</v>
      </c>
      <c r="B1238" s="1" t="s">
        <v>175</v>
      </c>
      <c r="C1238" s="1" t="s">
        <v>7</v>
      </c>
      <c r="D1238" s="1" t="s">
        <v>2771</v>
      </c>
      <c r="E1238" s="1" t="s">
        <v>1416</v>
      </c>
      <c r="F1238" s="1" t="s">
        <v>2772</v>
      </c>
      <c r="G1238" s="1" t="s">
        <v>174</v>
      </c>
      <c r="H1238" s="1" t="s">
        <v>36</v>
      </c>
      <c r="I1238" s="1" t="s">
        <v>24</v>
      </c>
      <c r="J1238" s="1" t="s">
        <v>34</v>
      </c>
      <c r="K1238" s="1" t="s">
        <v>2778</v>
      </c>
      <c r="L1238" s="1" t="s">
        <v>2699</v>
      </c>
      <c r="M1238" s="41">
        <v>46087</v>
      </c>
    </row>
    <row r="1239" spans="1:13" x14ac:dyDescent="0.25">
      <c r="A1239" s="1" t="s">
        <v>2770</v>
      </c>
      <c r="B1239" s="1" t="s">
        <v>175</v>
      </c>
      <c r="C1239" s="1" t="s">
        <v>7</v>
      </c>
      <c r="D1239" s="1" t="s">
        <v>2771</v>
      </c>
      <c r="E1239" s="1" t="s">
        <v>1416</v>
      </c>
      <c r="F1239" s="1" t="s">
        <v>2772</v>
      </c>
      <c r="G1239" s="1" t="s">
        <v>174</v>
      </c>
      <c r="H1239" s="1" t="s">
        <v>36</v>
      </c>
      <c r="I1239" s="1" t="s">
        <v>26</v>
      </c>
      <c r="J1239" s="1" t="s">
        <v>34</v>
      </c>
      <c r="K1239" s="1" t="s">
        <v>2779</v>
      </c>
      <c r="L1239" s="1" t="s">
        <v>2699</v>
      </c>
      <c r="M1239" s="41">
        <v>46302</v>
      </c>
    </row>
    <row r="1240" spans="1:13" x14ac:dyDescent="0.25">
      <c r="A1240" s="1" t="s">
        <v>2770</v>
      </c>
      <c r="B1240" s="1" t="s">
        <v>175</v>
      </c>
      <c r="C1240" s="1" t="s">
        <v>7</v>
      </c>
      <c r="D1240" s="1" t="s">
        <v>2771</v>
      </c>
      <c r="E1240" s="1" t="s">
        <v>1416</v>
      </c>
      <c r="F1240" s="1" t="s">
        <v>2772</v>
      </c>
      <c r="G1240" s="1" t="s">
        <v>174</v>
      </c>
      <c r="H1240" s="1" t="s">
        <v>36</v>
      </c>
      <c r="I1240" s="1" t="s">
        <v>28</v>
      </c>
      <c r="J1240" s="1" t="s">
        <v>34</v>
      </c>
      <c r="K1240" s="1" t="s">
        <v>2780</v>
      </c>
      <c r="L1240" s="1" t="s">
        <v>2699</v>
      </c>
      <c r="M1240" s="41">
        <v>46302</v>
      </c>
    </row>
    <row r="1241" spans="1:13" x14ac:dyDescent="0.25">
      <c r="A1241" s="1" t="s">
        <v>2770</v>
      </c>
      <c r="B1241" s="1" t="s">
        <v>175</v>
      </c>
      <c r="C1241" s="1" t="s">
        <v>7</v>
      </c>
      <c r="D1241" s="1" t="s">
        <v>2771</v>
      </c>
      <c r="E1241" s="1" t="s">
        <v>1416</v>
      </c>
      <c r="F1241" s="1" t="s">
        <v>2772</v>
      </c>
      <c r="G1241" s="1" t="s">
        <v>174</v>
      </c>
      <c r="H1241" s="1" t="s">
        <v>36</v>
      </c>
      <c r="I1241" s="1" t="s">
        <v>29</v>
      </c>
      <c r="J1241" s="1" t="s">
        <v>34</v>
      </c>
      <c r="K1241" s="1" t="s">
        <v>2781</v>
      </c>
      <c r="L1241" s="1" t="s">
        <v>2699</v>
      </c>
      <c r="M1241" s="41">
        <v>46302</v>
      </c>
    </row>
    <row r="1242" spans="1:13" x14ac:dyDescent="0.25">
      <c r="A1242" s="1" t="s">
        <v>2770</v>
      </c>
      <c r="B1242" s="1" t="s">
        <v>175</v>
      </c>
      <c r="C1242" s="1" t="s">
        <v>7</v>
      </c>
      <c r="D1242" s="1" t="s">
        <v>2771</v>
      </c>
      <c r="E1242" s="1" t="s">
        <v>1416</v>
      </c>
      <c r="F1242" s="1" t="s">
        <v>2772</v>
      </c>
      <c r="G1242" s="1" t="s">
        <v>174</v>
      </c>
      <c r="H1242" s="1" t="s">
        <v>36</v>
      </c>
      <c r="I1242" s="1" t="s">
        <v>30</v>
      </c>
      <c r="J1242" s="1" t="s">
        <v>34</v>
      </c>
      <c r="K1242" s="1" t="s">
        <v>2782</v>
      </c>
      <c r="L1242" s="1" t="s">
        <v>2699</v>
      </c>
      <c r="M1242" s="41">
        <v>46302</v>
      </c>
    </row>
    <row r="1243" spans="1:13" x14ac:dyDescent="0.25">
      <c r="A1243" s="1" t="s">
        <v>2770</v>
      </c>
      <c r="B1243" s="1" t="s">
        <v>175</v>
      </c>
      <c r="C1243" s="1" t="s">
        <v>7</v>
      </c>
      <c r="D1243" s="1" t="s">
        <v>2771</v>
      </c>
      <c r="E1243" s="1" t="s">
        <v>1416</v>
      </c>
      <c r="F1243" s="1" t="s">
        <v>2772</v>
      </c>
      <c r="G1243" s="1" t="s">
        <v>174</v>
      </c>
      <c r="H1243" s="1" t="s">
        <v>36</v>
      </c>
      <c r="I1243" s="1" t="s">
        <v>31</v>
      </c>
      <c r="J1243" s="1" t="s">
        <v>34</v>
      </c>
      <c r="K1243" s="1" t="s">
        <v>2783</v>
      </c>
      <c r="L1243" s="1" t="s">
        <v>2699</v>
      </c>
      <c r="M1243" s="41">
        <v>46302</v>
      </c>
    </row>
    <row r="1244" spans="1:13" x14ac:dyDescent="0.25">
      <c r="A1244" s="1" t="s">
        <v>2770</v>
      </c>
      <c r="B1244" s="1" t="s">
        <v>175</v>
      </c>
      <c r="C1244" s="1" t="s">
        <v>7</v>
      </c>
      <c r="D1244" s="1" t="s">
        <v>2771</v>
      </c>
      <c r="E1244" s="1" t="s">
        <v>1416</v>
      </c>
      <c r="F1244" s="1" t="s">
        <v>2772</v>
      </c>
      <c r="G1244" s="1" t="s">
        <v>174</v>
      </c>
      <c r="H1244" s="1" t="s">
        <v>36</v>
      </c>
      <c r="I1244" s="1" t="s">
        <v>32</v>
      </c>
      <c r="J1244" s="1" t="s">
        <v>34</v>
      </c>
      <c r="K1244" s="1" t="s">
        <v>2784</v>
      </c>
      <c r="L1244" s="1" t="s">
        <v>2699</v>
      </c>
      <c r="M1244" s="41">
        <v>46087</v>
      </c>
    </row>
    <row r="1245" spans="1:13" x14ac:dyDescent="0.25">
      <c r="A1245" s="1" t="s">
        <v>2770</v>
      </c>
      <c r="B1245" s="1" t="s">
        <v>175</v>
      </c>
      <c r="C1245" s="1" t="s">
        <v>7</v>
      </c>
      <c r="D1245" s="1" t="s">
        <v>2771</v>
      </c>
      <c r="E1245" s="1" t="s">
        <v>1416</v>
      </c>
      <c r="F1245" s="1" t="s">
        <v>2772</v>
      </c>
      <c r="G1245" s="1" t="s">
        <v>174</v>
      </c>
      <c r="H1245" s="1" t="s">
        <v>36</v>
      </c>
      <c r="I1245" s="1" t="s">
        <v>127</v>
      </c>
      <c r="J1245" s="1" t="s">
        <v>34</v>
      </c>
      <c r="K1245" s="1" t="s">
        <v>2785</v>
      </c>
      <c r="L1245" s="1" t="s">
        <v>2699</v>
      </c>
      <c r="M1245" s="41">
        <v>46087</v>
      </c>
    </row>
    <row r="1246" spans="1:13" x14ac:dyDescent="0.25">
      <c r="A1246" s="1" t="s">
        <v>2786</v>
      </c>
      <c r="B1246" s="1" t="s">
        <v>177</v>
      </c>
      <c r="C1246" s="1" t="s">
        <v>7</v>
      </c>
      <c r="D1246" s="1" t="s">
        <v>2771</v>
      </c>
      <c r="E1246" s="1" t="s">
        <v>1416</v>
      </c>
      <c r="F1246" s="1" t="s">
        <v>2772</v>
      </c>
      <c r="G1246" s="1" t="s">
        <v>176</v>
      </c>
      <c r="H1246" s="1" t="s">
        <v>36</v>
      </c>
      <c r="I1246" s="1" t="s">
        <v>50</v>
      </c>
      <c r="J1246" s="1" t="s">
        <v>34</v>
      </c>
      <c r="K1246" s="1" t="s">
        <v>2787</v>
      </c>
      <c r="L1246" s="1" t="s">
        <v>2699</v>
      </c>
      <c r="M1246" s="41">
        <v>46087</v>
      </c>
    </row>
    <row r="1247" spans="1:13" x14ac:dyDescent="0.25">
      <c r="A1247" s="1" t="s">
        <v>2786</v>
      </c>
      <c r="B1247" s="1" t="s">
        <v>177</v>
      </c>
      <c r="C1247" s="1" t="s">
        <v>7</v>
      </c>
      <c r="D1247" s="1" t="s">
        <v>2771</v>
      </c>
      <c r="E1247" s="1" t="s">
        <v>1416</v>
      </c>
      <c r="F1247" s="1" t="s">
        <v>2772</v>
      </c>
      <c r="G1247" s="1" t="s">
        <v>176</v>
      </c>
      <c r="H1247" s="1" t="s">
        <v>36</v>
      </c>
      <c r="I1247" s="1" t="s">
        <v>52</v>
      </c>
      <c r="J1247" s="1" t="s">
        <v>34</v>
      </c>
      <c r="K1247" s="1" t="s">
        <v>2788</v>
      </c>
      <c r="L1247" s="1" t="s">
        <v>2699</v>
      </c>
      <c r="M1247" s="41">
        <v>46087</v>
      </c>
    </row>
    <row r="1248" spans="1:13" x14ac:dyDescent="0.25">
      <c r="A1248" s="1" t="s">
        <v>2786</v>
      </c>
      <c r="B1248" s="1" t="s">
        <v>177</v>
      </c>
      <c r="C1248" s="1" t="s">
        <v>7</v>
      </c>
      <c r="D1248" s="1" t="s">
        <v>2771</v>
      </c>
      <c r="E1248" s="1" t="s">
        <v>1416</v>
      </c>
      <c r="F1248" s="1" t="s">
        <v>2772</v>
      </c>
      <c r="G1248" s="1" t="s">
        <v>176</v>
      </c>
      <c r="H1248" s="1" t="s">
        <v>36</v>
      </c>
      <c r="I1248" s="1" t="s">
        <v>54</v>
      </c>
      <c r="J1248" s="1" t="s">
        <v>34</v>
      </c>
      <c r="K1248" s="1" t="s">
        <v>2789</v>
      </c>
      <c r="L1248" s="1" t="s">
        <v>2699</v>
      </c>
      <c r="M1248" s="41">
        <v>46087</v>
      </c>
    </row>
    <row r="1249" spans="1:13" x14ac:dyDescent="0.25">
      <c r="A1249" s="1" t="s">
        <v>2786</v>
      </c>
      <c r="B1249" s="1" t="s">
        <v>177</v>
      </c>
      <c r="C1249" s="1" t="s">
        <v>7</v>
      </c>
      <c r="D1249" s="1" t="s">
        <v>2771</v>
      </c>
      <c r="E1249" s="1" t="s">
        <v>1416</v>
      </c>
      <c r="F1249" s="1" t="s">
        <v>2772</v>
      </c>
      <c r="G1249" s="1" t="s">
        <v>176</v>
      </c>
      <c r="H1249" s="1" t="s">
        <v>36</v>
      </c>
      <c r="I1249" s="1" t="s">
        <v>20</v>
      </c>
      <c r="J1249" s="1" t="s">
        <v>34</v>
      </c>
      <c r="K1249" s="1" t="s">
        <v>2790</v>
      </c>
      <c r="L1249" s="1" t="s">
        <v>2699</v>
      </c>
      <c r="M1249" s="41">
        <v>46087</v>
      </c>
    </row>
    <row r="1250" spans="1:13" x14ac:dyDescent="0.25">
      <c r="A1250" s="1" t="s">
        <v>2786</v>
      </c>
      <c r="B1250" s="1" t="s">
        <v>177</v>
      </c>
      <c r="C1250" s="1" t="s">
        <v>7</v>
      </c>
      <c r="D1250" s="1" t="s">
        <v>2771</v>
      </c>
      <c r="E1250" s="1" t="s">
        <v>1416</v>
      </c>
      <c r="F1250" s="1" t="s">
        <v>2772</v>
      </c>
      <c r="G1250" s="1" t="s">
        <v>176</v>
      </c>
      <c r="H1250" s="1" t="s">
        <v>36</v>
      </c>
      <c r="I1250" s="1" t="s">
        <v>22</v>
      </c>
      <c r="J1250" s="1" t="s">
        <v>34</v>
      </c>
      <c r="K1250" s="1" t="s">
        <v>2791</v>
      </c>
      <c r="L1250" s="1" t="s">
        <v>2699</v>
      </c>
      <c r="M1250" s="41">
        <v>46087</v>
      </c>
    </row>
    <row r="1251" spans="1:13" x14ac:dyDescent="0.25">
      <c r="A1251" s="1" t="s">
        <v>2786</v>
      </c>
      <c r="B1251" s="1" t="s">
        <v>177</v>
      </c>
      <c r="C1251" s="1" t="s">
        <v>7</v>
      </c>
      <c r="D1251" s="1" t="s">
        <v>2771</v>
      </c>
      <c r="E1251" s="1" t="s">
        <v>1416</v>
      </c>
      <c r="F1251" s="1" t="s">
        <v>2772</v>
      </c>
      <c r="G1251" s="1" t="s">
        <v>176</v>
      </c>
      <c r="H1251" s="1" t="s">
        <v>36</v>
      </c>
      <c r="I1251" s="1" t="s">
        <v>24</v>
      </c>
      <c r="J1251" s="1" t="s">
        <v>34</v>
      </c>
      <c r="K1251" s="1" t="s">
        <v>2792</v>
      </c>
      <c r="L1251" s="1" t="s">
        <v>2699</v>
      </c>
      <c r="M1251" s="41">
        <v>46087</v>
      </c>
    </row>
    <row r="1252" spans="1:13" x14ac:dyDescent="0.25">
      <c r="A1252" s="1" t="s">
        <v>2786</v>
      </c>
      <c r="B1252" s="1" t="s">
        <v>177</v>
      </c>
      <c r="C1252" s="1" t="s">
        <v>7</v>
      </c>
      <c r="D1252" s="1" t="s">
        <v>2771</v>
      </c>
      <c r="E1252" s="1" t="s">
        <v>1416</v>
      </c>
      <c r="F1252" s="1" t="s">
        <v>2772</v>
      </c>
      <c r="G1252" s="1" t="s">
        <v>176</v>
      </c>
      <c r="H1252" s="1" t="s">
        <v>36</v>
      </c>
      <c r="I1252" s="1" t="s">
        <v>26</v>
      </c>
      <c r="J1252" s="1" t="s">
        <v>34</v>
      </c>
      <c r="K1252" s="1" t="s">
        <v>2793</v>
      </c>
      <c r="L1252" s="1" t="s">
        <v>2699</v>
      </c>
      <c r="M1252" s="41">
        <v>46087</v>
      </c>
    </row>
    <row r="1253" spans="1:13" x14ac:dyDescent="0.25">
      <c r="A1253" s="1" t="s">
        <v>2786</v>
      </c>
      <c r="B1253" s="1" t="s">
        <v>177</v>
      </c>
      <c r="C1253" s="1" t="s">
        <v>7</v>
      </c>
      <c r="D1253" s="1" t="s">
        <v>2771</v>
      </c>
      <c r="E1253" s="1" t="s">
        <v>1416</v>
      </c>
      <c r="F1253" s="1" t="s">
        <v>2772</v>
      </c>
      <c r="G1253" s="1" t="s">
        <v>176</v>
      </c>
      <c r="H1253" s="1" t="s">
        <v>36</v>
      </c>
      <c r="I1253" s="1" t="s">
        <v>28</v>
      </c>
      <c r="J1253" s="1" t="s">
        <v>34</v>
      </c>
      <c r="K1253" s="1" t="s">
        <v>2794</v>
      </c>
      <c r="L1253" s="1" t="s">
        <v>2699</v>
      </c>
      <c r="M1253" s="41">
        <v>46087</v>
      </c>
    </row>
    <row r="1254" spans="1:13" x14ac:dyDescent="0.25">
      <c r="A1254" s="1" t="s">
        <v>2786</v>
      </c>
      <c r="B1254" s="1" t="s">
        <v>177</v>
      </c>
      <c r="C1254" s="1" t="s">
        <v>7</v>
      </c>
      <c r="D1254" s="1" t="s">
        <v>2771</v>
      </c>
      <c r="E1254" s="1" t="s">
        <v>1416</v>
      </c>
      <c r="F1254" s="1" t="s">
        <v>2772</v>
      </c>
      <c r="G1254" s="1" t="s">
        <v>176</v>
      </c>
      <c r="H1254" s="1" t="s">
        <v>36</v>
      </c>
      <c r="I1254" s="1" t="s">
        <v>29</v>
      </c>
      <c r="J1254" s="1" t="s">
        <v>34</v>
      </c>
      <c r="K1254" s="1" t="s">
        <v>2795</v>
      </c>
      <c r="L1254" s="1" t="s">
        <v>2699</v>
      </c>
      <c r="M1254" s="41">
        <v>46087</v>
      </c>
    </row>
    <row r="1255" spans="1:13" x14ac:dyDescent="0.25">
      <c r="A1255" s="1" t="s">
        <v>2786</v>
      </c>
      <c r="B1255" s="1" t="s">
        <v>177</v>
      </c>
      <c r="C1255" s="1" t="s">
        <v>7</v>
      </c>
      <c r="D1255" s="1" t="s">
        <v>2771</v>
      </c>
      <c r="E1255" s="1" t="s">
        <v>1416</v>
      </c>
      <c r="F1255" s="1" t="s">
        <v>2772</v>
      </c>
      <c r="G1255" s="1" t="s">
        <v>176</v>
      </c>
      <c r="H1255" s="1" t="s">
        <v>36</v>
      </c>
      <c r="I1255" s="1" t="s">
        <v>30</v>
      </c>
      <c r="J1255" s="1" t="s">
        <v>34</v>
      </c>
      <c r="K1255" s="1" t="s">
        <v>2796</v>
      </c>
      <c r="L1255" s="1" t="s">
        <v>2699</v>
      </c>
      <c r="M1255" s="41">
        <v>46087</v>
      </c>
    </row>
    <row r="1256" spans="1:13" x14ac:dyDescent="0.25">
      <c r="A1256" s="1" t="s">
        <v>2786</v>
      </c>
      <c r="B1256" s="1" t="s">
        <v>177</v>
      </c>
      <c r="C1256" s="1" t="s">
        <v>7</v>
      </c>
      <c r="D1256" s="1" t="s">
        <v>2771</v>
      </c>
      <c r="E1256" s="1" t="s">
        <v>1416</v>
      </c>
      <c r="F1256" s="1" t="s">
        <v>2772</v>
      </c>
      <c r="G1256" s="1" t="s">
        <v>176</v>
      </c>
      <c r="H1256" s="1" t="s">
        <v>36</v>
      </c>
      <c r="I1256" s="1" t="s">
        <v>31</v>
      </c>
      <c r="J1256" s="1" t="s">
        <v>34</v>
      </c>
      <c r="K1256" s="1" t="s">
        <v>2797</v>
      </c>
      <c r="L1256" s="1" t="s">
        <v>2699</v>
      </c>
      <c r="M1256" s="41" t="s">
        <v>9</v>
      </c>
    </row>
    <row r="1257" spans="1:13" x14ac:dyDescent="0.25">
      <c r="A1257" s="1" t="s">
        <v>2786</v>
      </c>
      <c r="B1257" s="1" t="s">
        <v>177</v>
      </c>
      <c r="C1257" s="1" t="s">
        <v>7</v>
      </c>
      <c r="D1257" s="1" t="s">
        <v>2771</v>
      </c>
      <c r="E1257" s="1" t="s">
        <v>1416</v>
      </c>
      <c r="F1257" s="1" t="s">
        <v>2772</v>
      </c>
      <c r="G1257" s="1" t="s">
        <v>176</v>
      </c>
      <c r="H1257" s="1" t="s">
        <v>36</v>
      </c>
      <c r="I1257" s="1" t="s">
        <v>32</v>
      </c>
      <c r="J1257" s="1" t="s">
        <v>34</v>
      </c>
      <c r="K1257" s="1" t="s">
        <v>2798</v>
      </c>
      <c r="L1257" s="1" t="s">
        <v>2699</v>
      </c>
      <c r="M1257" s="41">
        <v>46087</v>
      </c>
    </row>
    <row r="1258" spans="1:13" x14ac:dyDescent="0.25">
      <c r="A1258" s="1" t="s">
        <v>2786</v>
      </c>
      <c r="B1258" s="1" t="s">
        <v>177</v>
      </c>
      <c r="C1258" s="1" t="s">
        <v>7</v>
      </c>
      <c r="D1258" s="1" t="s">
        <v>2771</v>
      </c>
      <c r="E1258" s="1" t="s">
        <v>1416</v>
      </c>
      <c r="F1258" s="1" t="s">
        <v>2772</v>
      </c>
      <c r="G1258" s="1" t="s">
        <v>176</v>
      </c>
      <c r="H1258" s="1" t="s">
        <v>36</v>
      </c>
      <c r="I1258" s="1" t="s">
        <v>127</v>
      </c>
      <c r="J1258" s="1" t="s">
        <v>34</v>
      </c>
      <c r="K1258" s="1" t="s">
        <v>2799</v>
      </c>
      <c r="L1258" s="1" t="s">
        <v>2699</v>
      </c>
      <c r="M1258" s="41">
        <v>46087</v>
      </c>
    </row>
    <row r="1259" spans="1:13" x14ac:dyDescent="0.25">
      <c r="A1259" s="1" t="s">
        <v>2800</v>
      </c>
      <c r="B1259" s="1" t="s">
        <v>182</v>
      </c>
      <c r="C1259" s="1" t="s">
        <v>7</v>
      </c>
      <c r="D1259" s="1" t="s">
        <v>2771</v>
      </c>
      <c r="E1259" s="1" t="s">
        <v>2801</v>
      </c>
      <c r="F1259" s="1" t="s">
        <v>2802</v>
      </c>
      <c r="G1259" s="1" t="s">
        <v>180</v>
      </c>
      <c r="H1259" s="1" t="s">
        <v>181</v>
      </c>
      <c r="I1259" s="1" t="s">
        <v>179</v>
      </c>
      <c r="J1259" s="1" t="s">
        <v>57</v>
      </c>
      <c r="K1259" s="1" t="s">
        <v>2803</v>
      </c>
      <c r="L1259" s="1" t="s">
        <v>2804</v>
      </c>
      <c r="M1259" s="41">
        <v>46171</v>
      </c>
    </row>
    <row r="1260" spans="1:13" x14ac:dyDescent="0.25">
      <c r="A1260" s="1" t="s">
        <v>2800</v>
      </c>
      <c r="B1260" s="1" t="s">
        <v>182</v>
      </c>
      <c r="C1260" s="1" t="s">
        <v>7</v>
      </c>
      <c r="D1260" s="1" t="s">
        <v>2771</v>
      </c>
      <c r="E1260" s="1" t="s">
        <v>2801</v>
      </c>
      <c r="F1260" s="1" t="s">
        <v>2802</v>
      </c>
      <c r="G1260" s="1" t="s">
        <v>180</v>
      </c>
      <c r="H1260" s="1" t="s">
        <v>181</v>
      </c>
      <c r="I1260" s="1" t="s">
        <v>167</v>
      </c>
      <c r="J1260" s="1" t="s">
        <v>57</v>
      </c>
      <c r="K1260" s="1" t="s">
        <v>2805</v>
      </c>
      <c r="L1260" s="1" t="s">
        <v>2804</v>
      </c>
      <c r="M1260" s="41">
        <v>46087</v>
      </c>
    </row>
    <row r="1261" spans="1:13" x14ac:dyDescent="0.25">
      <c r="A1261" s="1" t="s">
        <v>2800</v>
      </c>
      <c r="B1261" s="1" t="s">
        <v>182</v>
      </c>
      <c r="C1261" s="1" t="s">
        <v>7</v>
      </c>
      <c r="D1261" s="1" t="s">
        <v>2771</v>
      </c>
      <c r="E1261" s="1" t="s">
        <v>2801</v>
      </c>
      <c r="F1261" s="1" t="s">
        <v>2802</v>
      </c>
      <c r="G1261" s="1" t="s">
        <v>180</v>
      </c>
      <c r="H1261" s="1" t="s">
        <v>181</v>
      </c>
      <c r="I1261" s="1" t="s">
        <v>168</v>
      </c>
      <c r="J1261" s="1" t="s">
        <v>57</v>
      </c>
      <c r="K1261" s="1" t="s">
        <v>2806</v>
      </c>
      <c r="L1261" s="1" t="s">
        <v>2804</v>
      </c>
      <c r="M1261" s="41">
        <v>46087</v>
      </c>
    </row>
    <row r="1262" spans="1:13" x14ac:dyDescent="0.25">
      <c r="A1262" s="1" t="s">
        <v>2800</v>
      </c>
      <c r="B1262" s="1" t="s">
        <v>182</v>
      </c>
      <c r="C1262" s="1" t="s">
        <v>7</v>
      </c>
      <c r="D1262" s="1" t="s">
        <v>2771</v>
      </c>
      <c r="E1262" s="1" t="s">
        <v>2801</v>
      </c>
      <c r="F1262" s="1" t="s">
        <v>2802</v>
      </c>
      <c r="G1262" s="1" t="s">
        <v>180</v>
      </c>
      <c r="H1262" s="1" t="s">
        <v>181</v>
      </c>
      <c r="I1262" s="1" t="s">
        <v>169</v>
      </c>
      <c r="J1262" s="1" t="s">
        <v>57</v>
      </c>
      <c r="K1262" s="1" t="s">
        <v>2807</v>
      </c>
      <c r="L1262" s="1" t="s">
        <v>2804</v>
      </c>
      <c r="M1262" s="41">
        <v>46087</v>
      </c>
    </row>
    <row r="1263" spans="1:13" x14ac:dyDescent="0.25">
      <c r="A1263" s="1" t="s">
        <v>2800</v>
      </c>
      <c r="B1263" s="1" t="s">
        <v>182</v>
      </c>
      <c r="C1263" s="1" t="s">
        <v>7</v>
      </c>
      <c r="D1263" s="1" t="s">
        <v>2771</v>
      </c>
      <c r="E1263" s="1" t="s">
        <v>2801</v>
      </c>
      <c r="F1263" s="1" t="s">
        <v>2802</v>
      </c>
      <c r="G1263" s="1" t="s">
        <v>180</v>
      </c>
      <c r="H1263" s="1" t="s">
        <v>181</v>
      </c>
      <c r="I1263" s="1" t="s">
        <v>170</v>
      </c>
      <c r="J1263" s="1" t="s">
        <v>57</v>
      </c>
      <c r="K1263" s="1" t="s">
        <v>2808</v>
      </c>
      <c r="L1263" s="1" t="s">
        <v>2804</v>
      </c>
      <c r="M1263" s="41">
        <v>46087</v>
      </c>
    </row>
    <row r="1264" spans="1:13" x14ac:dyDescent="0.25">
      <c r="A1264" s="1" t="s">
        <v>2800</v>
      </c>
      <c r="B1264" s="1" t="s">
        <v>182</v>
      </c>
      <c r="C1264" s="1" t="s">
        <v>7</v>
      </c>
      <c r="D1264" s="1" t="s">
        <v>2771</v>
      </c>
      <c r="E1264" s="1" t="s">
        <v>2801</v>
      </c>
      <c r="F1264" s="1" t="s">
        <v>2802</v>
      </c>
      <c r="G1264" s="1" t="s">
        <v>180</v>
      </c>
      <c r="H1264" s="1" t="s">
        <v>181</v>
      </c>
      <c r="I1264" s="1" t="s">
        <v>171</v>
      </c>
      <c r="J1264" s="1" t="s">
        <v>57</v>
      </c>
      <c r="K1264" s="1" t="s">
        <v>2809</v>
      </c>
      <c r="L1264" s="1" t="s">
        <v>2804</v>
      </c>
      <c r="M1264" s="41">
        <v>46087</v>
      </c>
    </row>
    <row r="1265" spans="1:13" x14ac:dyDescent="0.25">
      <c r="A1265" s="1" t="s">
        <v>2810</v>
      </c>
      <c r="B1265" s="1" t="s">
        <v>183</v>
      </c>
      <c r="C1265" s="1" t="s">
        <v>7</v>
      </c>
      <c r="D1265" s="1" t="s">
        <v>2771</v>
      </c>
      <c r="E1265" s="1" t="s">
        <v>2801</v>
      </c>
      <c r="F1265" s="1" t="s">
        <v>2802</v>
      </c>
      <c r="G1265" s="1" t="s">
        <v>174</v>
      </c>
      <c r="H1265" s="1" t="s">
        <v>181</v>
      </c>
      <c r="I1265" s="1" t="s">
        <v>179</v>
      </c>
      <c r="J1265" s="1" t="s">
        <v>57</v>
      </c>
      <c r="K1265" s="1" t="s">
        <v>2811</v>
      </c>
      <c r="L1265" s="1" t="s">
        <v>2812</v>
      </c>
      <c r="M1265" s="41">
        <v>46087</v>
      </c>
    </row>
    <row r="1266" spans="1:13" x14ac:dyDescent="0.25">
      <c r="A1266" s="1" t="s">
        <v>2810</v>
      </c>
      <c r="B1266" s="1" t="s">
        <v>183</v>
      </c>
      <c r="C1266" s="1" t="s">
        <v>7</v>
      </c>
      <c r="D1266" s="1" t="s">
        <v>2771</v>
      </c>
      <c r="E1266" s="1" t="s">
        <v>2801</v>
      </c>
      <c r="F1266" s="1" t="s">
        <v>2802</v>
      </c>
      <c r="G1266" s="1" t="s">
        <v>174</v>
      </c>
      <c r="H1266" s="1" t="s">
        <v>181</v>
      </c>
      <c r="I1266" s="1" t="s">
        <v>167</v>
      </c>
      <c r="J1266" s="1" t="s">
        <v>57</v>
      </c>
      <c r="K1266" s="1" t="s">
        <v>2813</v>
      </c>
      <c r="L1266" s="1" t="s">
        <v>2812</v>
      </c>
      <c r="M1266" s="41">
        <v>46094</v>
      </c>
    </row>
    <row r="1267" spans="1:13" x14ac:dyDescent="0.25">
      <c r="A1267" s="1" t="s">
        <v>2810</v>
      </c>
      <c r="B1267" s="1" t="s">
        <v>183</v>
      </c>
      <c r="C1267" s="1" t="s">
        <v>7</v>
      </c>
      <c r="D1267" s="1" t="s">
        <v>2771</v>
      </c>
      <c r="E1267" s="1" t="s">
        <v>2801</v>
      </c>
      <c r="F1267" s="1" t="s">
        <v>2802</v>
      </c>
      <c r="G1267" s="1" t="s">
        <v>174</v>
      </c>
      <c r="H1267" s="1" t="s">
        <v>181</v>
      </c>
      <c r="I1267" s="1" t="s">
        <v>168</v>
      </c>
      <c r="J1267" s="1" t="s">
        <v>57</v>
      </c>
      <c r="K1267" s="1" t="s">
        <v>2814</v>
      </c>
      <c r="L1267" s="1" t="s">
        <v>2812</v>
      </c>
      <c r="M1267" s="41">
        <v>46171</v>
      </c>
    </row>
    <row r="1268" spans="1:13" x14ac:dyDescent="0.25">
      <c r="A1268" s="1" t="s">
        <v>2810</v>
      </c>
      <c r="B1268" s="1" t="s">
        <v>183</v>
      </c>
      <c r="C1268" s="1" t="s">
        <v>7</v>
      </c>
      <c r="D1268" s="1" t="s">
        <v>2771</v>
      </c>
      <c r="E1268" s="1" t="s">
        <v>2801</v>
      </c>
      <c r="F1268" s="1" t="s">
        <v>2802</v>
      </c>
      <c r="G1268" s="1" t="s">
        <v>174</v>
      </c>
      <c r="H1268" s="1" t="s">
        <v>181</v>
      </c>
      <c r="I1268" s="1" t="s">
        <v>169</v>
      </c>
      <c r="J1268" s="1" t="s">
        <v>57</v>
      </c>
      <c r="K1268" s="1" t="s">
        <v>2815</v>
      </c>
      <c r="L1268" s="1" t="s">
        <v>2812</v>
      </c>
      <c r="M1268" s="41">
        <v>46171</v>
      </c>
    </row>
    <row r="1269" spans="1:13" x14ac:dyDescent="0.25">
      <c r="A1269" s="1" t="s">
        <v>2810</v>
      </c>
      <c r="B1269" s="1" t="s">
        <v>183</v>
      </c>
      <c r="C1269" s="1" t="s">
        <v>7</v>
      </c>
      <c r="D1269" s="1" t="s">
        <v>2771</v>
      </c>
      <c r="E1269" s="1" t="s">
        <v>2801</v>
      </c>
      <c r="F1269" s="1" t="s">
        <v>2802</v>
      </c>
      <c r="G1269" s="1" t="s">
        <v>174</v>
      </c>
      <c r="H1269" s="1" t="s">
        <v>181</v>
      </c>
      <c r="I1269" s="1" t="s">
        <v>170</v>
      </c>
      <c r="J1269" s="1" t="s">
        <v>57</v>
      </c>
      <c r="K1269" s="1" t="s">
        <v>2816</v>
      </c>
      <c r="L1269" s="1" t="s">
        <v>2812</v>
      </c>
      <c r="M1269" s="41">
        <v>46087</v>
      </c>
    </row>
    <row r="1270" spans="1:13" x14ac:dyDescent="0.25">
      <c r="A1270" s="1" t="s">
        <v>2810</v>
      </c>
      <c r="B1270" s="1" t="s">
        <v>183</v>
      </c>
      <c r="C1270" s="1" t="s">
        <v>7</v>
      </c>
      <c r="D1270" s="1" t="s">
        <v>2771</v>
      </c>
      <c r="E1270" s="1" t="s">
        <v>2801</v>
      </c>
      <c r="F1270" s="1" t="s">
        <v>2802</v>
      </c>
      <c r="G1270" s="1" t="s">
        <v>174</v>
      </c>
      <c r="H1270" s="1" t="s">
        <v>181</v>
      </c>
      <c r="I1270" s="1" t="s">
        <v>171</v>
      </c>
      <c r="J1270" s="1" t="s">
        <v>57</v>
      </c>
      <c r="K1270" s="1" t="s">
        <v>2817</v>
      </c>
      <c r="L1270" s="1" t="s">
        <v>2812</v>
      </c>
      <c r="M1270" s="41">
        <v>46087</v>
      </c>
    </row>
    <row r="1271" spans="1:13" x14ac:dyDescent="0.25">
      <c r="A1271" s="1" t="s">
        <v>2818</v>
      </c>
      <c r="B1271" s="1" t="s">
        <v>184</v>
      </c>
      <c r="C1271" s="1" t="s">
        <v>7</v>
      </c>
      <c r="D1271" s="1" t="s">
        <v>2771</v>
      </c>
      <c r="E1271" s="1" t="s">
        <v>2801</v>
      </c>
      <c r="F1271" s="1" t="s">
        <v>2802</v>
      </c>
      <c r="G1271" s="1" t="s">
        <v>174</v>
      </c>
      <c r="H1271" s="1" t="s">
        <v>181</v>
      </c>
      <c r="I1271" s="1" t="s">
        <v>179</v>
      </c>
      <c r="J1271" s="1" t="s">
        <v>57</v>
      </c>
      <c r="K1271" s="1" t="s">
        <v>2819</v>
      </c>
      <c r="L1271" s="1" t="s">
        <v>2812</v>
      </c>
      <c r="M1271" s="41" t="s">
        <v>9</v>
      </c>
    </row>
    <row r="1272" spans="1:13" x14ac:dyDescent="0.25">
      <c r="A1272" s="1" t="s">
        <v>2818</v>
      </c>
      <c r="B1272" s="1" t="s">
        <v>184</v>
      </c>
      <c r="C1272" s="1" t="s">
        <v>7</v>
      </c>
      <c r="D1272" s="1" t="s">
        <v>2771</v>
      </c>
      <c r="E1272" s="1" t="s">
        <v>2801</v>
      </c>
      <c r="F1272" s="1" t="s">
        <v>2802</v>
      </c>
      <c r="G1272" s="1" t="s">
        <v>174</v>
      </c>
      <c r="H1272" s="1" t="s">
        <v>181</v>
      </c>
      <c r="I1272" s="1" t="s">
        <v>167</v>
      </c>
      <c r="J1272" s="1" t="s">
        <v>57</v>
      </c>
      <c r="K1272" s="1" t="s">
        <v>2820</v>
      </c>
      <c r="L1272" s="1" t="s">
        <v>2812</v>
      </c>
      <c r="M1272" s="41" t="s">
        <v>9</v>
      </c>
    </row>
    <row r="1273" spans="1:13" x14ac:dyDescent="0.25">
      <c r="A1273" s="1" t="s">
        <v>2818</v>
      </c>
      <c r="B1273" s="1" t="s">
        <v>184</v>
      </c>
      <c r="C1273" s="1" t="s">
        <v>7</v>
      </c>
      <c r="D1273" s="1" t="s">
        <v>2771</v>
      </c>
      <c r="E1273" s="1" t="s">
        <v>2801</v>
      </c>
      <c r="F1273" s="1" t="s">
        <v>2802</v>
      </c>
      <c r="G1273" s="1" t="s">
        <v>174</v>
      </c>
      <c r="H1273" s="1" t="s">
        <v>181</v>
      </c>
      <c r="I1273" s="1" t="s">
        <v>168</v>
      </c>
      <c r="J1273" s="1" t="s">
        <v>57</v>
      </c>
      <c r="K1273" s="1" t="s">
        <v>2821</v>
      </c>
      <c r="L1273" s="1" t="s">
        <v>2812</v>
      </c>
      <c r="M1273" s="41" t="s">
        <v>9</v>
      </c>
    </row>
    <row r="1274" spans="1:13" x14ac:dyDescent="0.25">
      <c r="A1274" s="1" t="s">
        <v>2818</v>
      </c>
      <c r="B1274" s="1" t="s">
        <v>184</v>
      </c>
      <c r="C1274" s="1" t="s">
        <v>7</v>
      </c>
      <c r="D1274" s="1" t="s">
        <v>2771</v>
      </c>
      <c r="E1274" s="1" t="s">
        <v>2801</v>
      </c>
      <c r="F1274" s="1" t="s">
        <v>2802</v>
      </c>
      <c r="G1274" s="1" t="s">
        <v>174</v>
      </c>
      <c r="H1274" s="1" t="s">
        <v>181</v>
      </c>
      <c r="I1274" s="1" t="s">
        <v>169</v>
      </c>
      <c r="J1274" s="1" t="s">
        <v>57</v>
      </c>
      <c r="K1274" s="1" t="s">
        <v>2822</v>
      </c>
      <c r="L1274" s="1" t="s">
        <v>2812</v>
      </c>
      <c r="M1274" s="41" t="s">
        <v>9</v>
      </c>
    </row>
    <row r="1275" spans="1:13" x14ac:dyDescent="0.25">
      <c r="A1275" s="1" t="s">
        <v>2818</v>
      </c>
      <c r="B1275" s="1" t="s">
        <v>184</v>
      </c>
      <c r="C1275" s="1" t="s">
        <v>7</v>
      </c>
      <c r="D1275" s="1" t="s">
        <v>2771</v>
      </c>
      <c r="E1275" s="1" t="s">
        <v>2801</v>
      </c>
      <c r="F1275" s="1" t="s">
        <v>2802</v>
      </c>
      <c r="G1275" s="1" t="s">
        <v>174</v>
      </c>
      <c r="H1275" s="1" t="s">
        <v>181</v>
      </c>
      <c r="I1275" s="1" t="s">
        <v>170</v>
      </c>
      <c r="J1275" s="1" t="s">
        <v>57</v>
      </c>
      <c r="K1275" s="1" t="s">
        <v>2823</v>
      </c>
      <c r="L1275" s="1" t="s">
        <v>2812</v>
      </c>
      <c r="M1275" s="41" t="s">
        <v>9</v>
      </c>
    </row>
    <row r="1276" spans="1:13" x14ac:dyDescent="0.25">
      <c r="A1276" s="1" t="s">
        <v>2818</v>
      </c>
      <c r="B1276" s="1" t="s">
        <v>184</v>
      </c>
      <c r="C1276" s="1" t="s">
        <v>7</v>
      </c>
      <c r="D1276" s="1" t="s">
        <v>2771</v>
      </c>
      <c r="E1276" s="1" t="s">
        <v>2801</v>
      </c>
      <c r="F1276" s="1" t="s">
        <v>2802</v>
      </c>
      <c r="G1276" s="1" t="s">
        <v>174</v>
      </c>
      <c r="H1276" s="1" t="s">
        <v>181</v>
      </c>
      <c r="I1276" s="1" t="s">
        <v>171</v>
      </c>
      <c r="J1276" s="1" t="s">
        <v>57</v>
      </c>
      <c r="K1276" s="1" t="s">
        <v>2824</v>
      </c>
      <c r="L1276" s="1" t="s">
        <v>2812</v>
      </c>
      <c r="M1276" s="41" t="s">
        <v>9</v>
      </c>
    </row>
    <row r="1277" spans="1:13" x14ac:dyDescent="0.25">
      <c r="A1277" s="1" t="s">
        <v>2825</v>
      </c>
      <c r="B1277" s="1" t="s">
        <v>188</v>
      </c>
      <c r="C1277" s="1" t="s">
        <v>7</v>
      </c>
      <c r="D1277" s="1" t="s">
        <v>2771</v>
      </c>
      <c r="E1277" s="1" t="s">
        <v>2801</v>
      </c>
      <c r="F1277" s="1" t="s">
        <v>2826</v>
      </c>
      <c r="G1277" s="1" t="s">
        <v>187</v>
      </c>
      <c r="H1277" s="1" t="s">
        <v>181</v>
      </c>
      <c r="I1277" s="1" t="s">
        <v>186</v>
      </c>
      <c r="J1277" s="1" t="s">
        <v>9</v>
      </c>
      <c r="K1277" s="1" t="s">
        <v>2827</v>
      </c>
      <c r="L1277" s="1" t="s">
        <v>2828</v>
      </c>
      <c r="M1277" s="41">
        <v>46087</v>
      </c>
    </row>
  </sheetData>
  <autoFilter ref="A1:N1" xr:uid="{00000000-0009-0000-0000-00000D000000}"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Loading"/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WebSKU</vt:lpstr>
      <vt:lpstr>WholesalePrice</vt:lpstr>
      <vt:lpstr>CellFormats</vt:lpstr>
      <vt:lpstr>ATPDate</vt:lpstr>
      <vt:lpstr>OrderMultiple</vt:lpstr>
      <vt:lpstr>SoldToShipTo</vt:lpstr>
      <vt:lpstr>GlobalVariables</vt:lpstr>
      <vt:lpstr>GENERAL TERMS &amp; CONDITIONS</vt:lpstr>
      <vt:lpstr>Summary</vt:lpstr>
      <vt:lpstr>SKU Summary</vt:lpstr>
      <vt:lpstr>Order Template</vt:lpstr>
      <vt:lpstr>Import</vt:lpstr>
      <vt:lpstr>09Mar2026</vt:lpstr>
      <vt:lpstr>UPC List</vt:lpstr>
      <vt:lpstr>Loading</vt:lpstr>
      <vt:lpstr>'09Mar2026'!_FilterDatabase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Austin</dc:creator>
  <cp:lastModifiedBy>Dave Wilson</cp:lastModifiedBy>
  <dcterms:created xsi:type="dcterms:W3CDTF">2018-08-15T07:37:36Z</dcterms:created>
  <dcterms:modified xsi:type="dcterms:W3CDTF">2026-03-06T15:07:29Z</dcterms:modified>
</cp:coreProperties>
</file>